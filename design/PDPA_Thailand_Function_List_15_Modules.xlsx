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drawings/_rels/drawing1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01_DPIA" sheetId="2" state="visible" r:id="rId4"/>
    <sheet name="02_DSAR" sheetId="3" state="visible" r:id="rId5"/>
    <sheet name="03_RoPA" sheetId="4" state="visible" r:id="rId6"/>
    <sheet name="04_ROPA_Template" sheetId="5" state="visible" r:id="rId7"/>
    <sheet name="05_ROPA_Risk" sheetId="6" state="visible" r:id="rId8"/>
    <sheet name="06_DSA" sheetId="7" state="visible" r:id="rId9"/>
    <sheet name="07_Vendor" sheetId="8" state="visible" r:id="rId10"/>
    <sheet name="08_Organization" sheetId="9" state="visible" r:id="rId11"/>
    <sheet name="09_Breach" sheetId="10" state="visible" r:id="rId12"/>
    <sheet name="10_DPA" sheetId="11" state="visible" r:id="rId13"/>
    <sheet name="11_Consent" sheetId="12" state="visible" r:id="rId14"/>
    <sheet name="12_DataFlow" sheetId="13" state="visible" r:id="rId15"/>
    <sheet name="13_Notice" sheetId="14" state="visible" r:id="rId16"/>
    <sheet name="14_DPO" sheetId="15" state="visible" r:id="rId17"/>
    <sheet name="15_DPO_Ext" sheetId="16" state="visible" r:id="rId18"/>
    <sheet name="Mapping_Old" sheetId="17" state="visible" r:id="rId19"/>
    <sheet name="References" sheetId="18" state="visible" r:id="rId20"/>
  </sheets>
  <definedNames>
    <definedName function="false" hidden="true" localSheetId="1" name="_xlnm._FilterDatabase" vbProcedure="false">01_DPIA!$A$3:$I$21</definedName>
    <definedName function="false" hidden="true" localSheetId="2" name="_xlnm._FilterDatabase" vbProcedure="false">02_DSAR!$A$3:$I$24</definedName>
    <definedName function="false" hidden="true" localSheetId="3" name="_xlnm._FilterDatabase" vbProcedure="false">03_RoPA!$A$3:$I$23</definedName>
    <definedName function="false" hidden="true" localSheetId="4" name="_xlnm._FilterDatabase" vbProcedure="false">04_ROPA_Template!$A$3:$I$16</definedName>
    <definedName function="false" hidden="true" localSheetId="5" name="_xlnm._FilterDatabase" vbProcedure="false">05_ROPA_Risk!$A$3:$I$17</definedName>
    <definedName function="false" hidden="true" localSheetId="6" name="_xlnm._FilterDatabase" vbProcedure="false">06_DSA!$A$3:$I$17</definedName>
    <definedName function="false" hidden="true" localSheetId="7" name="_xlnm._FilterDatabase" vbProcedure="false">07_Vendor!$A$3:$I$18</definedName>
    <definedName function="false" hidden="true" localSheetId="8" name="_xlnm._FilterDatabase" vbProcedure="false">08_Organization!$A$3:$I$24</definedName>
    <definedName function="false" hidden="true" localSheetId="9" name="_xlnm._FilterDatabase" vbProcedure="false">09_Breach!$A$3:$I$20</definedName>
    <definedName function="false" hidden="true" localSheetId="10" name="_xlnm._FilterDatabase" vbProcedure="false">10_DPA!$A$3:$I$17</definedName>
    <definedName function="false" hidden="true" localSheetId="11" name="_xlnm._FilterDatabase" vbProcedure="false">11_Consent!$A$3:$I$27</definedName>
    <definedName function="false" hidden="true" localSheetId="12" name="_xlnm._FilterDatabase" vbProcedure="false">12_DataFlow!$A$3:$I$14</definedName>
    <definedName function="false" hidden="true" localSheetId="13" name="_xlnm._FilterDatabase" vbProcedure="false">13_Notice!$A$3:$I$19</definedName>
    <definedName function="false" hidden="true" localSheetId="14" name="_xlnm._FilterDatabase" vbProcedure="false">14_DPO!$A$3:$I$15</definedName>
    <definedName function="false" hidden="true" localSheetId="15" name="_xlnm._FilterDatabase" vbProcedure="false">15_DPO_Ext!$A$3:$I$16</definedName>
    <definedName function="false" hidden="true" localSheetId="16" name="_xlnm._FilterDatabase" vbProcedure="false">Mapping_Old!$A$3:$E$94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<sst xmlns="http://schemas.openxmlformats.org/spreadsheetml/2006/main" count="2952" uniqueCount="1470">
  <si>
    <t xml:space="preserve">ฟังก์ชันระบบ PDPA ที่ต้องมีสำหรับตลาดประเทศไทย — 15 โมดูล</t>
  </si>
  <si>
    <t xml:space="preserve">อ้างอิง พ.ร.บ.คุ้มครองข้อมูลส่วนบุคคล พ.ศ. 2562, ประกาศ สคส. และแนวปฏิบัติ (ดูชีต References) | จัดทำ ก.ย. 2569</t>
  </si>
  <si>
    <t xml:space="preserve">No.</t>
  </si>
  <si>
    <t xml:space="preserve">โมดูล</t>
  </si>
  <si>
    <t xml:space="preserve">Module</t>
  </si>
  <si>
    <t xml:space="preserve">ขอบเขต</t>
  </si>
  <si>
    <t xml:space="preserve">ชีต</t>
  </si>
  <si>
    <t xml:space="preserve">จำนวนฟังก์ชัน</t>
  </si>
  <si>
    <t xml:space="preserve">Must</t>
  </si>
  <si>
    <t xml:space="preserve">Should</t>
  </si>
  <si>
    <t xml:space="preserve">Nice-to-have</t>
  </si>
  <si>
    <t xml:space="preserve">ระบบจัดการแบบประเมินผลกระทบด้านการคุ้มครองข้อมูลส่วนบุคคล</t>
  </si>
  <si>
    <t xml:space="preserve">DPIA Management Module</t>
  </si>
  <si>
    <t xml:space="preserve">คัดกรอง ประเมิน DPIA / LIA / AI เต็มรูปแบบ อนุมัติ และทบทวน</t>
  </si>
  <si>
    <t xml:space="preserve">01_DPIA</t>
  </si>
  <si>
    <t xml:space="preserve">ระบบจัดการคำขอใช้สิทธิของเจ้าของข้อมูลส่วนบุคคล</t>
  </si>
  <si>
    <t xml:space="preserve">Data Subject Access Request (DSAR)</t>
  </si>
  <si>
    <t xml:space="preserve">รับและดำเนินการคำขอใช้สิทธิทุกประเภท รวมถึงเรื่องร้องเรียน</t>
  </si>
  <si>
    <t xml:space="preserve">02_DSAR</t>
  </si>
  <si>
    <t xml:space="preserve">ระบบบริหารบันทึกกิจกรรมการประมวลผลข้อมูลส่วนบุคคล</t>
  </si>
  <si>
    <t xml:space="preserve">Record of Processing Activities (RoPA)</t>
  </si>
  <si>
    <t xml:space="preserve">ทะเบียนข้อมูล ทะเบียนระบบ และบันทึกรายการตาม ม.39 ทั้งผู้ควบคุมและผู้ประมวลผล</t>
  </si>
  <si>
    <t xml:space="preserve">03_RoPA</t>
  </si>
  <si>
    <t xml:space="preserve">ระบบจัดเตรียมบันทึกรายการกิจกรรมประมวลผลข้อมูลส่วนบุคคลฉบับมาตรฐาน</t>
  </si>
  <si>
    <t xml:space="preserve">ROPA Template Generator</t>
  </si>
  <si>
    <t xml:space="preserve">คลังกิจกรรมมาตรฐานและตัวช่วยสร้าง RoPA ให้หน่วยงานเริ่มได้เร็ว</t>
  </si>
  <si>
    <t xml:space="preserve">04_ROPA_Template</t>
  </si>
  <si>
    <t xml:space="preserve">ระบบการประเมินความเสี่ยงของกิจกรรมการประมวลผลข้อมูลส่วนบุคคล</t>
  </si>
  <si>
    <t xml:space="preserve">ROPA Risk Assessment Module</t>
  </si>
  <si>
    <t xml:space="preserve">ประเมินความเสี่ยงรายกิจกรรม วิเคราะห์ช่องว่างทางกฎหมาย ทะเบียนความเสี่ยง และส่งต่อ DPIA</t>
  </si>
  <si>
    <t xml:space="preserve">05_ROPA_Risk</t>
  </si>
  <si>
    <t xml:space="preserve">ระบบจัดการเอกสารข้อตกลงการแบ่งปันข้อมูลส่วนบุคคล</t>
  </si>
  <si>
    <t xml:space="preserve">Data Sharing Agreement Generator (DSA)</t>
  </si>
  <si>
    <t xml:space="preserve">ข้อตกลงการแบ่งปันข้อมูลระหว่างผู้ควบคุมข้อมูล (ไม่ใช่ผู้ประมวลผล)</t>
  </si>
  <si>
    <t xml:space="preserve">06_DSA</t>
  </si>
  <si>
    <t xml:space="preserve">ระบบแบบประเมินคู่ค้า/คู่สัญญา</t>
  </si>
  <si>
    <t xml:space="preserve">Vendor Assessment Module</t>
  </si>
  <si>
    <t xml:space="preserve">ทะเบียนและประเมินคู่ค้า/ผู้ประมวลผลตลอดวงจร ตั้งแต่คัดเลือกจนยุติการใช้บริการ</t>
  </si>
  <si>
    <t xml:space="preserve">07_Vendor</t>
  </si>
  <si>
    <t xml:space="preserve">ระบบบริหารจัดการข้อมูลหน่วยงาน</t>
  </si>
  <si>
    <t xml:space="preserve">Organization Management Module</t>
  </si>
  <si>
    <t xml:space="preserve">ข้อมูลหน่วยงาน โครงสร้างองค์กร ข้อมูลตั้งต้น ผู้ใช้ สิทธิ์ และความปลอดภัยการเข้าถึง</t>
  </si>
  <si>
    <t xml:space="preserve">08_Organization</t>
  </si>
  <si>
    <t xml:space="preserve">ระบบจัดการแจ้งเหตุละเมิดข้อมูลส่วนบุคคล</t>
  </si>
  <si>
    <t xml:space="preserve">Data Breach Notification</t>
  </si>
  <si>
    <t xml:space="preserve">รับแจ้ง ประเมิน แจ้ง สคส. / เจ้าของข้อมูล และติดตามเหตุละเมิด</t>
  </si>
  <si>
    <t xml:space="preserve">09_Breach</t>
  </si>
  <si>
    <t xml:space="preserve">ระบบจัดการเอกสารข้อตกลงการประมวลผลข้อมูลส่วนบุคคล</t>
  </si>
  <si>
    <t xml:space="preserve">Data Processing Agreement</t>
  </si>
  <si>
    <t xml:space="preserve">ข้อตกลงระหว่างผู้ควบคุมข้อมูลกับผู้ประมวลผลข้อมูลตาม ม.40</t>
  </si>
  <si>
    <t xml:space="preserve">10_DPA</t>
  </si>
  <si>
    <t xml:space="preserve">ระบบบริหารจัดการความยินยอม</t>
  </si>
  <si>
    <t xml:space="preserve">Cookies and Consent Management</t>
  </si>
  <si>
    <t xml:space="preserve">คุกกี้และความยินยอมทุกช่องทาง ตั้งแต่เก็บ พิสูจน์ ถอน จนเชื่อมระบบปลายทาง</t>
  </si>
  <si>
    <t xml:space="preserve">11_Consent</t>
  </si>
  <si>
    <t xml:space="preserve">ระบบจัดการแผนผังการไหลของการประมวลผลข้อมูลส่วนบุคคลแบบอัตโนมัติ</t>
  </si>
  <si>
    <t xml:space="preserve">Data Flow Generator</t>
  </si>
  <si>
    <t xml:space="preserve">แผนผังการไหลของข้อมูลที่สร้างจาก RoPA และการค้นหาข้อมูลอัตโนมัติ</t>
  </si>
  <si>
    <t xml:space="preserve">12_DataFlow</t>
  </si>
  <si>
    <t xml:space="preserve">ระบบจัดการประกาศความเป็นส่วนตัวแบบอัตโนมัติ</t>
  </si>
  <si>
    <t xml:space="preserve">Privacy Notice Generator</t>
  </si>
  <si>
    <t xml:space="preserve">สร้าง เผยแพร่ และติดตามประกาศความเป็นส่วนตัวและนโยบายที่เกี่ยวข้อง</t>
  </si>
  <si>
    <t xml:space="preserve">13_Notice</t>
  </si>
  <si>
    <t xml:space="preserve">ระบบบริหารจัดการสำหรับเจ้าหน้าที่คุ้มครองข้อมูลส่วนบุคคล</t>
  </si>
  <si>
    <t xml:space="preserve">DPO Module</t>
  </si>
  <si>
    <t xml:space="preserve">งานประจำของ DPO: การแต่งตั้ง แดชบอร์ด การแจ้งเตือน งาน การให้คำปรึกษา และรายงาน</t>
  </si>
  <si>
    <t xml:space="preserve">14_DPO</t>
  </si>
  <si>
    <t xml:space="preserve">ระบบบริหารจัดการสำหรับเจ้าหน้าที่คุ้มครองข้อมูลส่วนบุคคล ภาคส่วนต่อขยาย</t>
  </si>
  <si>
    <t xml:space="preserve">DPO Module Extension</t>
  </si>
  <si>
    <t xml:space="preserve">อบรม ตรวจประเมินระดับองค์กร retention การโอนต่างประเทศ กฎหมายอื่น และ AI</t>
  </si>
  <si>
    <t xml:space="preserve">15_DPO_Ext</t>
  </si>
  <si>
    <t xml:space="preserve">รวม</t>
  </si>
  <si>
    <t xml:space="preserve">คำอธิบาย</t>
  </si>
  <si>
    <t xml:space="preserve">Must — กฎหมายกำหนด หรือจำเป็นต่อการปฏิบัติตาม PDPA โดยตรง</t>
  </si>
  <si>
    <t xml:space="preserve">Should — มาตรฐานที่ตลาดไทยส่วนใหญ่มี / ลูกค้าองค์กรคาดหวัง</t>
  </si>
  <si>
    <t xml:space="preserve">Nice-to-have — จุดขายเพิ่มเติม / แนวโน้มตลาด</t>
  </si>
  <si>
    <t xml:space="preserve">คอลัมน์ 'ที่มา': No. ของฟังก์ชันในไฟล์ 5 โมดูลเดิม หรือ 'ใหม่' — ดูการย้ายทั้งหมดในชีต Mapping_Old</t>
  </si>
  <si>
    <t xml:space="preserve">คอลัมน์ 'พบในระบบอ้างอิง': อิงผลเทียบก่อนหน้า (OneTrust รอบ 2, คู่มือ GPPC, เอกสาร Conzento) | * = มีบางส่วน | '-' = ไม่พบหลักฐาน ไม่ได้แปลว่าไม่มี</t>
  </si>
  <si>
    <t xml:space="preserve">อ้างอิง 'ม.xx' = มาตราใน พ.ร.บ.คุ้มครองข้อมูลส่วนบุคคล พ.ศ. 2562 | ชื่อย่อประกาศดูในชีต References</t>
  </si>
  <si>
    <t xml:space="preserve">แก้ไขจากไฟล์เดิม</t>
  </si>
  <si>
    <t xml:space="preserve">• ประกาศการโอนข้อมูลไปต่างประเทศ (มาตรา 28 และ 29) คือ พ.ศ. 2566 มีผล 24 มี.ค. 2567 (ไฟล์เดิมระบุ พ.ศ. 2567)</t>
  </si>
  <si>
    <t xml:space="preserve">• ไม่พบแนวปฏิบัติเรื่องคุกกี้ที่ สคส. ออกเป็นทางการ จึงอ้างอิง ม.19 และ ม.23 แทน</t>
  </si>
  <si>
    <t xml:space="preserve">• ข้อมูลผู้ควบคุม/ตัวแทน/DPO ในประกาศความเป็นส่วนตัวคือ ม.23(5)</t>
  </si>
  <si>
    <t xml:space="preserve">1. ระบบจัดการแบบประเมินผลกระทบด้านการคุ้มครองข้อมูลส่วนบุคคล (DPIA Management Module)</t>
  </si>
  <si>
    <t xml:space="preserve">ขอบเขต: คัดกรอง ประเมิน DPIA / LIA / AI เต็มรูปแบบ อนุมัติ และทบทวน</t>
  </si>
  <si>
    <t xml:space="preserve">หมวดย่อย</t>
  </si>
  <si>
    <t xml:space="preserve">ฟังก์ชัน (TH)</t>
  </si>
  <si>
    <t xml:space="preserve">Function (EN)</t>
  </si>
  <si>
    <t xml:space="preserve">รายละเอียด (Description)</t>
  </si>
  <si>
    <t xml:space="preserve">อ้างอิงกฎหมาย / แนวปฏิบัติ</t>
  </si>
  <si>
    <t xml:space="preserve">ระดับความสำคัญ</t>
  </si>
  <si>
    <t xml:space="preserve">ที่มา (ไฟล์ 5 โมดูลเดิม)</t>
  </si>
  <si>
    <t xml:space="preserve">พบในระบบอ้างอิง</t>
  </si>
  <si>
    <t xml:space="preserve">DPIA-01</t>
  </si>
  <si>
    <t xml:space="preserve">คัดกรอง</t>
  </si>
  <si>
    <t xml:space="preserve">แบบคัดกรองความจำเป็นในการทำ DPIA</t>
  </si>
  <si>
    <t xml:space="preserve">DPIA screening</t>
  </si>
  <si>
    <t xml:space="preserve">คำถามคัดกรองตามปัจจัยเสี่ยงสูง เช่น ข้อมูลอ่อนไหว (ม.26) ปริมาณมาก การติดตามพฤติกรรม การตัดสินใจอัตโนมัติ เทคโนโลยีใหม่/AI และกลุ่มเปราะบาง (เด็ก ลูกจ้าง) แล้วสรุป ต้องทำ / ควรทำ / ไม่ต้องทำ</t>
  </si>
  <si>
    <t xml:space="preserve">ม.37(1); TDPG 4.0-P (จุฬาฯ)</t>
  </si>
  <si>
    <t xml:space="preserve">4.13</t>
  </si>
  <si>
    <t xml:space="preserve">OneTrust, GPPC</t>
  </si>
  <si>
    <t xml:space="preserve">DPIA-02</t>
  </si>
  <si>
    <t xml:space="preserve">เกณฑ์คะแนนและเงื่อนไขบังคับทำ DPIA</t>
  </si>
  <si>
    <t xml:space="preserve">Configurable threshold rules</t>
  </si>
  <si>
    <t xml:space="preserve">ตั้งเกณฑ์คะแนนหรือจำนวนปัจจัยเสี่ยงที่บังคับให้ทำ DPIA (เช่น คะแนนตั้งแต่ 2 หรือเข้าเกณฑ์ตั้งแต่ 2 ปัจจัย) และบันทึกเหตุผลกรณีตัดสินใจไม่ทำ</t>
  </si>
  <si>
    <t xml:space="preserve">TDPG 4.0-P</t>
  </si>
  <si>
    <t xml:space="preserve">ใหม่</t>
  </si>
  <si>
    <t xml:space="preserve">GPPC</t>
  </si>
  <si>
    <t xml:space="preserve">DPIA-03</t>
  </si>
  <si>
    <t xml:space="preserve">แบบประเมิน</t>
  </si>
  <si>
    <t xml:space="preserve">คลัง template แบบประเมิน</t>
  </si>
  <si>
    <t xml:space="preserve">Assessment template library</t>
  </si>
  <si>
    <t xml:space="preserve">template DPIA/PIA มาตรฐาน คัดลอกและปรับคำถาม ตัวเลือก และคะแนนได้ มีเวอร์ชัน รองรับ TH/EN</t>
  </si>
  <si>
    <t xml:space="preserve">แนวปฏิบัติตลาด</t>
  </si>
  <si>
    <t xml:space="preserve">DPIA-04</t>
  </si>
  <si>
    <t xml:space="preserve">อธิบายกิจกรรมโดยดึงข้อมูลจาก RoPA</t>
  </si>
  <si>
    <t xml:space="preserve">Processing description from RoPA</t>
  </si>
  <si>
    <t xml:space="preserve">ดึงวัตถุประสงค์ ประเภทข้อมูล กลุ่มเจ้าของข้อมูล ผู้รับ การโอนต่างประเทศ ระยะเวลาเก็บ และระบบที่ใช้ จาก RoPA มาเป็นส่วนอธิบายของ DPIA</t>
  </si>
  <si>
    <t xml:space="preserve">ม.39</t>
  </si>
  <si>
    <t xml:space="preserve">DPIA-05</t>
  </si>
  <si>
    <t xml:space="preserve">ประเมินความจำเป็นและความได้สัดส่วน</t>
  </si>
  <si>
    <t xml:space="preserve">Necessity &amp; proportionality</t>
  </si>
  <si>
    <t xml:space="preserve">ตรวจฐานกฎหมาย (ม.24/26) การเก็บเท่าที่จำเป็น (ม.22) และทางเลือกที่กระทบสิทธิน้อยกว่า</t>
  </si>
  <si>
    <t xml:space="preserve">ม.22, ม.24, ม.26</t>
  </si>
  <si>
    <t xml:space="preserve">OneTrust</t>
  </si>
  <si>
    <t xml:space="preserve">DPIA-06</t>
  </si>
  <si>
    <t xml:space="preserve">ความเสี่ยง</t>
  </si>
  <si>
    <t xml:space="preserve">ระบุและให้คะแนนความเสี่ยง</t>
  </si>
  <si>
    <t xml:space="preserve">Risk identification &amp; scoring</t>
  </si>
  <si>
    <t xml:space="preserve">risk matrix โอกาส × ผลกระทบต่อสิทธิเสรีภาพของเจ้าของข้อมูล พร้อมคลังความเสี่ยงสำเร็จรูป</t>
  </si>
  <si>
    <t xml:space="preserve">ม.37(1)</t>
  </si>
  <si>
    <t xml:space="preserve">DPIA-07</t>
  </si>
  <si>
    <t xml:space="preserve">มาตรการลดความเสี่ยงและความเสี่ยงคงเหลือ</t>
  </si>
  <si>
    <t xml:space="preserve">Mitigation &amp; residual risk</t>
  </si>
  <si>
    <t xml:space="preserve">เลือกมาตรการจากคลัง control (เข้ารหัส แฝงข้อมูล จำกัดสิทธิ์ ลดระยะเวลาเก็บ) คำนวณความเสี่ยงคงเหลือ กำหนดผู้รับผิดชอบและวันเสร็จ</t>
  </si>
  <si>
    <t xml:space="preserve">ม.37(1); ประกาศมาตรการความปลอดภัย พ.ศ. 2565</t>
  </si>
  <si>
    <t xml:space="preserve">DPIA-08</t>
  </si>
  <si>
    <t xml:space="preserve">เชื่อมทะเบียนความเสี่ยงและงานแก้ไข</t>
  </si>
  <si>
    <t xml:space="preserve">Link to risk register &amp; tasks</t>
  </si>
  <si>
    <t xml:space="preserve">ส่งความเสี่ยงที่ยังเหลือเข้าทะเบียนความเสี่ยง และสร้างงานแก้ไขอัตโนมัติ</t>
  </si>
  <si>
    <t xml:space="preserve">DPIA-09</t>
  </si>
  <si>
    <t xml:space="preserve">Workflow</t>
  </si>
  <si>
    <t xml:space="preserve">เชิญผู้ร่วมประเมิน</t>
  </si>
  <si>
    <t xml:space="preserve">Collaboration &amp; invitations</t>
  </si>
  <si>
    <t xml:space="preserve">เชิญเจ้าของกระบวนการ IT และทีม Security ตอบเฉพาะส่วน แสดงความเห็น และแนบหลักฐาน</t>
  </si>
  <si>
    <t xml:space="preserve">DPIA-10</t>
  </si>
  <si>
    <t xml:space="preserve">ความเห็น DPO และการอนุมัติ</t>
  </si>
  <si>
    <t xml:space="preserve">DPO opinion &amp; sign-off</t>
  </si>
  <si>
    <t xml:space="preserve">DPO ให้ความเห็น ผู้บริหารอนุมัติหรือยอมรับความเสี่ยง พร้อมบันทึกเหตุผลและวันที่</t>
  </si>
  <si>
    <t xml:space="preserve">ม.42; TDPG 4.0-P</t>
  </si>
  <si>
    <t xml:space="preserve">DPIA-11</t>
  </si>
  <si>
    <t xml:space="preserve">บันทึกการปรึกษาผู้มีส่วนได้เสีย</t>
  </si>
  <si>
    <t xml:space="preserve">Stakeholder consultation log</t>
  </si>
  <si>
    <t xml:space="preserve">บันทึกการปรึกษาเจ้าของข้อมูล ผู้ประมวลผล หรือผู้เชี่ยวชาญ และข้อโต้แย้งพร้อมคำชี้แจง</t>
  </si>
  <si>
    <t xml:space="preserve">GPPC*</t>
  </si>
  <si>
    <t xml:space="preserve">DPIA-12</t>
  </si>
  <si>
    <t xml:space="preserve">ติดตาม</t>
  </si>
  <si>
    <t xml:space="preserve">ทะเบียนและสถานะ DPIA</t>
  </si>
  <si>
    <t xml:space="preserve">DPIA register &amp; status</t>
  </si>
  <si>
    <t xml:space="preserve">สถานะ คัดกรอง / กำลังประเมิน / รอตรวจ / อนุมัติ / ต้องทบทวน แยกตามกิจกรรมและหน่วยงาน</t>
  </si>
  <si>
    <t xml:space="preserve">DPIA-13</t>
  </si>
  <si>
    <t xml:space="preserve">ทบทวนเมื่อกิจกรรมเปลี่ยนหรือครบรอบ</t>
  </si>
  <si>
    <t xml:space="preserve">Re-assessment triggers</t>
  </si>
  <si>
    <t xml:space="preserve">แจ้งให้ทบทวนเมื่อ RoPA เปลี่ยน ครบรอบ หรือมีเหตุละเมิดที่เกี่ยวข้อง</t>
  </si>
  <si>
    <t xml:space="preserve">ม.37(1); TDPG 4.0-P</t>
  </si>
  <si>
    <t xml:space="preserve">DPIA-14</t>
  </si>
  <si>
    <t xml:space="preserve">ประวัติเวอร์ชันและ audit trail</t>
  </si>
  <si>
    <t xml:space="preserve">Version history &amp; audit trail</t>
  </si>
  <si>
    <t xml:space="preserve">เก็บทุกเวอร์ชันของแบบประเมิน คำตอบ ผู้แก้ไข และวันที่</t>
  </si>
  <si>
    <t xml:space="preserve">DPIA-15</t>
  </si>
  <si>
    <t xml:space="preserve">รายงาน</t>
  </si>
  <si>
    <t xml:space="preserve">ออกรายงาน DPIA</t>
  </si>
  <si>
    <t xml:space="preserve">DPIA report export</t>
  </si>
  <si>
    <t xml:space="preserve">รายงาน PDF/Word ภาษาไทยและอังกฤษ พร้อมผลคะแนน มาตรการ และผู้อนุมัติ</t>
  </si>
  <si>
    <t xml:space="preserve">DPIA-16</t>
  </si>
  <si>
    <t xml:space="preserve">ประเภทอื่น</t>
  </si>
  <si>
    <t xml:space="preserve">ประเมินฐานประโยชน์โดยชอบด้วยกฎหมาย (LIA)</t>
  </si>
  <si>
    <t xml:space="preserve">Legitimate interest assessment</t>
  </si>
  <si>
    <t xml:space="preserve">template LIA: วัตถุประสงค์ ความจำเป็น และการชั่งน้ำหนักกับสิทธิของเจ้าของข้อมูล ผูกกับกิจกรรมที่ใช้ฐาน ม.24(5)</t>
  </si>
  <si>
    <t xml:space="preserve">ม.24(5)</t>
  </si>
  <si>
    <t xml:space="preserve">4.14</t>
  </si>
  <si>
    <t xml:space="preserve">DPIA-17</t>
  </si>
  <si>
    <t xml:space="preserve">ประเมินผลกระทบของระบบ AI</t>
  </si>
  <si>
    <t xml:space="preserve">AI impact assessment</t>
  </si>
  <si>
    <t xml:space="preserve">แบบประเมินความเสี่ยงของระบบ AI ที่ใช้ข้อมูลส่วนบุคคล เช่น การตัดสินใจอัตโนมัติและความลำเอียง</t>
  </si>
  <si>
    <t xml:space="preserve">แนวโน้มตลาด</t>
  </si>
  <si>
    <t xml:space="preserve">5.16</t>
  </si>
  <si>
    <t xml:space="preserve">DPIA-18</t>
  </si>
  <si>
    <t xml:space="preserve">AI</t>
  </si>
  <si>
    <t xml:space="preserve">AI ช่วยกรอกแบบประเมินจากเอกสาร</t>
  </si>
  <si>
    <t xml:space="preserve">AI-assisted drafting</t>
  </si>
  <si>
    <t xml:space="preserve">ดึงข้อมูลจากเอกสารโครงการหรือ RoPA มาเติมคำตอบให้ผู้ประเมินตรวจ</t>
  </si>
  <si>
    <t xml:space="preserve">2. ระบบจัดการคำขอใช้สิทธิของเจ้าของข้อมูลส่วนบุคคล (Data Subject Access Request (DSAR))</t>
  </si>
  <si>
    <t xml:space="preserve">ขอบเขต: รับและดำเนินการคำขอใช้สิทธิทุกประเภท รวมถึงเรื่องร้องเรียน</t>
  </si>
  <si>
    <t xml:space="preserve">DSAR-01</t>
  </si>
  <si>
    <t xml:space="preserve">รับคำขอ</t>
  </si>
  <si>
    <t xml:space="preserve">แบบฟอร์มขอใช้สิทธิออนไลน์</t>
  </si>
  <si>
    <t xml:space="preserve">DSR web form</t>
  </si>
  <si>
    <t xml:space="preserve">สร้างฟอร์มเอง เลือกภาษา มีเวอร์ชัน เผยแพร่ด้วยลิงก์ ฝังเว็บ หรือ QR code และส่งเลขที่คำขอให้ผู้ยื่นทันที</t>
  </si>
  <si>
    <t xml:space="preserve">ม.30-36</t>
  </si>
  <si>
    <t xml:space="preserve">4.01</t>
  </si>
  <si>
    <t xml:space="preserve">OneTrust, GPPC*, Conzento</t>
  </si>
  <si>
    <t xml:space="preserve">DSAR-02</t>
  </si>
  <si>
    <t xml:space="preserve">รับคำขอหลายช่องทาง</t>
  </si>
  <si>
    <t xml:space="preserve">Multi-channel intake</t>
  </si>
  <si>
    <t xml:space="preserve">เจ้าหน้าที่ลงคำขอแทนกรณีมาทางอีเมล Call center สาขา จดหมาย หรือ LINE และรับคำขอผ่าน API จากแอป</t>
  </si>
  <si>
    <t xml:space="preserve">ม.30</t>
  </si>
  <si>
    <t xml:space="preserve">OneTrust*</t>
  </si>
  <si>
    <t xml:space="preserve">DSAR-03</t>
  </si>
  <si>
    <t xml:space="preserve">ครอบคลุมสิทธิทุกประเภท</t>
  </si>
  <si>
    <t xml:space="preserve">All data subject rights</t>
  </si>
  <si>
    <t xml:space="preserve">เข้าถึงและขอสำเนาพร้อมแจ้งแหล่งที่มา (ม.30), โอนย้าย (ม.31), คัดค้าน (ม.32), ลบ/ทำลาย/ทำให้ไม่ระบุตัวตน (ม.33), ระงับการใช้ (ม.34), แก้ไขให้ถูกต้อง (ม.35-36), ถอนความยินยอม (ม.19)</t>
  </si>
  <si>
    <t xml:space="preserve">ม.19, ม.30-36</t>
  </si>
  <si>
    <t xml:space="preserve">4.02</t>
  </si>
  <si>
    <t xml:space="preserve">OneTrust, GPPC*, Conzento*</t>
  </si>
  <si>
    <t xml:space="preserve">DSAR-04</t>
  </si>
  <si>
    <t xml:space="preserve">ยื่นคำขอแทนเจ้าของข้อมูล</t>
  </si>
  <si>
    <t xml:space="preserve">Authorized agent / guardian</t>
  </si>
  <si>
    <t xml:space="preserve">รองรับผู้รับมอบอำนาจ ผู้ใช้อำนาจปกครอง ผู้อนุบาล และผู้พิทักษ์ พร้อมแนบเอกสารยืนยันอำนาจ</t>
  </si>
  <si>
    <t xml:space="preserve">ม.20</t>
  </si>
  <si>
    <t xml:space="preserve">DSAR-05</t>
  </si>
  <si>
    <t xml:space="preserve">รับเรื่องร้องเรียนและสอบถาม</t>
  </si>
  <si>
    <t xml:space="preserve">Complaints &amp; inquiries</t>
  </si>
  <si>
    <t xml:space="preserve">คำขอประเภทร้องเรียน/สอบถามที่ใช้ workflow เดียวกัน ติดตามจนปิดเรื่อง</t>
  </si>
  <si>
    <t xml:space="preserve">ม.42</t>
  </si>
  <si>
    <t xml:space="preserve">4.19</t>
  </si>
  <si>
    <t xml:space="preserve">OneTrust, GPPC*</t>
  </si>
  <si>
    <t xml:space="preserve">DSAR-06</t>
  </si>
  <si>
    <t xml:space="preserve">ยืนยันตัวตน</t>
  </si>
  <si>
    <t xml:space="preserve">ยืนยันตัวตนผู้ยื่นคำขอ</t>
  </si>
  <si>
    <t xml:space="preserve">Identity verification</t>
  </si>
  <si>
    <t xml:space="preserve">OTP ทาง SMS/อีเมล แนบสำเนาบัตรพร้อมปกปิดเลขอัตโนมัติ ตรวจกับข้อมูลในระบบ และต่อยอด ThaID/NDID</t>
  </si>
  <si>
    <t xml:space="preserve">4.03</t>
  </si>
  <si>
    <t xml:space="preserve">OneTrust*, GPPC, Conzento</t>
  </si>
  <si>
    <t xml:space="preserve">DSAR-07</t>
  </si>
  <si>
    <t xml:space="preserve">ดำเนินการ</t>
  </si>
  <si>
    <t xml:space="preserve">นับเวลา SLA 30 วัน</t>
  </si>
  <si>
    <t xml:space="preserve">SLA tracking (30 days)</t>
  </si>
  <si>
    <t xml:space="preserve">นับจากวันรับคำขอ แจ้งเตือนก่อนครบกำหนด และแสดงคำขอที่ใกล้/เกินกำหนด</t>
  </si>
  <si>
    <t xml:space="preserve">ม.30 วรรคสาม</t>
  </si>
  <si>
    <t xml:space="preserve">4.04</t>
  </si>
  <si>
    <t xml:space="preserve">DSAR-08</t>
  </si>
  <si>
    <t xml:space="preserve">Workflow และงานย่อย</t>
  </si>
  <si>
    <t xml:space="preserve">Workflow &amp; subtasks</t>
  </si>
  <si>
    <t xml:space="preserve">ขั้นตอน พิจารณา → ยืนยันตัวตน → รวบรวมข้อมูล → ดำเนินการ → แจ้งผล มอบหมายงานย่อยให้เจ้าของระบบหรือทีม และตั้ง rule อัตโนมัติตามประเภทคำขอ</t>
  </si>
  <si>
    <t xml:space="preserve">4.05</t>
  </si>
  <si>
    <t xml:space="preserve">OneTrust, GPPC, Conzento</t>
  </si>
  <si>
    <t xml:space="preserve">DSAR-09</t>
  </si>
  <si>
    <t xml:space="preserve">ค้นหาข้อมูลของเจ้าของข้อมูลข้ามระบบ</t>
  </si>
  <si>
    <t xml:space="preserve">Cross-system data search</t>
  </si>
  <si>
    <t xml:space="preserve">ค้นข้อมูลของบุคคลในระบบต้นทางผ่าน connector/API และรวมผลในคำขอเดียว</t>
  </si>
  <si>
    <t xml:space="preserve">4.07</t>
  </si>
  <si>
    <t xml:space="preserve">DSAR-10</t>
  </si>
  <si>
    <t xml:space="preserve">ตรวจข้อยกเว้นก่อนลบข้อมูล</t>
  </si>
  <si>
    <t xml:space="preserve">Exemption &amp; legal hold check</t>
  </si>
  <si>
    <t xml:space="preserve">ตรวจว่าข้อมูลยังต้องเก็บตามกฎหมายอื่น หรือใช้เพื่อสิทธิเรียกร้องตามกฎหมาย ก่อนลบหรือทำลาย</t>
  </si>
  <si>
    <t xml:space="preserve">ม.33</t>
  </si>
  <si>
    <t xml:space="preserve">DSAR-11</t>
  </si>
  <si>
    <t xml:space="preserve">ปฏิเสธคำขอพร้อมเหตุผล</t>
  </si>
  <si>
    <t xml:space="preserve">Rejection with reason</t>
  </si>
  <si>
    <t xml:space="preserve">บันทึกเหตุผลตามข้อยกเว้นของกฎหมาย ส่งหนังสือแจ้ง และลงบันทึกใน RoPA อัตโนมัติ</t>
  </si>
  <si>
    <t xml:space="preserve">ม.30, ม.39(7)</t>
  </si>
  <si>
    <t xml:space="preserve">4.06</t>
  </si>
  <si>
    <t xml:space="preserve">OneTrust*, GPPC*</t>
  </si>
  <si>
    <t xml:space="preserve">DSAR-12</t>
  </si>
  <si>
    <t xml:space="preserve">แจ้งผู้รับข้อมูลให้ดำเนินการตาม</t>
  </si>
  <si>
    <t xml:space="preserve">Notify downstream recipients</t>
  </si>
  <si>
    <t xml:space="preserve">ส่งงานไปยังระบบหรือผู้ประมวลผลที่ได้รับข้อมูล ให้แก้ไข ลบ หรือระงับตามคำขอเดียวกัน และเก็บหลักฐาน</t>
  </si>
  <si>
    <t xml:space="preserve">ม.33, ม.34, ม.40</t>
  </si>
  <si>
    <t xml:space="preserve">DSAR-13</t>
  </si>
  <si>
    <t xml:space="preserve">ตอบกลับ</t>
  </si>
  <si>
    <t xml:space="preserve">template หนังสือตอบกลับ</t>
  </si>
  <si>
    <t xml:space="preserve">Response templates</t>
  </si>
  <si>
    <t xml:space="preserve">หนังสือตอบ TH/EN ตามประเภทสิทธิและผลการพิจารณา (ดำเนินการแล้ว / ปฏิเสธ / ขอข้อมูลเพิ่ม)</t>
  </si>
  <si>
    <t xml:space="preserve">DSAR-14</t>
  </si>
  <si>
    <t xml:space="preserve">ส่งข้อมูลให้เจ้าของข้อมูลอย่างปลอดภัย</t>
  </si>
  <si>
    <t xml:space="preserve">Secure delivery</t>
  </si>
  <si>
    <t xml:space="preserve">ส่งผ่านพอร์ทัลหรือลิงก์ที่หมดอายุและมีรหัสผ่าน พร้อมบันทึกการดาวน์โหลด</t>
  </si>
  <si>
    <t xml:space="preserve">4.08</t>
  </si>
  <si>
    <t xml:space="preserve">DSAR-15</t>
  </si>
  <si>
    <t xml:space="preserve">ส่งออกข้อมูลแบบอ่านได้ด้วยเครื่อง</t>
  </si>
  <si>
    <t xml:space="preserve">Portability export</t>
  </si>
  <si>
    <t xml:space="preserve">ส่งออก CSV/JSON/XML ในรูปแบบที่ใช้ทั่วไป และส่งตรงไปยังผู้ควบคุมรายอื่นเมื่อทำได้</t>
  </si>
  <si>
    <t xml:space="preserve">ม.31</t>
  </si>
  <si>
    <t xml:space="preserve">DSAR-16</t>
  </si>
  <si>
    <t xml:space="preserve">ปกปิดข้อมูลของบุคคลอื่น</t>
  </si>
  <si>
    <t xml:space="preserve">Redaction</t>
  </si>
  <si>
    <t xml:space="preserve">ปิดทับข้อมูลของบุคคลอื่นในเอกสารที่ส่งคืน เพื่อไม่กระทบสิทธิเสรีภาพของผู้อื่น</t>
  </si>
  <si>
    <t xml:space="preserve">ม.30 วรรคสอง</t>
  </si>
  <si>
    <t xml:space="preserve">DSAR-17</t>
  </si>
  <si>
    <t xml:space="preserve">ประวัติและสืบค้นคำขอ</t>
  </si>
  <si>
    <t xml:space="preserve">Request history &amp; search</t>
  </si>
  <si>
    <t xml:space="preserve">ประวัติการพิจารณา วันกำหนดแจ้งผล วันยืนยันตัวตน และการแก้ไขทุกครั้ง ค้นหาย้อนหลังได้</t>
  </si>
  <si>
    <t xml:space="preserve">ม.39(7)</t>
  </si>
  <si>
    <t xml:space="preserve">DSAR-18</t>
  </si>
  <si>
    <t xml:space="preserve">รายงานและแดชบอร์ดคำขอ</t>
  </si>
  <si>
    <t xml:space="preserve">DSR reports &amp; dashboard</t>
  </si>
  <si>
    <t xml:space="preserve">จำนวนคำขอตามประเภทและสถานะ ตรงเวลา/เกินกำหนด ส่งออก Excel/CSV/PDF</t>
  </si>
  <si>
    <t xml:space="preserve">DSAR-19</t>
  </si>
  <si>
    <t xml:space="preserve">พอร์ทัลติดตามสถานะสำหรับผู้ยื่น</t>
  </si>
  <si>
    <t xml:space="preserve">Requester status portal</t>
  </si>
  <si>
    <t xml:space="preserve">เจ้าของข้อมูลตรวจสถานะ ส่งเอกสารเพิ่ม และรับผลผ่านพอร์ทัลเดียว</t>
  </si>
  <si>
    <t xml:space="preserve">DSAR-20</t>
  </si>
  <si>
    <t xml:space="preserve">ตั้งค่า</t>
  </si>
  <si>
    <t xml:space="preserve">ตั้งค่า workflow แยกตามประเภทสิทธิ</t>
  </si>
  <si>
    <t xml:space="preserve">Configurable workflow per right</t>
  </si>
  <si>
    <t xml:space="preserve">กำหนดขั้นตอน ผู้รับผิดชอบ และ template ตอบกลับของแต่ละสิทธิได้เอง</t>
  </si>
  <si>
    <t xml:space="preserve">DSAR-21</t>
  </si>
  <si>
    <t xml:space="preserve">เชื่อมต่อ</t>
  </si>
  <si>
    <t xml:space="preserve">เชื่อมกับระบบ Consent</t>
  </si>
  <si>
    <t xml:space="preserve">Consent integration</t>
  </si>
  <si>
    <t xml:space="preserve">คำขอถอนความยินยอมหรือคัดค้านการตลาดอัปเดตสถานะในระบบ Consent อัตโนมัติ</t>
  </si>
  <si>
    <t xml:space="preserve">ม.19, ม.32</t>
  </si>
  <si>
    <t xml:space="preserve">3. ระบบบริหารบันทึกกิจกรรมการประมวลผลข้อมูลส่วนบุคคล (Record of Processing Activities (RoPA))</t>
  </si>
  <si>
    <t xml:space="preserve">ขอบเขต: ทะเบียนข้อมูล ทะเบียนระบบ และบันทึกรายการตาม ม.39 ทั้งผู้ควบคุมและผู้ประมวลผล</t>
  </si>
  <si>
    <t xml:space="preserve">ROPA-01</t>
  </si>
  <si>
    <t xml:space="preserve">ทะเบียน</t>
  </si>
  <si>
    <t xml:space="preserve">ทะเบียนข้อมูลส่วนบุคคล</t>
  </si>
  <si>
    <t xml:space="preserve">Personal data inventory</t>
  </si>
  <si>
    <t xml:space="preserve">ประเภทข้อมูล หมวดทั่วไป/อ่อนไหว (ม.26) แหล่งที่มา ระบบที่จัดเก็บ และผู้รับผิดชอบ</t>
  </si>
  <si>
    <t xml:space="preserve">2.01</t>
  </si>
  <si>
    <t xml:space="preserve">ROPA-02</t>
  </si>
  <si>
    <t xml:space="preserve">ทะเบียนระบบและทรัพย์สิน</t>
  </si>
  <si>
    <t xml:space="preserve">System / asset register</t>
  </si>
  <si>
    <t xml:space="preserve">ระบบ แอปพลิเคชัน ผู้ให้บริการ และประเทศที่ตั้งเซิร์ฟเวอร์</t>
  </si>
  <si>
    <t xml:space="preserve">ม.37(1), ม.39</t>
  </si>
  <si>
    <t xml:space="preserve">2.03</t>
  </si>
  <si>
    <t xml:space="preserve">ROPA-03</t>
  </si>
  <si>
    <t xml:space="preserve">บันทึกรายการ</t>
  </si>
  <si>
    <t xml:space="preserve">RoPA ของผู้ควบคุมข้อมูล</t>
  </si>
  <si>
    <t xml:space="preserve">RoPA – controller</t>
  </si>
  <si>
    <t xml:space="preserve">บันทึกครบ 8 รายการตาม ม.39: ข้อมูลที่เก็บ วัตถุประสงค์ ข้อมูลผู้ควบคุม ระยะเวลาเก็บ สิทธิและวิธีเข้าถึง การใช้/เปิดเผยที่ยกเว้นความยินยอม การปฏิเสธคำขอ และมาตรการความปลอดภัย</t>
  </si>
  <si>
    <t xml:space="preserve">2.10</t>
  </si>
  <si>
    <t xml:space="preserve">ROPA-04</t>
  </si>
  <si>
    <t xml:space="preserve">RoPA ของผู้ประมวลผลข้อมูล</t>
  </si>
  <si>
    <t xml:space="preserve">RoPA – processor</t>
  </si>
  <si>
    <t xml:space="preserve">บันทึกกิจกรรมของผู้ประมวลผลตามประกาศ สคส.</t>
  </si>
  <si>
    <t xml:space="preserve">ม.40(3); ประกาศ สคส. RoPA ผู้ประมวลผล พ.ศ. 2565</t>
  </si>
  <si>
    <t xml:space="preserve">2.11</t>
  </si>
  <si>
    <t xml:space="preserve">ROPA-05</t>
  </si>
  <si>
    <t xml:space="preserve">เพิ่มกิจกรรมแบบปกติและแบบมาตรฐาน</t>
  </si>
  <si>
    <t xml:space="preserve">Add activity (blank or template)</t>
  </si>
  <si>
    <t xml:space="preserve">สร้างกิจกรรมเอง หรือเลือกจากคลังกิจกรรมมาตรฐานในโมดูล ROPA Template Generator</t>
  </si>
  <si>
    <t xml:space="preserve">ROPA-06</t>
  </si>
  <si>
    <t xml:space="preserve">ฐานกฎหมาย</t>
  </si>
  <si>
    <t xml:space="preserve">ฐานกฎหมายต่อวัตถุประสงค์</t>
  </si>
  <si>
    <t xml:space="preserve">Lawful basis mapping</t>
  </si>
  <si>
    <t xml:space="preserve">ระบุฐาน ม.24/26 ต่อวัตถุประสงค์ และผูกกับ Purpose ในระบบ Consent กรณีใช้ฐานความยินยอม</t>
  </si>
  <si>
    <t xml:space="preserve">ม.24, ม.26</t>
  </si>
  <si>
    <t xml:space="preserve">2.14</t>
  </si>
  <si>
    <t xml:space="preserve">OneTrust*, GPPC*, Conzento*</t>
  </si>
  <si>
    <t xml:space="preserve">ROPA-07</t>
  </si>
  <si>
    <t xml:space="preserve">ระยะเวลาเก็บรักษาและวิธีทำลาย</t>
  </si>
  <si>
    <t xml:space="preserve">Retention &amp; disposal method</t>
  </si>
  <si>
    <t xml:space="preserve">กำหนดระยะเวลาเก็บและวิธีลบ/ทำลายต่อข้อมูลหรือกิจกรรม เชื่อมกับการแจ้งเตือนครบกำหนด</t>
  </si>
  <si>
    <t xml:space="preserve">ม.37(3), ม.39(4)</t>
  </si>
  <si>
    <t xml:space="preserve">ROPA-08</t>
  </si>
  <si>
    <t xml:space="preserve">ผู้รับข้อมูลและการโอนต่างประเทศ</t>
  </si>
  <si>
    <t xml:space="preserve">Recipients &amp; cross-border transfers</t>
  </si>
  <si>
    <t xml:space="preserve">ระบุผู้รับข้อมูล การเปิดเผยที่ยกเว้นความยินยอม และการโอนไปต่างประเทศพร้อมฐานการโอน</t>
  </si>
  <si>
    <t xml:space="preserve">ม.27-29, ม.39(6)</t>
  </si>
  <si>
    <t xml:space="preserve">ROPA-09</t>
  </si>
  <si>
    <t xml:space="preserve">มาตรการความปลอดภัยต่อกิจกรรม</t>
  </si>
  <si>
    <t xml:space="preserve">Security measures per activity</t>
  </si>
  <si>
    <t xml:space="preserve">คำอธิบายมาตรการตาม ม.37(1) ที่ใช้กับกิจกรรมนั้น อ้างอิงผลประเมินมาตรการ</t>
  </si>
  <si>
    <t xml:space="preserve">ม.37(1), ม.39(8)</t>
  </si>
  <si>
    <t xml:space="preserve">ROPA-10</t>
  </si>
  <si>
    <t xml:space="preserve">บันทึกการปฏิเสธคำขอใช้สิทธิ</t>
  </si>
  <si>
    <t xml:space="preserve">Log of rejected requests</t>
  </si>
  <si>
    <t xml:space="preserve">ดึงรายการปฏิเสธคำขอจากโมดูล DSAR มาแสดงใน RoPA ของกิจกรรมที่เกี่ยวข้อง</t>
  </si>
  <si>
    <t xml:space="preserve">-</t>
  </si>
  <si>
    <t xml:space="preserve">ROPA-11</t>
  </si>
  <si>
    <t xml:space="preserve">แบบสอบถามเก็บข้อมูลจากหน่วยงาน</t>
  </si>
  <si>
    <t xml:space="preserve">Data mapping questionnaire</t>
  </si>
  <si>
    <t xml:space="preserve">ส่งแบบสอบถามให้แผนกกรอก แล้วนำคำตอบที่ DPO อนุมัติเข้าสู่ RoPA อัตโนมัติ</t>
  </si>
  <si>
    <t xml:space="preserve">2.13</t>
  </si>
  <si>
    <t xml:space="preserve">ROPA-12</t>
  </si>
  <si>
    <t xml:space="preserve">ถาม-ตอบกับ DPO หรือที่ปรึกษา</t>
  </si>
  <si>
    <t xml:space="preserve">Activity Q&amp;A</t>
  </si>
  <si>
    <t xml:space="preserve">ส่งคำถามเพิ่มเติมในแต่ละกิจกรรม ตอบกลับเป็นข้อความ และตั้งค่าการแจ้งเตือนสถานะ</t>
  </si>
  <si>
    <t xml:space="preserve">ROPA-13</t>
  </si>
  <si>
    <t xml:space="preserve">เวอร์ชันและการอนุมัติ</t>
  </si>
  <si>
    <t xml:space="preserve">Version control &amp; approval</t>
  </si>
  <si>
    <t xml:space="preserve">เก็บประวัติการแก้ไข เปรียบเทียบเวอร์ชัน และ workflow อนุมัติโดย DPO</t>
  </si>
  <si>
    <t xml:space="preserve">2.15</t>
  </si>
  <si>
    <t xml:space="preserve">ROPA-14</t>
  </si>
  <si>
    <t xml:space="preserve">วงจรชีวิตของกิจกรรม</t>
  </si>
  <si>
    <t xml:space="preserve">Activity lifecycle</t>
  </si>
  <si>
    <t xml:space="preserve">สถานะ ร่าง → ใช้งาน → สิ้นสุดการประมวลผล ปิดกิจกรรมที่เลิกใช้โดยเก็บประวัติไว้</t>
  </si>
  <si>
    <t xml:space="preserve">ROPA-15</t>
  </si>
  <si>
    <t xml:space="preserve">แจ้งเตือนทบทวน RoPA ตามรอบ</t>
  </si>
  <si>
    <t xml:space="preserve">Periodic review reminder</t>
  </si>
  <si>
    <t xml:space="preserve">แจ้งเจ้าของกิจกรรมให้ทบทวนตามรอบ หรือเมื่อกระบวนการเปลี่ยน</t>
  </si>
  <si>
    <t xml:space="preserve">ROPA-16</t>
  </si>
  <si>
    <t xml:space="preserve">ออกรายงาน RoPA</t>
  </si>
  <si>
    <t xml:space="preserve">RoPA export</t>
  </si>
  <si>
    <t xml:space="preserve">ส่งออก Excel/PDF/CSV ครบ 8 หัวข้อตาม ม.39 และพร้อมให้ สคส. ตรวจสอบเมื่อร้องขอ</t>
  </si>
  <si>
    <t xml:space="preserve">2.16</t>
  </si>
  <si>
    <t xml:space="preserve">OneTrust, GPPC, Conzento*</t>
  </si>
  <si>
    <t xml:space="preserve">ROPA-17</t>
  </si>
  <si>
    <t xml:space="preserve">แดชบอร์ด RoPA</t>
  </si>
  <si>
    <t xml:space="preserve">RoPA dashboard</t>
  </si>
  <si>
    <t xml:space="preserve">จำนวนกิจกรรมตามหน่วยงาน สถานะ ฐานกฎหมาย และข้อมูลอ่อนไหว</t>
  </si>
  <si>
    <t xml:space="preserve">ROPA-18</t>
  </si>
  <si>
    <t xml:space="preserve">นำเข้า</t>
  </si>
  <si>
    <t xml:space="preserve">นำเข้า RoPA จาก Excel เดิม</t>
  </si>
  <si>
    <t xml:space="preserve">Bulk import</t>
  </si>
  <si>
    <t xml:space="preserve">นำเข้า RoPA ที่องค์กรทำไว้ใน Excel พร้อมตรวจความครบถ้วนก่อนบันทึก</t>
  </si>
  <si>
    <t xml:space="preserve">ROPA-19</t>
  </si>
  <si>
    <t xml:space="preserve">เชื่อม RoPA กับโมดูลอื่น</t>
  </si>
  <si>
    <t xml:space="preserve">Cross-module links</t>
  </si>
  <si>
    <t xml:space="preserve">เมื่อ RoPA เปลี่ยน แจ้งให้ทบทวนประกาศ DPIA แผนผัง และ Purpose ที่เกี่ยวข้อง</t>
  </si>
  <si>
    <t xml:space="preserve">2.17</t>
  </si>
  <si>
    <t xml:space="preserve">ROPA-20</t>
  </si>
  <si>
    <t xml:space="preserve">ยกเว้น</t>
  </si>
  <si>
    <t xml:space="preserve">ตรวจสิทธิ์ยกเว้นกิจการขนาดเล็ก</t>
  </si>
  <si>
    <t xml:space="preserve">SME exemption check</t>
  </si>
  <si>
    <t xml:space="preserve">ประเมินว่าได้รับยกเว้นการทำ RoPA หรือไม่ ตามประกาศยกเว้นของผู้ควบคุม (2565) และผู้ประมวลผล (2567)</t>
  </si>
  <si>
    <t xml:space="preserve">ประกาศ สคส. ยกเว้นกิจการขนาดเล็ก พ.ศ. 2565 และ พ.ศ. 2567</t>
  </si>
  <si>
    <t xml:space="preserve">2.12</t>
  </si>
  <si>
    <t xml:space="preserve">4. ระบบจัดเตรียมบันทึกรายการกิจกรรมประมวลผลข้อมูลส่วนบุคคลฉบับมาตรฐาน (ROPA Template Generator)</t>
  </si>
  <si>
    <t xml:space="preserve">ขอบเขต: คลังกิจกรรมมาตรฐานและตัวช่วยสร้าง RoPA ให้หน่วยงานเริ่มได้เร็ว</t>
  </si>
  <si>
    <t xml:space="preserve">RTG-01</t>
  </si>
  <si>
    <t xml:space="preserve">คลัง template</t>
  </si>
  <si>
    <t xml:space="preserve">คลังกิจกรรมมาตรฐานตามหมวดงาน</t>
  </si>
  <si>
    <t xml:space="preserve">Standard activity library</t>
  </si>
  <si>
    <t xml:space="preserve">กิจกรรมสำเร็จรูป เช่น สรรหาพนักงาน เงินเดือน จัดซื้อ การตลาด CCTV ผู้มาติดต่อ IT support พร้อมค่าตั้งต้นครบทุกหัวข้อ ม.39</t>
  </si>
  <si>
    <t xml:space="preserve">RTG-02</t>
  </si>
  <si>
    <t xml:space="preserve">Template ตามอุตสาหกรรม</t>
  </si>
  <si>
    <t xml:space="preserve">Industry templates</t>
  </si>
  <si>
    <t xml:space="preserve">ชุดกิจกรรมสำหรับค้าปลีก โรงพยาบาล การเงิน/ประกัน การศึกษา อสังหาฯ และภาครัฐ</t>
  </si>
  <si>
    <t xml:space="preserve">RTG-03</t>
  </si>
  <si>
    <t xml:space="preserve">Template ภาครัฐตามแม่แบบ สพร.</t>
  </si>
  <si>
    <t xml:space="preserve">Government templates (DGA)</t>
  </si>
  <si>
    <t xml:space="preserve">ใช้โครง RoPA ตามเอกสารแม่แบบสำหรับผู้ควบคุมข้อมูลภาครัฐของ สพร.</t>
  </si>
  <si>
    <t xml:space="preserve">เอกสารแม่แบบผู้ควบคุมข้อมูลภาครัฐ สพร. v1.0 (2564)</t>
  </si>
  <si>
    <t xml:space="preserve">RTG-04</t>
  </si>
  <si>
    <t xml:space="preserve">สร้าง</t>
  </si>
  <si>
    <t xml:space="preserve">สร้าง RoPA จาก template ในไม่กี่ขั้นตอน</t>
  </si>
  <si>
    <t xml:space="preserve">One-click generation</t>
  </si>
  <si>
    <t xml:space="preserve">เลือกหมวดงาน → เลือกกิจกรรม → เลือกแผนกเจ้าของ แล้วได้ร่าง RoPA ทันที</t>
  </si>
  <si>
    <t xml:space="preserve">RTG-05</t>
  </si>
  <si>
    <t xml:space="preserve">Wizard ถาม-ตอบภาษาง่าย</t>
  </si>
  <si>
    <t xml:space="preserve">Question-based wizard</t>
  </si>
  <si>
    <t xml:space="preserve">ตอบคำถามภาษาทั่วไป เช่น เก็บข้อมูลอะไร ส่งให้ใคร เก็บนานแค่ไหน แล้วระบบแปลงเป็นฟิลด์ RoPA</t>
  </si>
  <si>
    <t xml:space="preserve">RTG-06</t>
  </si>
  <si>
    <t xml:space="preserve">ค่าแนะนำพร้อมเหตุผล</t>
  </si>
  <si>
    <t xml:space="preserve">Suggested defaults with rationale</t>
  </si>
  <si>
    <t xml:space="preserve">แนะนำฐานกฎหมาย ระยะเวลาเก็บ และประเภทข้อมูลตามกิจกรรม พร้อมคำอธิบายให้ผู้ใช้ยืนยัน</t>
  </si>
  <si>
    <t xml:space="preserve">ม.24, ม.26, ม.39</t>
  </si>
  <si>
    <t xml:space="preserve">RTG-07</t>
  </si>
  <si>
    <t xml:space="preserve">สร้าง RoPA ผู้ประมวลผลจาก template</t>
  </si>
  <si>
    <t xml:space="preserve">Processor RoPA templates</t>
  </si>
  <si>
    <t xml:space="preserve">template สำหรับองค์กรที่เป็นผู้ประมวลผลข้อมูล ตามประกาศ RoPA ผู้ประมวลผล</t>
  </si>
  <si>
    <t xml:space="preserve">ประกาศ สคส. RoPA ผู้ประมวลผล พ.ศ. 2565</t>
  </si>
  <si>
    <t xml:space="preserve">RTG-08</t>
  </si>
  <si>
    <t xml:space="preserve">ปรับแต่ง</t>
  </si>
  <si>
    <t xml:space="preserve">แก้ไขและสร้าง template ขององค์กร</t>
  </si>
  <si>
    <t xml:space="preserve">Custom templates</t>
  </si>
  <si>
    <t xml:space="preserve">คัดลอก template กลางมาปรับ และกำหนด template มาตรฐานของกลุ่มบริษัท</t>
  </si>
  <si>
    <t xml:space="preserve">RTG-09</t>
  </si>
  <si>
    <t xml:space="preserve">Template สองภาษา</t>
  </si>
  <si>
    <t xml:space="preserve">Bilingual templates</t>
  </si>
  <si>
    <t xml:space="preserve">ทุก template มีภาษาไทยและอังกฤษ</t>
  </si>
  <si>
    <t xml:space="preserve">RTG-10</t>
  </si>
  <si>
    <t xml:space="preserve">กำกับ</t>
  </si>
  <si>
    <t xml:space="preserve">เวอร์ชัน template และแจ้งเมื่อกฎหมายเปลี่ยน</t>
  </si>
  <si>
    <t xml:space="preserve">Template versioning</t>
  </si>
  <si>
    <t xml:space="preserve">ปรับ template เมื่อมีประกาศ สคส. ใหม่ และแจ้งกิจกรรมที่สร้างจาก template เดิมให้ทบทวน</t>
  </si>
  <si>
    <t xml:space="preserve">RTG-11</t>
  </si>
  <si>
    <t xml:space="preserve">มอบหมายร่าง RoPA ให้หน่วยงานยืนยัน</t>
  </si>
  <si>
    <t xml:space="preserve">Auto task to department</t>
  </si>
  <si>
    <t xml:space="preserve">สร้างงานให้แผนกเจ้าของตรวจและยืนยันร่างที่สร้างจาก template โดยอัตโนมัติ</t>
  </si>
  <si>
    <t xml:space="preserve">RTG-12</t>
  </si>
  <si>
    <t xml:space="preserve">ส่งออก</t>
  </si>
  <si>
    <t xml:space="preserve">ส่งออก template และร่าง RoPA</t>
  </si>
  <si>
    <t xml:space="preserve">Export templates</t>
  </si>
  <si>
    <t xml:space="preserve">ส่งออก Excel/Word ตามแบบฟอร์มมาตรฐาน</t>
  </si>
  <si>
    <t xml:space="preserve">RTG-13</t>
  </si>
  <si>
    <t xml:space="preserve">AI แนะนำกิจกรรมจากคำอธิบายงาน</t>
  </si>
  <si>
    <t xml:space="preserve">AI activity suggestion</t>
  </si>
  <si>
    <t xml:space="preserve">วิเคราะห์คำอธิบายงานหรือเอกสารของแผนก แล้วแนะนำกิจกรรมที่ควรมีใน RoPA</t>
  </si>
  <si>
    <t xml:space="preserve">5. ระบบการประเมินความเสี่ยงของกิจกรรมการประมวลผลข้อมูลส่วนบุคคล (ROPA Risk Assessment Module)</t>
  </si>
  <si>
    <t xml:space="preserve">ขอบเขต: ประเมินความเสี่ยงรายกิจกรรม วิเคราะห์ช่องว่างทางกฎหมาย ทะเบียนความเสี่ยง และส่งต่อ DPIA</t>
  </si>
  <si>
    <t xml:space="preserve">RRA-01</t>
  </si>
  <si>
    <t xml:space="preserve">ประเมิน</t>
  </si>
  <si>
    <t xml:space="preserve">ประเมินความเสี่ยงรายกิจกรรม</t>
  </si>
  <si>
    <t xml:space="preserve">Activity risk scoring</t>
  </si>
  <si>
    <t xml:space="preserve">คิดคะแนนความเสี่ยงจากประเภทและปริมาณข้อมูล ข้อมูลอ่อนไหว กลุ่มเปราะบาง ผู้รับ การโอนต่างประเทศ และมาตรการที่มี</t>
  </si>
  <si>
    <t xml:space="preserve">RRA-02</t>
  </si>
  <si>
    <t xml:space="preserve">ตั้งค่า risk matrix</t>
  </si>
  <si>
    <t xml:space="preserve">Configurable risk matrix</t>
  </si>
  <si>
    <t xml:space="preserve">กำหนดระดับโอกาส × ผลกระทบ เกณฑ์ สูง/กลาง/ต่ำ และน้ำหนักปัจจัยได้เอง</t>
  </si>
  <si>
    <t xml:space="preserve">RRA-03</t>
  </si>
  <si>
    <t xml:space="preserve">ส่งต่อทำ DPIA อัตโนมัติ</t>
  </si>
  <si>
    <t xml:space="preserve">DPIA trigger</t>
  </si>
  <si>
    <t xml:space="preserve">กิจกรรมที่ความเสี่ยงสูงหรือเข้าเกณฑ์คัดกรองถูกส่งเข้าโมดูล DPIA อัตโนมัติ</t>
  </si>
  <si>
    <t xml:space="preserve">RRA-04</t>
  </si>
  <si>
    <t xml:space="preserve">ช่องว่าง</t>
  </si>
  <si>
    <t xml:space="preserve">วิเคราะห์ช่องว่างทางกฎหมายอัตโนมัติ</t>
  </si>
  <si>
    <t xml:space="preserve">Automated legal gap analysis</t>
  </si>
  <si>
    <t xml:space="preserve">ตรวจ RoPA กับข้อกำหนด เช่น ไม่มีฐานกฎหมาย ไม่มีระยะเวลาเก็บ ไม่มีประกาศ โอนต่างประเทศโดยไม่มีฐาน ข้อมูลอ่อนไหวไม่มีความยินยอมโดยชัดแจ้ง</t>
  </si>
  <si>
    <t xml:space="preserve">ม.23, ม.24, ม.26, ม.28-29, ม.39</t>
  </si>
  <si>
    <t xml:space="preserve">5.03</t>
  </si>
  <si>
    <t xml:space="preserve">RRA-05</t>
  </si>
  <si>
    <t xml:space="preserve">Checklist ตรวจสอบกิจกรรม</t>
  </si>
  <si>
    <t xml:space="preserve">Activity checklist</t>
  </si>
  <si>
    <t xml:space="preserve">รายการตรวจสอบรายกิจกรรม พร้อมส่งคำถามให้ที่ปรึกษาหรือ DPO และบันทึกการตอบกลับ</t>
  </si>
  <si>
    <t xml:space="preserve">RRA-06</t>
  </si>
  <si>
    <t xml:space="preserve">จัดการ</t>
  </si>
  <si>
    <t xml:space="preserve">มาตรการควบคุมและความเสี่ยงคงเหลือ</t>
  </si>
  <si>
    <t xml:space="preserve">Controls &amp; residual risk</t>
  </si>
  <si>
    <t xml:space="preserve">ผูกมาตรการที่มี/ต้องเพิ่มกับความเสี่ยง แล้วคำนวณความเสี่ยงคงเหลือ</t>
  </si>
  <si>
    <t xml:space="preserve">RRA-07</t>
  </si>
  <si>
    <t xml:space="preserve">สร้างงานแก้ไขจากช่องว่าง</t>
  </si>
  <si>
    <t xml:space="preserve">Remediation tasks</t>
  </si>
  <si>
    <t xml:space="preserve">เลือกรายการช่องว่าง กำหนดผู้ดำเนินการ วันครบกำหนด และความสำคัญ แล้วติดตามจนปิด</t>
  </si>
  <si>
    <t xml:space="preserve">5.04</t>
  </si>
  <si>
    <t xml:space="preserve">RRA-08</t>
  </si>
  <si>
    <t xml:space="preserve">ยอมรับความเสี่ยงพร้อมผู้อนุมัติ</t>
  </si>
  <si>
    <t xml:space="preserve">Risk acceptance</t>
  </si>
  <si>
    <t xml:space="preserve">บันทึกการยอมรับความเสี่ยงที่เหลือ พร้อมเหตุผล ผู้อนุมัติ และวันทบทวน</t>
  </si>
  <si>
    <t xml:space="preserve">RRA-09</t>
  </si>
  <si>
    <t xml:space="preserve">ทะเบียนความเสี่ยงด้านข้อมูลส่วนบุคคล</t>
  </si>
  <si>
    <t xml:space="preserve">Privacy risk register</t>
  </si>
  <si>
    <t xml:space="preserve">ความเสี่ยงระดับองค์กร เจ้าของความเสี่ยง มาตรการ และสถานะ ผูกกับกิจกรรม ระบบ และคู่ค้า</t>
  </si>
  <si>
    <t xml:space="preserve">5.08</t>
  </si>
  <si>
    <t xml:space="preserve">RRA-10</t>
  </si>
  <si>
    <t xml:space="preserve">Heatmap และแดชบอร์ดความเสี่ยง</t>
  </si>
  <si>
    <t xml:space="preserve">Risk heatmap &amp; dashboard</t>
  </si>
  <si>
    <t xml:space="preserve">แสดงความเสี่ยงตามหน่วยงาน ระบบ และประเภทข้อมูล พร้อมแนวโน้ม</t>
  </si>
  <si>
    <t xml:space="preserve">RRA-11</t>
  </si>
  <si>
    <t xml:space="preserve">แสดงจุดเสี่ยงบนรายการและแผนผัง</t>
  </si>
  <si>
    <t xml:space="preserve">Risk flags on RoPA / data flow</t>
  </si>
  <si>
    <t xml:space="preserve">ไฮไลต์กิจกรรมและจุดบนแผนผังที่มีความเสี่ยง พร้อมเหตุผลและลิงก์ไปแก้ไข</t>
  </si>
  <si>
    <t xml:space="preserve">2.09</t>
  </si>
  <si>
    <t xml:space="preserve">RRA-12</t>
  </si>
  <si>
    <t xml:space="preserve">ประเมินซ้ำเมื่อกิจกรรมเปลี่ยนหรือครบรอบ</t>
  </si>
  <si>
    <t xml:space="preserve">Re-assessment</t>
  </si>
  <si>
    <t xml:space="preserve">คำนวณความเสี่ยงใหม่เมื่อ RoPA เปลี่ยน และเตือนทบทวนตามรอบ</t>
  </si>
  <si>
    <t xml:space="preserve">RRA-13</t>
  </si>
  <si>
    <t xml:space="preserve">คะแนนความพร้อมรายหน่วยงาน</t>
  </si>
  <si>
    <t xml:space="preserve">Compliance score</t>
  </si>
  <si>
    <t xml:space="preserve">คะแนนความสอดคล้องต่อกิจกรรมและหน่วยงาน ใช้เปรียบเทียบและติดตามความคืบหน้า</t>
  </si>
  <si>
    <t xml:space="preserve">RRA-14</t>
  </si>
  <si>
    <t xml:space="preserve">รายงานความเสี่ยงสำหรับผู้บริหาร</t>
  </si>
  <si>
    <t xml:space="preserve">Executive risk report</t>
  </si>
  <si>
    <t xml:space="preserve">สรุปความเสี่ยงสูง แผนแก้ไข และความคืบหน้า ส่งออก PDF</t>
  </si>
  <si>
    <t xml:space="preserve">6. ระบบจัดการเอกสารข้อตกลงการแบ่งปันข้อมูลส่วนบุคคล (Data Sharing Agreement Generator (DSA))</t>
  </si>
  <si>
    <t xml:space="preserve">ขอบเขต: ข้อตกลงการแบ่งปันข้อมูลระหว่างผู้ควบคุมข้อมูล (ไม่ใช่ผู้ประมวลผล)</t>
  </si>
  <si>
    <t xml:space="preserve">DSA-01</t>
  </si>
  <si>
    <t xml:space="preserve">ตั้งต้น</t>
  </si>
  <si>
    <t xml:space="preserve">ตรวจว่าต้องใช้ DSA หรือ DPA</t>
  </si>
  <si>
    <t xml:space="preserve">Agreement type check</t>
  </si>
  <si>
    <t xml:space="preserve">ถามบทบาทของผู้รับข้อมูล: ผู้ควบคุมข้อมูลรายอื่นใช้ DSA, ผู้ประมวลผลใช้ DPA ตาม ม.40</t>
  </si>
  <si>
    <t xml:space="preserve">ม.27, ม.40</t>
  </si>
  <si>
    <t xml:space="preserve">DSA-02</t>
  </si>
  <si>
    <t xml:space="preserve">ข้อมูลคู่สัญญาและบทบาท</t>
  </si>
  <si>
    <t xml:space="preserve">Parties &amp; roles</t>
  </si>
  <si>
    <t xml:space="preserve">ดึงข้อมูลจากทะเบียนหน่วยงานภายนอก รองรับหลายฝ่ายและกรณีผู้ควบคุมร่วม</t>
  </si>
  <si>
    <t xml:space="preserve">ม.27</t>
  </si>
  <si>
    <t xml:space="preserve">DSA-03</t>
  </si>
  <si>
    <t xml:space="preserve">Template DSA มาตรฐาน</t>
  </si>
  <si>
    <t xml:space="preserve">DSA templates</t>
  </si>
  <si>
    <t xml:space="preserve">แบบส่งข้อมูลทางเดียว แลกเปลี่ยนสองทาง ระหว่างหน่วยงานรัฐ และเพื่อการวิจัย</t>
  </si>
  <si>
    <t xml:space="preserve">ม.27 วรรคสอง, ม.37(2)</t>
  </si>
  <si>
    <t xml:space="preserve">3.15</t>
  </si>
  <si>
    <t xml:space="preserve">DSA-04</t>
  </si>
  <si>
    <t xml:space="preserve">สร้างเอกสารอัตโนมัติจาก RoPA</t>
  </si>
  <si>
    <t xml:space="preserve">Auto-generate from RoPA</t>
  </si>
  <si>
    <t xml:space="preserve">ดึงวัตถุประสงค์ ประเภทข้อมูล ฐานกฎหมาย ระยะเวลาเก็บ และผู้รับจากกิจกรรมใน RoPA มาเติมในข้อตกลง</t>
  </si>
  <si>
    <t xml:space="preserve">DSA-05</t>
  </si>
  <si>
    <t xml:space="preserve">ข้อกำหนด</t>
  </si>
  <si>
    <t xml:space="preserve">ข้อกำหนดที่ต้องมี</t>
  </si>
  <si>
    <t xml:space="preserve">Mandatory clauses</t>
  </si>
  <si>
    <t xml:space="preserve">วัตถุประสงค์ที่ใช้ได้, ห้ามใช้หรือเปิดเผยเกินวัตถุประสงค์, มาตรการความปลอดภัย, การแจ้งเหตุละเมิด, การรองรับคำขอใช้สิทธิ, ระยะเวลาเก็บและการทำลาย, การส่งต่อ, การโอนต่างประเทศ, การสิ้นสุดข้อตกลง</t>
  </si>
  <si>
    <t xml:space="preserve">ม.27, ม.28-29, ม.37(2)</t>
  </si>
  <si>
    <t xml:space="preserve">DSA-06</t>
  </si>
  <si>
    <t xml:space="preserve">คลังข้อความสัญญา</t>
  </si>
  <si>
    <t xml:space="preserve">Clause library</t>
  </si>
  <si>
    <t xml:space="preserve">ข้อความมาตรฐาน TH/EN ที่เลือกใช้และปรับได้ มีเวอร์ชัน</t>
  </si>
  <si>
    <t xml:space="preserve">DSA-07</t>
  </si>
  <si>
    <t xml:space="preserve">ภาคผนวกประกอบข้อตกลง</t>
  </si>
  <si>
    <t xml:space="preserve">Annexes</t>
  </si>
  <si>
    <t xml:space="preserve">รายการข้อมูลที่แบ่งปัน มาตรการความปลอดภัย แบบคำขอข้อมูล และแผนผังการส่งข้อมูล</t>
  </si>
  <si>
    <t xml:space="preserve">DSA-08</t>
  </si>
  <si>
    <t xml:space="preserve">ตรวจทานและอนุมัติ</t>
  </si>
  <si>
    <t xml:space="preserve">Review &amp; approval</t>
  </si>
  <si>
    <t xml:space="preserve">ส่งให้ฝ่ายกฎหมายและ DPO ตรวจ แสดงความเห็น และอนุมัติก่อนลงนาม</t>
  </si>
  <si>
    <t xml:space="preserve">DSA-09</t>
  </si>
  <si>
    <t xml:space="preserve">เวอร์ชันและประวัติ</t>
  </si>
  <si>
    <t xml:space="preserve">Versions &amp; history</t>
  </si>
  <si>
    <t xml:space="preserve">เก็บทุกเวอร์ชัน เปรียบเทียบการแก้ไข และบันทึกการดาวน์โหลด</t>
  </si>
  <si>
    <t xml:space="preserve">DSA-10</t>
  </si>
  <si>
    <t xml:space="preserve">ลงนาม</t>
  </si>
  <si>
    <t xml:space="preserve">ส่งออกและลงนามอิเล็กทรอนิกส์</t>
  </si>
  <si>
    <t xml:space="preserve">Export &amp; e-signature</t>
  </si>
  <si>
    <t xml:space="preserve">ส่งออก Word/PDF และส่งลงนามอิเล็กทรอนิกส์</t>
  </si>
  <si>
    <t xml:space="preserve">พ.ร.บ.ว่าด้วยธุรกรรมทางอิเล็กทรอนิกส์ พ.ศ. 2544</t>
  </si>
  <si>
    <t xml:space="preserve">DSA-11</t>
  </si>
  <si>
    <t xml:space="preserve">ทะเบียนข้อตกลงและแจ้งเตือนหมดอายุ</t>
  </si>
  <si>
    <t xml:space="preserve">Agreement register &amp; expiry alerts</t>
  </si>
  <si>
    <t xml:space="preserve">รายการข้อตกลง สถานะ วันเริ่ม/สิ้นสุด และแจ้งเตือนก่อนหมดอายุ</t>
  </si>
  <si>
    <t xml:space="preserve">ม.37(2)</t>
  </si>
  <si>
    <t xml:space="preserve">DSA-12</t>
  </si>
  <si>
    <t xml:space="preserve">ผูกข้อตกลงกับกิจกรรมและแผนผัง</t>
  </si>
  <si>
    <t xml:space="preserve">Link to RoPA &amp; data flow</t>
  </si>
  <si>
    <t xml:space="preserve">แสดงข้อตกลงที่รองรับการส่งข้อมูลแต่ละเส้นทาง และแจ้งเตือนเส้นทางที่ยังไม่มีข้อตกลง</t>
  </si>
  <si>
    <t xml:space="preserve">DSA-13</t>
  </si>
  <si>
    <t xml:space="preserve">ติดตามภาระผูกพันตามข้อตกลง</t>
  </si>
  <si>
    <t xml:space="preserve">Obligation tracking</t>
  </si>
  <si>
    <t xml:space="preserve">ติดตามการลบข้อมูลเมื่อสิ้นสุดข้อตกลง การรายงานการใช้ และการทบทวนตามรอบ</t>
  </si>
  <si>
    <t xml:space="preserve">ม.37(2), ม.37(3)</t>
  </si>
  <si>
    <t xml:space="preserve">DSA-14</t>
  </si>
  <si>
    <t xml:space="preserve">ภาครัฐ</t>
  </si>
  <si>
    <t xml:space="preserve">รองรับการแบ่งปันข้อมูลระหว่างหน่วยงานรัฐ</t>
  </si>
  <si>
    <t xml:space="preserve">Inter-agency data sharing</t>
  </si>
  <si>
    <t xml:space="preserve">template และขั้นตอนสำหรับการแลกเปลี่ยนข้อมูลระหว่างหน่วยงานของรัฐ</t>
  </si>
  <si>
    <t xml:space="preserve">พ.ร.บ.การบริหารงานและการให้บริการภาครัฐผ่านระบบดิจิทัล พ.ศ. 2562</t>
  </si>
  <si>
    <t xml:space="preserve">7. ระบบแบบประเมินคู่ค้า/คู่สัญญา (Vendor Assessment Module)</t>
  </si>
  <si>
    <t xml:space="preserve">ขอบเขต: ทะเบียนและประเมินคู่ค้า/ผู้ประมวลผลตลอดวงจร ตั้งแต่คัดเลือกจนยุติการใช้บริการ</t>
  </si>
  <si>
    <t xml:space="preserve">VEN-01</t>
  </si>
  <si>
    <t xml:space="preserve">ทะเบียนคู่ค้าและผู้ประมวลผล</t>
  </si>
  <si>
    <t xml:space="preserve">Vendor registry</t>
  </si>
  <si>
    <t xml:space="preserve">ข้อมูลบริษัท ผู้ติดต่อ บริการ ข้อมูลที่เข้าถึง ประเทศที่ประมวลผล และสัญญา</t>
  </si>
  <si>
    <t xml:space="preserve">ม.40</t>
  </si>
  <si>
    <t xml:space="preserve">4.15</t>
  </si>
  <si>
    <t xml:space="preserve">VEN-02</t>
  </si>
  <si>
    <t xml:space="preserve">จัดระดับความเสี่ยงคู่ค้า</t>
  </si>
  <si>
    <t xml:space="preserve">Vendor tiering</t>
  </si>
  <si>
    <t xml:space="preserve">แบ่งระดับตามประเภทและปริมาณข้อมูล ข้อมูลอ่อนไหว และการโอนต่างประเทศ เพื่อกำหนดความเข้มของการประเมิน</t>
  </si>
  <si>
    <t xml:space="preserve">ม.37(1), ม.40</t>
  </si>
  <si>
    <t xml:space="preserve">VEN-03</t>
  </si>
  <si>
    <t xml:space="preserve">ผู้ประมวลผลช่วง</t>
  </si>
  <si>
    <t xml:space="preserve">Sub-processor management</t>
  </si>
  <si>
    <t xml:space="preserve">บันทึกผู้ประมวลผลช่วงของคู่ค้า และการอนุมัติก่อนใช้</t>
  </si>
  <si>
    <t xml:space="preserve">VEN-04</t>
  </si>
  <si>
    <t xml:space="preserve">คลังแบบประเมินคู่ค้า</t>
  </si>
  <si>
    <t xml:space="preserve">Questionnaire templates</t>
  </si>
  <si>
    <t xml:space="preserve">แบบประเมิน PDPA ความปลอดภัยสารสนเทศ (อ้างอิง ISO 27001/27701) และการโอนต่างประเทศ</t>
  </si>
  <si>
    <t xml:space="preserve">ม.40; ประกาศมาตรการความปลอดภัย พ.ศ. 2565</t>
  </si>
  <si>
    <t xml:space="preserve">VEN-05</t>
  </si>
  <si>
    <t xml:space="preserve">พอร์ทัลให้คู่ค้าตอบแบบประเมิน</t>
  </si>
  <si>
    <t xml:space="preserve">Vendor portal</t>
  </si>
  <si>
    <t xml:space="preserve">คู่ค้าตอบแบบประเมินและแนบหลักฐานผ่านลิงก์ โดยไม่ต้องมีบัญชีผู้ใช้เต็มรูปแบบ</t>
  </si>
  <si>
    <t xml:space="preserve">VEN-06</t>
  </si>
  <si>
    <t xml:space="preserve">ตรวจหลักฐานและใบรับรอง</t>
  </si>
  <si>
    <t xml:space="preserve">Evidence &amp; certificates</t>
  </si>
  <si>
    <t xml:space="preserve">เก็บใบรับรอง (ISO 27001, SOC 2) และแจ้งเตือนเมื่อใกล้หมดอายุ</t>
  </si>
  <si>
    <t xml:space="preserve">VEN-07</t>
  </si>
  <si>
    <t xml:space="preserve">ผลประเมิน</t>
  </si>
  <si>
    <t xml:space="preserve">คำนวณคะแนนความเสี่ยงอัตโนมัติ</t>
  </si>
  <si>
    <t xml:space="preserve">Automated scoring</t>
  </si>
  <si>
    <t xml:space="preserve">คิดคะแนนจากคำตอบและน้ำหนักคำถาม สรุประดับความเสี่ยงและความเสี่ยงคงเหลือ</t>
  </si>
  <si>
    <t xml:space="preserve">VEN-08</t>
  </si>
  <si>
    <t xml:space="preserve">อนุมัติหรือปฏิเสธคู่ค้า</t>
  </si>
  <si>
    <t xml:space="preserve">Approval workflow</t>
  </si>
  <si>
    <t xml:space="preserve">ผู้ประเมินให้ความเห็น และผู้มีอำนาจอนุมัติ / ปฏิเสธ / อนุมัติแบบมีเงื่อนไข</t>
  </si>
  <si>
    <t xml:space="preserve">VEN-09</t>
  </si>
  <si>
    <t xml:space="preserve">แผนแก้ไขข้อบกพร่องของคู่ค้า</t>
  </si>
  <si>
    <t xml:space="preserve">Vendor remediation plan</t>
  </si>
  <si>
    <t xml:space="preserve">กำหนดประเด็นที่ต้องแก้ ผู้รับผิดชอบฝั่งคู่ค้า และกำหนดเสร็จ</t>
  </si>
  <si>
    <t xml:space="preserve">VEN-10</t>
  </si>
  <si>
    <t xml:space="preserve">ประเมินซ้ำตามรอบ</t>
  </si>
  <si>
    <t xml:space="preserve">Periodic re-assessment</t>
  </si>
  <si>
    <t xml:space="preserve">ตั้งรอบประเมินตามระดับความเสี่ยง และส่งแบบประเมินอัตโนมัติ</t>
  </si>
  <si>
    <t xml:space="preserve">VEN-11</t>
  </si>
  <si>
    <t xml:space="preserve">ผูกคู่ค้ากับสัญญาและกิจกรรม</t>
  </si>
  <si>
    <t xml:space="preserve">Link to DPA / DSA / RoPA</t>
  </si>
  <si>
    <t xml:space="preserve">แสดงสัญญา DPA/DSA ผลประเมิน และกิจกรรมที่คู่ค้าเกี่ยวข้อง แจ้งเตือนคู่ค้าที่ยังไม่มีสัญญา</t>
  </si>
  <si>
    <t xml:space="preserve">VEN-12</t>
  </si>
  <si>
    <t xml:space="preserve">เหตุละเมิดที่เกี่ยวกับคู่ค้า</t>
  </si>
  <si>
    <t xml:space="preserve">Vendor incidents</t>
  </si>
  <si>
    <t xml:space="preserve">บันทึกเหตุที่คู่ค้าแจ้ง และเชื่อมกับโมดูลแจ้งเหตุละเมิด</t>
  </si>
  <si>
    <t xml:space="preserve">ม.40(2)</t>
  </si>
  <si>
    <t xml:space="preserve">VEN-13</t>
  </si>
  <si>
    <t xml:space="preserve">แดชบอร์ดความเสี่ยงคู่ค้า</t>
  </si>
  <si>
    <t xml:space="preserve">Vendor risk dashboard</t>
  </si>
  <si>
    <t xml:space="preserve">จำนวนคู่ค้าตามระดับความเสี่ยง สถานะการประเมิน และสัญญาใกล้หมดอายุ</t>
  </si>
  <si>
    <t xml:space="preserve">VEN-14</t>
  </si>
  <si>
    <t xml:space="preserve">ยุติ</t>
  </si>
  <si>
    <t xml:space="preserve">ยุติการใช้บริการ</t>
  </si>
  <si>
    <t xml:space="preserve">Vendor offboarding</t>
  </si>
  <si>
    <t xml:space="preserve">ขอคืนหรือทำลายข้อมูล เก็บใบยืนยันการทำลาย และปิดสิทธิ์การเข้าถึง</t>
  </si>
  <si>
    <t xml:space="preserve">ม.37(3), ม.40</t>
  </si>
  <si>
    <t xml:space="preserve">VEN-15</t>
  </si>
  <si>
    <t xml:space="preserve">AI ช่วยประเมินคู่ค้า</t>
  </si>
  <si>
    <t xml:space="preserve">AI vendor assessment</t>
  </si>
  <si>
    <t xml:space="preserve">วิเคราะห์เอกสารของคู่ค้าเพื่อเติมคำตอบและชี้ประเด็นเสี่ยง</t>
  </si>
  <si>
    <t xml:space="preserve">8. ระบบบริหารจัดการข้อมูลหน่วยงาน (Organization Management Module)</t>
  </si>
  <si>
    <t xml:space="preserve">ขอบเขต: ข้อมูลหน่วยงาน โครงสร้างองค์กร ข้อมูลตั้งต้น ผู้ใช้ สิทธิ์ และความปลอดภัยการเข้าถึง</t>
  </si>
  <si>
    <t xml:space="preserve">ORG-01</t>
  </si>
  <si>
    <t xml:space="preserve">ข้อมูลองค์กร</t>
  </si>
  <si>
    <t xml:space="preserve">ข้อมูลหน่วยงาน / นิติบุคคล</t>
  </si>
  <si>
    <t xml:space="preserve">Organization profile</t>
  </si>
  <si>
    <t xml:space="preserve">ชื่อ TH/EN เลขทะเบียนนิติบุคคล/ผู้เสียภาษี ที่อยู่ ช่องทางติดต่อ และโลโก้ ใช้ในประกาศ เอกสาร และแบบแจ้งเหตุ</t>
  </si>
  <si>
    <t xml:space="preserve">ม.23(5), ม.39(3)</t>
  </si>
  <si>
    <t xml:space="preserve">ORG-02</t>
  </si>
  <si>
    <t xml:space="preserve">หลายนิติบุคคลและบริษัทในเครือ</t>
  </si>
  <si>
    <t xml:space="preserve">Multi-entity / group</t>
  </si>
  <si>
    <t xml:space="preserve">จัดการหลายบริษัทในระบบเดียว แยกข้อมูลและสิทธิ์ต่อบริษัท และรองรับ DPO ร่วมของกลุ่ม</t>
  </si>
  <si>
    <t xml:space="preserve">ม.41 วรรคสอง</t>
  </si>
  <si>
    <t xml:space="preserve">5.07</t>
  </si>
  <si>
    <t xml:space="preserve">ORG-03</t>
  </si>
  <si>
    <t xml:space="preserve">ผู้แทนในประเทศไทย</t>
  </si>
  <si>
    <t xml:space="preserve">Local representative</t>
  </si>
  <si>
    <t xml:space="preserve">บันทึกผู้แทนกรณีผู้ควบคุมข้อมูลอยู่นอกประเทศ และใช้ในประกาศ</t>
  </si>
  <si>
    <t xml:space="preserve">ม.37(5)</t>
  </si>
  <si>
    <t xml:space="preserve">ORG-04</t>
  </si>
  <si>
    <t xml:space="preserve">โครงสร้าง</t>
  </si>
  <si>
    <t xml:space="preserve">โครงสร้างหน่วยงานแบบลำดับชั้น</t>
  </si>
  <si>
    <t xml:space="preserve">Organization hierarchy</t>
  </si>
  <si>
    <t xml:space="preserve">กลุ่ม → บริษัท → ฝ่าย → แผนก/สาขา แสดงแบบ tree และใช้กำหนดขอบเขตข้อมูล</t>
  </si>
  <si>
    <t xml:space="preserve">ORG-05</t>
  </si>
  <si>
    <t xml:space="preserve">ผู้ประสานงาน PDPA ประจำหน่วยงาน</t>
  </si>
  <si>
    <t xml:space="preserve">Privacy champions</t>
  </si>
  <si>
    <t xml:space="preserve">ระบุผู้ประสานงานของแต่ละแผนก เพื่อรับงาน RoPA คำขอใช้สิทธิ และการแจ้งเตือน</t>
  </si>
  <si>
    <t xml:space="preserve">ORG-06</t>
  </si>
  <si>
    <t xml:space="preserve">ทะเบียนหน่วยงานภายนอก</t>
  </si>
  <si>
    <t xml:space="preserve">External parties directory</t>
  </si>
  <si>
    <t xml:space="preserve">ผู้ประมวลผล ผู้รับข้อมูล และหน่วยงานรัฐ ใช้ร่วมกับ RoPA, DSA, DPA และ Vendor</t>
  </si>
  <si>
    <t xml:space="preserve">ม.39, ม.40</t>
  </si>
  <si>
    <t xml:space="preserve">ORG-07</t>
  </si>
  <si>
    <t xml:space="preserve">ข้อมูลตั้งต้น</t>
  </si>
  <si>
    <t xml:space="preserve">ข้อมูลตั้งต้นกลาง (Master data)</t>
  </si>
  <si>
    <t xml:space="preserve">Master data</t>
  </si>
  <si>
    <t xml:space="preserve">ประเภทข้อมูล ข้อมูลอ่อนไหว (ม.26) กลุ่มเจ้าของข้อมูล วัตถุประสงค์ ฐานกฎหมาย (ม.24/26) ระยะเวลาเก็บ และประเทศ</t>
  </si>
  <si>
    <t xml:space="preserve">ORG-08</t>
  </si>
  <si>
    <t xml:space="preserve">นำเข้าและส่งออกข้อมูลตั้งต้น</t>
  </si>
  <si>
    <t xml:space="preserve">Master data import/export</t>
  </si>
  <si>
    <t xml:space="preserve">นำเข้าและส่งออกข้อมูลตั้งต้นด้วย Excel</t>
  </si>
  <si>
    <t xml:space="preserve">ORG-09</t>
  </si>
  <si>
    <t xml:space="preserve">ผู้ใช้และสิทธิ์</t>
  </si>
  <si>
    <t xml:space="preserve">จัดการผู้ใช้</t>
  </si>
  <si>
    <t xml:space="preserve">User management</t>
  </si>
  <si>
    <t xml:space="preserve">เชิญทางอีเมล เปิด/ปิดบัญชี ผูกหน่วยงาน และนำเข้าผู้ใช้จาก Excel</t>
  </si>
  <si>
    <t xml:space="preserve">ประกาศมาตรการความปลอดภัย พ.ศ. 2565</t>
  </si>
  <si>
    <t xml:space="preserve">OneTrust, Conzento</t>
  </si>
  <si>
    <t xml:space="preserve">ORG-10</t>
  </si>
  <si>
    <t xml:space="preserve">Role และ Permission</t>
  </si>
  <si>
    <t xml:space="preserve">Roles &amp; permissions</t>
  </si>
  <si>
    <t xml:space="preserve">role มาตรฐานและ custom role กำหนดสิทธิ์ราย module และ action (สร้าง/ดู/แก้/ลบ/อนุมัติ/ส่งออก)</t>
  </si>
  <si>
    <t xml:space="preserve">ประกาศมาตรการความปลอดภัย พ.ศ. 2565 (การควบคุมการเข้าถึง)</t>
  </si>
  <si>
    <t xml:space="preserve">ORG-11</t>
  </si>
  <si>
    <t xml:space="preserve">ขอบเขตข้อมูลตามหน่วยงาน</t>
  </si>
  <si>
    <t xml:space="preserve">Data scope</t>
  </si>
  <si>
    <t xml:space="preserve">ผู้ใช้เห็นเฉพาะข้อมูลของบริษัท/แผนก/สาขาที่ได้รับ</t>
  </si>
  <si>
    <t xml:space="preserve">ORG-12</t>
  </si>
  <si>
    <t xml:space="preserve">กลุ่มผู้ใช้และทีม</t>
  </si>
  <si>
    <t xml:space="preserve">User groups &amp; teams</t>
  </si>
  <si>
    <t xml:space="preserve">กลุ่มผู้ใช้สำหรับมอบหมายงาน และให้สิทธิ์เป็นกลุ่ม</t>
  </si>
  <si>
    <t xml:space="preserve">ORG-13</t>
  </si>
  <si>
    <t xml:space="preserve">โปรไฟล์และการตั้งค่าส่วนตัว</t>
  </si>
  <si>
    <t xml:space="preserve">User profile</t>
  </si>
  <si>
    <t xml:space="preserve">แก้ข้อมูลส่วนตัว รูป ภาษา และช่องทางรับแจ้งเตือน</t>
  </si>
  <si>
    <t xml:space="preserve">ORG-14</t>
  </si>
  <si>
    <t xml:space="preserve">ความปลอดภัย</t>
  </si>
  <si>
    <t xml:space="preserve">Login นโยบายรหัสผ่าน และ MFA</t>
  </si>
  <si>
    <t xml:space="preserve">Authentication &amp; MFA</t>
  </si>
  <si>
    <t xml:space="preserve">นโยบายรหัสผ่าน ล็อกบัญชีเมื่อผิดตามจำนวนที่ตั้ง ลืมรหัสผ่านทางอีเมล และ MFA</t>
  </si>
  <si>
    <t xml:space="preserve">ORG-15</t>
  </si>
  <si>
    <t xml:space="preserve">Single Sign-On และ ThaID</t>
  </si>
  <si>
    <t xml:space="preserve">SSO &amp; ThaID</t>
  </si>
  <si>
    <t xml:space="preserve">OIDC/SAML กับ Entra ID/Google, AD/LDAP และเข้าสู่ระบบด้วย ThaID</t>
  </si>
  <si>
    <t xml:space="preserve">5.17</t>
  </si>
  <si>
    <t xml:space="preserve">ORG-16</t>
  </si>
  <si>
    <t xml:space="preserve">API Client และ Service account</t>
  </si>
  <si>
    <t xml:space="preserve">API credentials</t>
  </si>
  <si>
    <t xml:space="preserve">OAuth2 client credentials, scope ต่อระบบ, หมุน secret และ IP allowlist</t>
  </si>
  <si>
    <t xml:space="preserve">ORG-17</t>
  </si>
  <si>
    <t xml:space="preserve">ปกปิดข้อมูลส่วนบุคคลบนหน้าจอ</t>
  </si>
  <si>
    <t xml:space="preserve">PII masking</t>
  </si>
  <si>
    <t xml:space="preserve">แสดงเลขบัตร/เบอร์/อีเมลแบบปกปิด เปิดดูได้เฉพาะผู้มีสิทธิ์พร้อมระบุเหตุผลและบันทึก log</t>
  </si>
  <si>
    <t xml:space="preserve">ORG-18</t>
  </si>
  <si>
    <t xml:space="preserve">ทบทวนสิทธิ์ตามรอบ</t>
  </si>
  <si>
    <t xml:space="preserve">Access review</t>
  </si>
  <si>
    <t xml:space="preserve">รอบทบทวนสิทธิ์ให้หัวหน้ายืนยันหรือถอน และสรุปผล</t>
  </si>
  <si>
    <t xml:space="preserve">5.13</t>
  </si>
  <si>
    <t xml:space="preserve">OneTrust*, Conzento*</t>
  </si>
  <si>
    <t xml:space="preserve">ORG-19</t>
  </si>
  <si>
    <t xml:space="preserve">Audit log</t>
  </si>
  <si>
    <t xml:space="preserve">บันทึกทุกการกระทำ ผู้ทำ เวลา และค่าก่อน/หลัง ค้นหาและส่งออกได้</t>
  </si>
  <si>
    <t xml:space="preserve">4.20</t>
  </si>
  <si>
    <t xml:space="preserve">ORG-20</t>
  </si>
  <si>
    <t xml:space="preserve">ตั้งค่าองค์กร</t>
  </si>
  <si>
    <t xml:space="preserve">Organization settings</t>
  </si>
  <si>
    <t xml:space="preserve">ภาษา TH/EN โลโก้และธีม template แจ้งเตือน และปฏิทินวันทำการ/วันหยุดสำหรับนับ SLA</t>
  </si>
  <si>
    <t xml:space="preserve">ORG-21</t>
  </si>
  <si>
    <t xml:space="preserve">เลือกที่เก็บข้อมูลและรูปแบบติดตั้ง</t>
  </si>
  <si>
    <t xml:space="preserve">Data residency &amp; deployment</t>
  </si>
  <si>
    <t xml:space="preserve">ติดตั้งแบบ on-premise หรือ cloud ในประเทศ เพื่อให้ข้อมูลอยู่ในไทย</t>
  </si>
  <si>
    <t xml:space="preserve">1.21</t>
  </si>
  <si>
    <t xml:space="preserve">Conzento</t>
  </si>
  <si>
    <t xml:space="preserve">9. ระบบจัดการแจ้งเหตุละเมิดข้อมูลส่วนบุคคล (Data Breach Notification)</t>
  </si>
  <si>
    <t xml:space="preserve">ขอบเขต: รับแจ้ง ประเมิน แจ้ง สคส. / เจ้าของข้อมูล และติดตามเหตุละเมิด</t>
  </si>
  <si>
    <t xml:space="preserve">BRE-01</t>
  </si>
  <si>
    <t xml:space="preserve">รับแจ้ง</t>
  </si>
  <si>
    <t xml:space="preserve">แบบฟอร์มแจ้งเหตุ</t>
  </si>
  <si>
    <t xml:space="preserve">Incident intake form</t>
  </si>
  <si>
    <t xml:space="preserve">แบบฟอร์มแจ้งเหตุสำหรับพนักงานและบุคคลภายนอก (ลิงก์/QR) เลือกภาษาได้</t>
  </si>
  <si>
    <t xml:space="preserve">ม.37(4)</t>
  </si>
  <si>
    <t xml:space="preserve">BRE-02</t>
  </si>
  <si>
    <t xml:space="preserve">ทะเบียนเหตุละเมิด</t>
  </si>
  <si>
    <t xml:space="preserve">Breach register</t>
  </si>
  <si>
    <t xml:space="preserve">บันทึกเหตุ ประเภท (ความลับ / ความถูกต้อง / ความพร้อมใช้) ข้อมูลและจำนวนเจ้าของข้อมูลที่ได้รับผลกระทบ และสถานะ</t>
  </si>
  <si>
    <t xml:space="preserve">ม.37(4); ประกาศแจ้งเหตุละเมิด พ.ศ. 2565</t>
  </si>
  <si>
    <t xml:space="preserve">4.09</t>
  </si>
  <si>
    <t xml:space="preserve">BRE-03</t>
  </si>
  <si>
    <t xml:space="preserve">รับแจ้งเหตุจากผู้ประมวลผล</t>
  </si>
  <si>
    <t xml:space="preserve">Processor breach notification</t>
  </si>
  <si>
    <t xml:space="preserve">ผู้ประมวลผลแจ้งเหตุต่อผู้ควบคุมข้อมูลผ่านช่องทางที่กำหนด และเริ่มนับเวลาในระบบ</t>
  </si>
  <si>
    <t xml:space="preserve">BRE-04</t>
  </si>
  <si>
    <t xml:space="preserve">กำหนดผู้รับแจ้งและทีมตอบสนอง</t>
  </si>
  <si>
    <t xml:space="preserve">Response team routing</t>
  </si>
  <si>
    <t xml:space="preserve">ตั้งค่าผู้รับแจ้งเตือนตามประเภทและระดับเหตุ</t>
  </si>
  <si>
    <t xml:space="preserve">BRE-05</t>
  </si>
  <si>
    <t xml:space="preserve">ประเมินความเสี่ยงของเหตุ</t>
  </si>
  <si>
    <t xml:space="preserve">Breach risk assessment</t>
  </si>
  <si>
    <t xml:space="preserve">ประเมินตามปัจจัย เช่น ลักษณะและปริมาณข้อมูล จำนวนและสถานะของเจ้าของข้อมูล ความรุนแรงของผลกระทบ และมาตรการที่มีอยู่</t>
  </si>
  <si>
    <t xml:space="preserve">ประกาศแจ้งเหตุละเมิด พ.ศ. 2565</t>
  </si>
  <si>
    <t xml:space="preserve">4.11</t>
  </si>
  <si>
    <t xml:space="preserve">BRE-06</t>
  </si>
  <si>
    <t xml:space="preserve">ตัดสินหน้าที่แจ้งพร้อมเหตุผล</t>
  </si>
  <si>
    <t xml:space="preserve">Notification decision</t>
  </si>
  <si>
    <t xml:space="preserve">สรุปว่า ไม่มีความเสี่ยง / ต้องแจ้ง สคส. / ต้องแจ้ง สคส. และเจ้าของข้อมูล (ความเสี่ยงสูง) พร้อมบันทึกเหตุผล</t>
  </si>
  <si>
    <t xml:space="preserve">BRE-07</t>
  </si>
  <si>
    <t xml:space="preserve">แจ้ง</t>
  </si>
  <si>
    <t xml:space="preserve">นับเวลา 72 ชั่วโมง</t>
  </si>
  <si>
    <t xml:space="preserve">72-hour countdown</t>
  </si>
  <si>
    <t xml:space="preserve">นับจากเวลาที่ทราบเหตุ แจ้งเตือนและ escalate ก่อนครบกำหนด</t>
  </si>
  <si>
    <t xml:space="preserve">4.10</t>
  </si>
  <si>
    <t xml:space="preserve">BRE-08</t>
  </si>
  <si>
    <t xml:space="preserve">แจ้งล่าช้าพร้อมเหตุผล</t>
  </si>
  <si>
    <t xml:space="preserve">Late notification</t>
  </si>
  <si>
    <t xml:space="preserve">บันทึกเหตุผลความล่าช้า และแจ้งภายในกรอบที่ สคส. กำหนด (ไม่เกิน 15 วัน)</t>
  </si>
  <si>
    <t xml:space="preserve">ประกาศแจ้งเหตุละเมิด พ.ศ. 2565 + คำชี้แจง สคส.</t>
  </si>
  <si>
    <t xml:space="preserve">BRE-09</t>
  </si>
  <si>
    <t xml:space="preserve">แบบแจ้ง สคส. และแจ้งเพิ่มเติมเป็นระยะ</t>
  </si>
  <si>
    <t xml:space="preserve">PDPC notification &amp; phased reporting</t>
  </si>
  <si>
    <t xml:space="preserve">แบบแจ้งครบหัวข้อตามประกาศ แจ้งข้อมูลเบื้องต้นก่อน แล้วส่งรายละเอียดเพิ่มเมื่อสอบสวนเสร็จ</t>
  </si>
  <si>
    <t xml:space="preserve">4.12</t>
  </si>
  <si>
    <t xml:space="preserve">BRE-10</t>
  </si>
  <si>
    <t xml:space="preserve">แจ้งเจ้าของข้อมูลเมื่อความเสี่ยงสูง</t>
  </si>
  <si>
    <t xml:space="preserve">Data subject notification</t>
  </si>
  <si>
    <t xml:space="preserve">template TH/EN ส่งหลายช่องทาง และบันทึกผลการส่ง</t>
  </si>
  <si>
    <t xml:space="preserve">BRE-11</t>
  </si>
  <si>
    <t xml:space="preserve">ตอบสนอง</t>
  </si>
  <si>
    <t xml:space="preserve">แผนตอบสนองและงานควบคุมเหตุ</t>
  </si>
  <si>
    <t xml:space="preserve">Response playbook &amp; tasks</t>
  </si>
  <si>
    <t xml:space="preserve">playbook ตามประเภทเหตุ มอบหมายงานควบคุม แก้ไข และกู้คืน</t>
  </si>
  <si>
    <t xml:space="preserve">BRE-12</t>
  </si>
  <si>
    <t xml:space="preserve">หลักฐานและลำดับเหตุการณ์</t>
  </si>
  <si>
    <t xml:space="preserve">Evidence &amp; timeline</t>
  </si>
  <si>
    <t xml:space="preserve">เก็บหลักฐาน การตัดสินใจ และลำดับเหตุการณ์สำหรับตรวจสอบภายหลัง</t>
  </si>
  <si>
    <t xml:space="preserve">BRE-13</t>
  </si>
  <si>
    <t xml:space="preserve">ประวัติและสืบค้นเหตุ</t>
  </si>
  <si>
    <t xml:space="preserve">History &amp; search</t>
  </si>
  <si>
    <t xml:space="preserve">ประวัติการแก้ไขและสถานะของแต่ละเหตุ ค้นหาย้อนหลังได้</t>
  </si>
  <si>
    <t xml:space="preserve">BRE-14</t>
  </si>
  <si>
    <t xml:space="preserve">รายงานและสถิติเหตุละเมิด</t>
  </si>
  <si>
    <t xml:space="preserve">Breach reports</t>
  </si>
  <si>
    <t xml:space="preserve">สรุปจำนวน ประเภท ระยะเวลาตอบสนอง ส่งออก CSV/Excel/PDF</t>
  </si>
  <si>
    <t xml:space="preserve">BRE-15</t>
  </si>
  <si>
    <t xml:space="preserve">วิเคราะห์สาเหตุและบทเรียน</t>
  </si>
  <si>
    <t xml:space="preserve">Root cause &amp; lessons learned</t>
  </si>
  <si>
    <t xml:space="preserve">บันทึกสาเหตุ มาตรการป้องกันซ้ำ และติดตามการแก้ไข</t>
  </si>
  <si>
    <t xml:space="preserve">BRE-16</t>
  </si>
  <si>
    <t xml:space="preserve">ซ้อม</t>
  </si>
  <si>
    <t xml:space="preserve">ซ้อมรับมือเหตุละเมิด</t>
  </si>
  <si>
    <t xml:space="preserve">Breach drill</t>
  </si>
  <si>
    <t xml:space="preserve">สร้างเหตุแบบซ้อมที่ไม่ปนกับเหตุจริง และบันทึกบทเรียน</t>
  </si>
  <si>
    <t xml:space="preserve">5.14</t>
  </si>
  <si>
    <t xml:space="preserve">BRE-17</t>
  </si>
  <si>
    <t xml:space="preserve">AI ช่วยประเมินเหตุและร่างรายงาน</t>
  </si>
  <si>
    <t xml:space="preserve">AI breach assistant</t>
  </si>
  <si>
    <t xml:space="preserve">ช่วยประเมินขอบเขต เขตอำนาจ และร่างรายงานแจ้งเหตุ</t>
  </si>
  <si>
    <t xml:space="preserve">10. ระบบจัดการเอกสารข้อตกลงการประมวลผลข้อมูลส่วนบุคคล (Data Processing Agreement)</t>
  </si>
  <si>
    <t xml:space="preserve">ขอบเขต: ข้อตกลงระหว่างผู้ควบคุมข้อมูลกับผู้ประมวลผลข้อมูลตาม ม.40</t>
  </si>
  <si>
    <t xml:space="preserve">DPA-01</t>
  </si>
  <si>
    <t xml:space="preserve">Template DPA มาตรฐาน</t>
  </si>
  <si>
    <t xml:space="preserve">DPA templates</t>
  </si>
  <si>
    <t xml:space="preserve">template ข้อตกลงการประมวลผลตาม ม.40 ภาษาไทยและอังกฤษ ทำสำเนาและปรับแก้ได้</t>
  </si>
  <si>
    <t xml:space="preserve">GPPC, Conzento</t>
  </si>
  <si>
    <t xml:space="preserve">DPA-02</t>
  </si>
  <si>
    <t xml:space="preserve">สร้างแบบกรอกเองและแบบอัตโนมัติ</t>
  </si>
  <si>
    <t xml:space="preserve">Manual &amp; automatic generation</t>
  </si>
  <si>
    <t xml:space="preserve">สร้างจาก template โดยดึงข้อมูลคู่ค้า กิจกรรม และข้อมูลส่วนบุคคลที่ส่งให้ผู้ประมวลผล</t>
  </si>
  <si>
    <t xml:space="preserve">DPA-03</t>
  </si>
  <si>
    <t xml:space="preserve">ประมวลผลตามคำสั่ง มาตรการความปลอดภัย แจ้งเหตุละเมิด จัดทำ RoPA ผู้ประมวลผล ผู้ประมวลผลช่วง ช่วยตอบคำขอใช้สิทธิ คืน/ทำลายข้อมูลเมื่อสิ้นสุด สิทธิตรวจสอบ และการโอนต่างประเทศ</t>
  </si>
  <si>
    <t xml:space="preserve">ม.40(1)-(3), ม.28-29</t>
  </si>
  <si>
    <t xml:space="preserve">DPA-04</t>
  </si>
  <si>
    <t xml:space="preserve">ภาคผนวกรายละเอียดการประมวลผล</t>
  </si>
  <si>
    <t xml:space="preserve">Processing schedule</t>
  </si>
  <si>
    <t xml:space="preserve">ประเภทข้อมูล กลุ่มเจ้าของข้อมูล วัตถุประสงค์ ระยะเวลา และมาตรการความปลอดภัย</t>
  </si>
  <si>
    <t xml:space="preserve">DPA-05</t>
  </si>
  <si>
    <t xml:space="preserve">ข้อสัญญาการโอนต่างประเทศ</t>
  </si>
  <si>
    <t xml:space="preserve">Cross-border clauses</t>
  </si>
  <si>
    <t xml:space="preserve">ข้อสัญญามาตรฐานสำหรับการโอนข้อมูลไปต่างประเทศตามประกาศ สคส.</t>
  </si>
  <si>
    <t xml:space="preserve">ประกาศ สคส. ตามมาตรา 29 พ.ศ. 2566</t>
  </si>
  <si>
    <t xml:space="preserve">DPA-06</t>
  </si>
  <si>
    <t xml:space="preserve">แก้ไขเอกสารในระบบ</t>
  </si>
  <si>
    <t xml:space="preserve">In-app editor</t>
  </si>
  <si>
    <t xml:space="preserve">ปรับข้อความ ฟอนต์ ย่อหน้า สารบัญ และเพิ่มฟิลด์ในเอกสาร</t>
  </si>
  <si>
    <t xml:space="preserve">DPA-07</t>
  </si>
  <si>
    <t xml:space="preserve">ส่งให้ฝ่ายกฎหมายและ DPO ตรวจ และอนุมัติก่อนลงนาม</t>
  </si>
  <si>
    <t xml:space="preserve">DPA-08</t>
  </si>
  <si>
    <t xml:space="preserve">เวอร์ชันและประวัติการดาวน์โหลด</t>
  </si>
  <si>
    <t xml:space="preserve">Versions &amp; download history</t>
  </si>
  <si>
    <t xml:space="preserve">เก็บประวัติเวอร์ชัน ผู้แก้ไข วันที่ และการดาวน์โหลด</t>
  </si>
  <si>
    <t xml:space="preserve">DPA-09</t>
  </si>
  <si>
    <t xml:space="preserve">ส่งออก Word/PDF ดูตัวอย่างก่อนส่ง และส่งลงนามอิเล็กทรอนิกส์</t>
  </si>
  <si>
    <t xml:space="preserve">DPA-10</t>
  </si>
  <si>
    <t xml:space="preserve">ทะเบียน DPA และแจ้งเตือนหมดอายุ</t>
  </si>
  <si>
    <t xml:space="preserve">DPA register &amp; expiry alerts</t>
  </si>
  <si>
    <t xml:space="preserve">สถานะสัญญา วันเริ่ม/สิ้นสุด และแจ้งเตือนก่อนหมดอายุ</t>
  </si>
  <si>
    <t xml:space="preserve">DPA-11</t>
  </si>
  <si>
    <t xml:space="preserve">ผูก DPA กับคู่ค้าและกิจกรรม</t>
  </si>
  <si>
    <t xml:space="preserve">Link to vendor &amp; RoPA</t>
  </si>
  <si>
    <t xml:space="preserve">แสดง DPA ของแต่ละคู่ค้า ผลประเมิน และกิจกรรมที่ใช้ผู้ประมวลผลนั้น</t>
  </si>
  <si>
    <t xml:space="preserve">DPA-12</t>
  </si>
  <si>
    <t xml:space="preserve">แจ้งเตือนผู้ประมวลผลที่ยังไม่มี DPA</t>
  </si>
  <si>
    <t xml:space="preserve">Missing DPA alert</t>
  </si>
  <si>
    <t xml:space="preserve">ตรวจหาคู่ค้าที่เป็นผู้ประมวลผลแต่ยังไม่มีข้อตกลงที่มีผลบังคับ</t>
  </si>
  <si>
    <t xml:space="preserve">DPA-13</t>
  </si>
  <si>
    <t xml:space="preserve">ติดตามการคืน/ทำลายข้อมูลเมื่อสิ้นสุด</t>
  </si>
  <si>
    <t xml:space="preserve">Return / deletion tracking</t>
  </si>
  <si>
    <t xml:space="preserve">ขอใบยืนยันการทำลายหรือคืนข้อมูลเมื่อสัญญาสิ้นสุด</t>
  </si>
  <si>
    <t xml:space="preserve">DPA-14</t>
  </si>
  <si>
    <t xml:space="preserve">ผู้ประมวลผล</t>
  </si>
  <si>
    <t xml:space="preserve">ตรวจ DPA ที่ได้รับจากลูกค้า</t>
  </si>
  <si>
    <t xml:space="preserve">Inbound DPA review</t>
  </si>
  <si>
    <t xml:space="preserve">checklist สำหรับองค์กรที่เป็นผู้ประมวลผล ใช้ตรวจ DPA ที่ลูกค้าส่งมา</t>
  </si>
  <si>
    <t xml:space="preserve">11. ระบบบริหารจัดการความยินยอม (Cookies and Consent Management)</t>
  </si>
  <si>
    <t xml:space="preserve">ขอบเขต: คุกกี้และความยินยอมทุกช่องทาง ตั้งแต่เก็บ พิสูจน์ ถอน จนเชื่อมระบบปลายทาง</t>
  </si>
  <si>
    <t xml:space="preserve">CON-01</t>
  </si>
  <si>
    <t xml:space="preserve">คุกกี้</t>
  </si>
  <si>
    <t xml:space="preserve">แบนเนอร์คุกกี้บนเว็บไซต์</t>
  </si>
  <si>
    <t xml:space="preserve">Cookie consent banner</t>
  </si>
  <si>
    <t xml:space="preserve">แสดงเมื่อเข้าเว็บครั้งแรก ปุ่มยอมรับทั้งหมด / ปฏิเสธทั้งหมด / ตั้งค่า น้ำหนักเท่ากัน ไม่ติ๊กไว้ล่วงหน้า</t>
  </si>
  <si>
    <t xml:space="preserve">ม.19, ม.23</t>
  </si>
  <si>
    <t xml:space="preserve">1.01</t>
  </si>
  <si>
    <t xml:space="preserve">CON-02</t>
  </si>
  <si>
    <t xml:space="preserve">ตั้งค่าคุกกี้รายหมวด</t>
  </si>
  <si>
    <t xml:space="preserve">Granular cookie preferences</t>
  </si>
  <si>
    <t xml:space="preserve">แยกหมวด Strictly Necessary / Functional / Analytics / Marketing ให้เลือกเปิด-ปิดรายหมวด</t>
  </si>
  <si>
    <t xml:space="preserve">ม.19</t>
  </si>
  <si>
    <t xml:space="preserve">1.02</t>
  </si>
  <si>
    <t xml:space="preserve">CON-03</t>
  </si>
  <si>
    <t xml:space="preserve">บล็อกสคริปต์ก่อนได้รับความยินยอม</t>
  </si>
  <si>
    <t xml:space="preserve">Prior blocking</t>
  </si>
  <si>
    <t xml:space="preserve">ไม่โหลดคุกกี้/แท็กที่ไม่จำเป็นจนกว่าจะได้รับความยินยอม รองรับ Google Consent Mode v2 และ GTM</t>
  </si>
  <si>
    <t xml:space="preserve">1.03</t>
  </si>
  <si>
    <t xml:space="preserve">CON-04</t>
  </si>
  <si>
    <t xml:space="preserve">สแกนและจัดหมวดคุกกี้อัตโนมัติ</t>
  </si>
  <si>
    <t xml:space="preserve">Cookie scanner</t>
  </si>
  <si>
    <t xml:space="preserve">สแกนตามรอบ ตรวจจับคุกกี้/แท็กใหม่ และจัดหมวดจากฐานข้อมูลคุกกี้</t>
  </si>
  <si>
    <t xml:space="preserve">ม.23</t>
  </si>
  <si>
    <t xml:space="preserve">1.04</t>
  </si>
  <si>
    <t xml:space="preserve">CON-05</t>
  </si>
  <si>
    <t xml:space="preserve">นโยบายคุกกี้อัตโนมัติ</t>
  </si>
  <si>
    <t xml:space="preserve">Auto cookie policy</t>
  </si>
  <si>
    <t xml:space="preserve">สร้างและอัปเดตตารางคุกกี้ในหน้า Cookie Policy ภาษาไทย-อังกฤษ</t>
  </si>
  <si>
    <t xml:space="preserve">1.05</t>
  </si>
  <si>
    <t xml:space="preserve">CON-06</t>
  </si>
  <si>
    <t xml:space="preserve">ปรับแต่งดีไซน์และหลายภาษา</t>
  </si>
  <si>
    <t xml:space="preserve">Branding &amp; multi-language</t>
  </si>
  <si>
    <t xml:space="preserve">ปรับสี โลโก้ ตำแหน่ง CSS ดูตัวอย่างหลายขนาดจอ และตรวจภาษา browser</t>
  </si>
  <si>
    <t xml:space="preserve">1.06</t>
  </si>
  <si>
    <t xml:space="preserve">CON-07</t>
  </si>
  <si>
    <t xml:space="preserve">หลายโดเมนและ Mobile SDK</t>
  </si>
  <si>
    <t xml:space="preserve">Multi-domain &amp; mobile SDK</t>
  </si>
  <si>
    <t xml:space="preserve">จัดการหลายเว็บไซต์ SDK iOS/Android และรองรับ LINE OA / LIFF</t>
  </si>
  <si>
    <t xml:space="preserve">แนวปฏิบัติตลาดไทย</t>
  </si>
  <si>
    <t xml:space="preserve">1.07</t>
  </si>
  <si>
    <t xml:space="preserve">CON-08</t>
  </si>
  <si>
    <t xml:space="preserve">A/B testing และวัด consent rate</t>
  </si>
  <si>
    <t xml:space="preserve">Banner A/B testing</t>
  </si>
  <si>
    <t xml:space="preserve">ทดสอบแบนเนอร์หลายแบบและวัดอัตราการยินยอม</t>
  </si>
  <si>
    <t xml:space="preserve">CON-09</t>
  </si>
  <si>
    <t xml:space="preserve">ความยินยอม</t>
  </si>
  <si>
    <t xml:space="preserve">แบบฟอร์มขอความยินยอม (Collection Point)</t>
  </si>
  <si>
    <t xml:space="preserve">Consent form builder</t>
  </si>
  <si>
    <t xml:space="preserve">สร้างฟอร์มแบบ no-code ข้อความชัดเจนแยกจากเรื่องอื่น แยกวัตถุประสงค์ และไม่ผูกเป็นเงื่อนไขสัญญาเกินจำเป็น</t>
  </si>
  <si>
    <t xml:space="preserve">ม.19 วรรคสาม-สี่</t>
  </si>
  <si>
    <t xml:space="preserve">1.08</t>
  </si>
  <si>
    <t xml:space="preserve">CON-10</t>
  </si>
  <si>
    <t xml:space="preserve">ความยินยอมโดยชัดแจ้งสำหรับข้อมูลอ่อนไหว</t>
  </si>
  <si>
    <t xml:space="preserve">Explicit consent for sensitive data</t>
  </si>
  <si>
    <t xml:space="preserve">แยกข้อความและช่องยินยอมเฉพาะสำหรับข้อมูลตาม ม.26</t>
  </si>
  <si>
    <t xml:space="preserve">ม.26</t>
  </si>
  <si>
    <t xml:space="preserve">1.09</t>
  </si>
  <si>
    <t xml:space="preserve">CON-11</t>
  </si>
  <si>
    <t xml:space="preserve">ความยินยอมผู้เยาว์และผู้ปกครอง</t>
  </si>
  <si>
    <t xml:space="preserve">Minor / guardian consent</t>
  </si>
  <si>
    <t xml:space="preserve">ตรวจอายุตามเงื่อนไข ม.20 ผูกผู้ปกครองกับผู้เยาว์ และส่งคำขอยืนยันไปยังผู้ปกครอง</t>
  </si>
  <si>
    <t xml:space="preserve">1.10</t>
  </si>
  <si>
    <t xml:space="preserve">CON-12</t>
  </si>
  <si>
    <t xml:space="preserve">เวอร์ชันข้อความยินยอม</t>
  </si>
  <si>
    <t xml:space="preserve">Consent versioning</t>
  </si>
  <si>
    <t xml:space="preserve">เก็บทุกเวอร์ชัน ระบุเวอร์ชันที่ยินยอม และขอความยินยอมใหม่เมื่อเปลี่ยนวัตถุประสงค์</t>
  </si>
  <si>
    <t xml:space="preserve">ม.19, ม.21</t>
  </si>
  <si>
    <t xml:space="preserve">1.11</t>
  </si>
  <si>
    <t xml:space="preserve">CON-13</t>
  </si>
  <si>
    <t xml:space="preserve">ถอนความยินยอม</t>
  </si>
  <si>
    <t xml:space="preserve">Consent withdrawal</t>
  </si>
  <si>
    <t xml:space="preserve">ถอนได้ง่ายเท่ากับการให้ ทุกช่องทาง มีผลทันที เลือกเหตุผลการถอน และหยุดการประมวลผลในระบบปลายทาง</t>
  </si>
  <si>
    <t xml:space="preserve">ม.19 วรรคห้า</t>
  </si>
  <si>
    <t xml:space="preserve">1.12</t>
  </si>
  <si>
    <t xml:space="preserve">CON-14</t>
  </si>
  <si>
    <t xml:space="preserve">เก็บความยินยอมหลายช่องทาง</t>
  </si>
  <si>
    <t xml:space="preserve">Omni-channel capture</t>
  </si>
  <si>
    <t xml:space="preserve">เว็บ แอป POS/หน้าร้าน Call center Kiosk LINE เอกสารกระดาษ พนักงานบันทึกแทนลูกค้า และ QR code</t>
  </si>
  <si>
    <t xml:space="preserve">1.15</t>
  </si>
  <si>
    <t xml:space="preserve">OneTrust*, GPPC*, Conzento</t>
  </si>
  <si>
    <t xml:space="preserve">CON-15</t>
  </si>
  <si>
    <t xml:space="preserve">หลักฐานความยินยอม (Receipt)</t>
  </si>
  <si>
    <t xml:space="preserve">Consent receipt &amp; log</t>
  </si>
  <si>
    <t xml:space="preserve">บันทึกที่แก้ไขไม่ได้: ใคร เมื่อไร ช่องทาง เวอร์ชัน IP อุปกรณ์ และประเภทรายการ (ยินยอม / ไม่ยินยอม / ถอน / หมดอายุ / ขยายอายุ)</t>
  </si>
  <si>
    <t xml:space="preserve">1.16</t>
  </si>
  <si>
    <t xml:space="preserve">CON-16</t>
  </si>
  <si>
    <t xml:space="preserve">REST API และ Webhook</t>
  </si>
  <si>
    <t xml:space="preserve">Consent API &amp; webhook</t>
  </si>
  <si>
    <t xml:space="preserve">ให้ CRM/ERP/CDP ตรวจสถานะความยินยอมแบบ real-time สร้าง/แก้โปรไฟล์ลูกค้า และรับ event เมื่อสถานะเปลี่ยน</t>
  </si>
  <si>
    <t xml:space="preserve">1.19</t>
  </si>
  <si>
    <t xml:space="preserve">CON-17</t>
  </si>
  <si>
    <t xml:space="preserve">ความปลอดภัยและที่เก็บข้อมูล</t>
  </si>
  <si>
    <t xml:space="preserve">Security &amp; data residency</t>
  </si>
  <si>
    <t xml:space="preserve">เข้ารหัสข้อมูล ควบคุมสิทธิ์ และเลือกเก็บข้อมูลในประเทศ</t>
  </si>
  <si>
    <t xml:space="preserve">CON-18</t>
  </si>
  <si>
    <t xml:space="preserve">ศูนย์ตั้งค่าความเป็นส่วนตัว</t>
  </si>
  <si>
    <t xml:space="preserve">Preference center</t>
  </si>
  <si>
    <t xml:space="preserve">เจ้าของข้อมูลดูและแก้ความยินยอมและช่องทางการสื่อสาร ผ่านลิงก์ยืนยันตัวตน (magic link)</t>
  </si>
  <si>
    <t xml:space="preserve">1.13</t>
  </si>
  <si>
    <t xml:space="preserve">CON-19</t>
  </si>
  <si>
    <t xml:space="preserve">ยืนยันตัวตนก่อนบันทึก</t>
  </si>
  <si>
    <t xml:space="preserve">OTP ทาง SMS/อีเมล ตั้งค่าได้ต่อจุดเก็บความยินยอม และรองรับ IdP ภายนอก</t>
  </si>
  <si>
    <t xml:space="preserve">1.14</t>
  </si>
  <si>
    <t xml:space="preserve">OneTrust*, Conzento</t>
  </si>
  <si>
    <t xml:space="preserve">CON-20</t>
  </si>
  <si>
    <t xml:space="preserve">วันหมดอายุและต่ออายุ</t>
  </si>
  <si>
    <t xml:space="preserve">Consent expiry &amp; renewal</t>
  </si>
  <si>
    <t xml:space="preserve">กำหนดอายุต่อวัตถุประสงค์ แจ้งเตือนต่ออายุ และขยายอายุ</t>
  </si>
  <si>
    <t xml:space="preserve">1.17</t>
  </si>
  <si>
    <t xml:space="preserve">CON-21</t>
  </si>
  <si>
    <t xml:space="preserve">ค้นหา แดชบอร์ด และส่งออก</t>
  </si>
  <si>
    <t xml:space="preserve">Search, dashboard &amp; export</t>
  </si>
  <si>
    <t xml:space="preserve">ค้นหาตามบุคคล/วัตถุประสงค์ อัตรายินยอม/ถอน ส่งออกจำนวนมาก และรายงานเทียบกับระบบปลายทาง</t>
  </si>
  <si>
    <t xml:space="preserve">1.18</t>
  </si>
  <si>
    <t xml:space="preserve">CON-22</t>
  </si>
  <si>
    <t xml:space="preserve">นำเข้าความยินยอมเดิม</t>
  </si>
  <si>
    <t xml:space="preserve">นำเข้าความยินยอมเดิมพร้อมวันที่ จากไฟล์หรือระบบเก่า</t>
  </si>
  <si>
    <t xml:space="preserve">1.20</t>
  </si>
  <si>
    <t xml:space="preserve">OneTrust, Conzento*</t>
  </si>
  <si>
    <t xml:space="preserve">CON-23</t>
  </si>
  <si>
    <t xml:space="preserve">Double Opt-In</t>
  </si>
  <si>
    <t xml:space="preserve">Double opt-in</t>
  </si>
  <si>
    <t xml:space="preserve">ความยินยอมมีผลเมื่อเจ้าของข้อมูลยืนยันผ่านลิงก์ทางอีเมล/SMS</t>
  </si>
  <si>
    <t xml:space="preserve">CON-24</t>
  </si>
  <si>
    <t xml:space="preserve">ส่งคำขอความยินยอมแบบ Bulk</t>
  </si>
  <si>
    <t xml:space="preserve">Bulk consent request campaign</t>
  </si>
  <si>
    <t xml:space="preserve">ส่งลิงก์ขอความยินยอมทางอีเมล/SMS ให้ฐานลูกค้าเดิม และติดตามว่าใครตอบแล้ว</t>
  </si>
  <si>
    <t xml:space="preserve">12. ระบบจัดการแผนผังการไหลของการประมวลผลข้อมูลส่วนบุคคลแบบอัตโนมัติ (Data Flow Generator)</t>
  </si>
  <si>
    <t xml:space="preserve">ขอบเขต: แผนผังการไหลของข้อมูลที่สร้างจาก RoPA และการค้นหาข้อมูลอัตโนมัติ</t>
  </si>
  <si>
    <t xml:space="preserve">DFG-01</t>
  </si>
  <si>
    <t xml:space="preserve">แผนผัง</t>
  </si>
  <si>
    <t xml:space="preserve">สร้างแผนผังอัตโนมัติจาก RoPA</t>
  </si>
  <si>
    <t xml:space="preserve">Auto data flow diagram</t>
  </si>
  <si>
    <t xml:space="preserve">สร้างแผนผังแยกตามหน่วยงาน แสดงการเก็บ บันทึก ใช้ ส่ง/โอน และลบ/ทำลาย</t>
  </si>
  <si>
    <t xml:space="preserve">2.04</t>
  </si>
  <si>
    <t xml:space="preserve">DFG-02</t>
  </si>
  <si>
    <t xml:space="preserve">อัปเดตแผนผังเมื่อข้อมูลเปลี่ยน</t>
  </si>
  <si>
    <t xml:space="preserve">Auto refresh</t>
  </si>
  <si>
    <t xml:space="preserve">ปรับแผนผังตามการแก้ไข RoPA หรือข้อมูลตั้งต้น โดยไม่ต้องสร้างใหม่</t>
  </si>
  <si>
    <t xml:space="preserve">DFG-03</t>
  </si>
  <si>
    <t xml:space="preserve">แสดงการโอนไปต่างประเทศ</t>
  </si>
  <si>
    <t xml:space="preserve">Cross-border mapping</t>
  </si>
  <si>
    <t xml:space="preserve">ระบุประเทศปลายทางและฐานการโอน (ประเทศที่มีมาตรฐานเพียงพอ, BCR, ข้อสัญญามาตรฐาน, ข้อยกเว้น)</t>
  </si>
  <si>
    <t xml:space="preserve">ม.28-29; ประกาศ สคส. ตามมาตรา 28 และ 29 พ.ศ. 2566</t>
  </si>
  <si>
    <t xml:space="preserve">2.06</t>
  </si>
  <si>
    <t xml:space="preserve">DFG-04</t>
  </si>
  <si>
    <t xml:space="preserve">แสดงผู้ประมวลผลและผู้รับข้อมูล</t>
  </si>
  <si>
    <t xml:space="preserve">Processor &amp; recipient mapping</t>
  </si>
  <si>
    <t xml:space="preserve">node ผู้รับข้อมูลบนแผนผัง พร้อมลิงก์ไปยังสัญญา DPA/DSA</t>
  </si>
  <si>
    <t xml:space="preserve">2.07</t>
  </si>
  <si>
    <t xml:space="preserve">DFG-05</t>
  </si>
  <si>
    <t xml:space="preserve">แก้ไข</t>
  </si>
  <si>
    <t xml:space="preserve">แก้ไขแผนผังแบบลากวาง</t>
  </si>
  <si>
    <t xml:space="preserve">Drag &amp; drop editor</t>
  </si>
  <si>
    <t xml:space="preserve">ขยับกล่องข้อมูล เพิ่มคำอธิบาย และคืนค่าเดิม</t>
  </si>
  <si>
    <t xml:space="preserve">2.05</t>
  </si>
  <si>
    <t xml:space="preserve">OneTrust*, GPPC</t>
  </si>
  <si>
    <t xml:space="preserve">DFG-06</t>
  </si>
  <si>
    <t xml:space="preserve">มุมมองหลายระดับ</t>
  </si>
  <si>
    <t xml:space="preserve">Multi-view</t>
  </si>
  <si>
    <t xml:space="preserve">มุมมองรายแผนก รายระบบ รายบริษัท และรายประเภทข้อมูล</t>
  </si>
  <si>
    <t xml:space="preserve">2.08</t>
  </si>
  <si>
    <t xml:space="preserve">DFG-07</t>
  </si>
  <si>
    <t xml:space="preserve">เผยแพร่และประวัติเวอร์ชันแผนผัง</t>
  </si>
  <si>
    <t xml:space="preserve">Publish &amp; history</t>
  </si>
  <si>
    <t xml:space="preserve">เผยแพร่แผนผังที่ตรวจแล้ว และดูประวัติการแก้ไข</t>
  </si>
  <si>
    <t xml:space="preserve">DFG-08</t>
  </si>
  <si>
    <t xml:space="preserve">ส่งออกภาพและรายงาน</t>
  </si>
  <si>
    <t xml:space="preserve">Export image &amp; report</t>
  </si>
  <si>
    <t xml:space="preserve">ส่งออก PNG/PDF กำหนดขนาดภาพ และออกรายงานประกอบ</t>
  </si>
  <si>
    <t xml:space="preserve">DFG-09</t>
  </si>
  <si>
    <t xml:space="preserve">อัตโนมัติ</t>
  </si>
  <si>
    <t xml:space="preserve">ค้นหาข้อมูลส่วนบุคคลอัตโนมัติ (Data Discovery)</t>
  </si>
  <si>
    <t xml:space="preserve">Data discovery</t>
  </si>
  <si>
    <t xml:space="preserve">สแกนฐานข้อมูล ไฟล์ และคลาวด์ ตรวจจับข้อมูลแบบไทย (เลขบัตร 13 หลัก เบอร์โทรไทย ชื่อภาษาไทย) แล้วเสนอเพิ่มในแผนผัง</t>
  </si>
  <si>
    <t xml:space="preserve">2.02</t>
  </si>
  <si>
    <t xml:space="preserve">DFG-10</t>
  </si>
  <si>
    <t xml:space="preserve">แผนผังระดับระบบ (Data lineage)</t>
  </si>
  <si>
    <t xml:space="preserve">System-level lineage</t>
  </si>
  <si>
    <t xml:space="preserve">แสดงการไหลของข้อมูลระหว่างแอปพลิเคชันและฐานข้อมูลจากทะเบียนระบบ</t>
  </si>
  <si>
    <t xml:space="preserve">DFG-11</t>
  </si>
  <si>
    <t xml:space="preserve">แผนที่โลกของการโอนข้อมูล</t>
  </si>
  <si>
    <t xml:space="preserve">Transfer world map</t>
  </si>
  <si>
    <t xml:space="preserve">แสดงเส้นทางการโอนข้อมูลบนแผนที่โลก</t>
  </si>
  <si>
    <t xml:space="preserve">13. ระบบจัดการประกาศความเป็นส่วนตัวแบบอัตโนมัติ (Privacy Notice Generator)</t>
  </si>
  <si>
    <t xml:space="preserve">ขอบเขต: สร้าง เผยแพร่ และติดตามประกาศความเป็นส่วนตัวและนโยบายที่เกี่ยวข้อง</t>
  </si>
  <si>
    <t xml:space="preserve">PNG-01</t>
  </si>
  <si>
    <t xml:space="preserve">สร้างประกาศแบบถาม-ตอบ</t>
  </si>
  <si>
    <t xml:space="preserve">Wizard-based generator</t>
  </si>
  <si>
    <t xml:space="preserve">ตอบคำถามทีละขั้น หรือเลือกตามกลุ่มเจ้าของข้อมูล / กลุ่มวัตถุประสงค์ / หน่วยงาน แล้วระบบสร้างประกาศ</t>
  </si>
  <si>
    <t xml:space="preserve">3.01</t>
  </si>
  <si>
    <t xml:space="preserve">PNG-02</t>
  </si>
  <si>
    <t xml:space="preserve">ตรวจเนื้อหาครบตาม ม.23</t>
  </si>
  <si>
    <t xml:space="preserve">Mandatory content checklist</t>
  </si>
  <si>
    <t xml:space="preserve">ตรวจ 6 หัวข้อ: วัตถุประสงค์และฐานกฎหมาย, กรณีต้องให้ข้อมูลและผลของการไม่ให้, ข้อมูลที่เก็บและระยะเวลา, ผู้รับข้อมูล, ข้อมูลติดต่อผู้ควบคุม/ตัวแทน/DPO, สิทธิของเจ้าของข้อมูล</t>
  </si>
  <si>
    <t xml:space="preserve">ม.23 (1)-(6)</t>
  </si>
  <si>
    <t xml:space="preserve">3.02</t>
  </si>
  <si>
    <t xml:space="preserve">PNG-03</t>
  </si>
  <si>
    <t xml:space="preserve">แม่แบบตามกลุ่มเจ้าของข้อมูล</t>
  </si>
  <si>
    <t xml:space="preserve">Templates by data subject</t>
  </si>
  <si>
    <t xml:space="preserve">ลูกค้า พนักงาน ผู้สมัครงาน คู่ค้า ผู้มาติดต่อ CCTV ผู้ถือหุ้น สมาชิก</t>
  </si>
  <si>
    <t xml:space="preserve">3.04</t>
  </si>
  <si>
    <t xml:space="preserve">PNG-04</t>
  </si>
  <si>
    <t xml:space="preserve">ประกาศกรณีเก็บจากแหล่งอื่น</t>
  </si>
  <si>
    <t xml:space="preserve">Indirect collection notice</t>
  </si>
  <si>
    <t xml:space="preserve">แจ้งเจ้าของข้อมูลภายใน 30 วันเมื่อได้ข้อมูลจากแหล่งอื่น พร้อมนับเวลาและแจ้งเตือน</t>
  </si>
  <si>
    <t xml:space="preserve">ม.25</t>
  </si>
  <si>
    <t xml:space="preserve">3.06</t>
  </si>
  <si>
    <t xml:space="preserve">PNG-05</t>
  </si>
  <si>
    <t xml:space="preserve">ประกาศสองภาษา</t>
  </si>
  <si>
    <t xml:space="preserve">TH/EN notices</t>
  </si>
  <si>
    <t xml:space="preserve">ภาษาไทย-อังกฤษคู่ขนาน และรองรับภาษาอื่นสำหรับแรงงานต่างชาติ</t>
  </si>
  <si>
    <t xml:space="preserve">3.07</t>
  </si>
  <si>
    <t xml:space="preserve">PNG-06</t>
  </si>
  <si>
    <t xml:space="preserve">เผยแพร่</t>
  </si>
  <si>
    <t xml:space="preserve">จัดการเวอร์ชัน</t>
  </si>
  <si>
    <t xml:space="preserve">Versioning</t>
  </si>
  <si>
    <t xml:space="preserve">เก็บทุกเวอร์ชัน วันมีผล และเปรียบเทียบการเปลี่ยนแปลง</t>
  </si>
  <si>
    <t xml:space="preserve">3.10</t>
  </si>
  <si>
    <t xml:space="preserve">PNG-07</t>
  </si>
  <si>
    <t xml:space="preserve">แจ้งการเปลี่ยนแปลงและขอความยินยอมใหม่</t>
  </si>
  <si>
    <t xml:space="preserve">Change notification</t>
  </si>
  <si>
    <t xml:space="preserve">แจ้งเจ้าของข้อมูลเมื่อประกาศเปลี่ยน และขอความยินยอมใหม่หากเปลี่ยนวัตถุประสงค์</t>
  </si>
  <si>
    <t xml:space="preserve">ม.21</t>
  </si>
  <si>
    <t xml:space="preserve">3.11</t>
  </si>
  <si>
    <t xml:space="preserve">PNG-08</t>
  </si>
  <si>
    <t xml:space="preserve">เผยแพร่และฝังในระบบ</t>
  </si>
  <si>
    <t xml:space="preserve">Hosting &amp; embed</t>
  </si>
  <si>
    <t xml:space="preserve">หน้าเว็บประกาศ ลิงก์ script/iframe ส่งออก Word/PDF และใช้ในแอปหรือ LINE OA</t>
  </si>
  <si>
    <t xml:space="preserve">3.09</t>
  </si>
  <si>
    <t xml:space="preserve">PNG-09</t>
  </si>
  <si>
    <t xml:space="preserve">บันทึกการรับทราบ</t>
  </si>
  <si>
    <t xml:space="preserve">Acknowledgement log</t>
  </si>
  <si>
    <t xml:space="preserve">บันทึกว่าใครรับทราบประกาศเวอร์ชันใด ผ่านช่องทางใด</t>
  </si>
  <si>
    <t xml:space="preserve">3.12</t>
  </si>
  <si>
    <t xml:space="preserve">PNG-10</t>
  </si>
  <si>
    <t xml:space="preserve">เนื้อหา</t>
  </si>
  <si>
    <t xml:space="preserve">ดึงเนื้อหาจาก RoPA</t>
  </si>
  <si>
    <t xml:space="preserve">Auto-populate from RoPA</t>
  </si>
  <si>
    <t xml:space="preserve">ประกอบเนื้อหาจากข้อมูลกิจกรรม และแจ้งเมื่อ RoPA เปลี่ยน</t>
  </si>
  <si>
    <t xml:space="preserve">ม.23, ม.39</t>
  </si>
  <si>
    <t xml:space="preserve">3.03</t>
  </si>
  <si>
    <t xml:space="preserve">PNG-11</t>
  </si>
  <si>
    <t xml:space="preserve">แม่แบบตามอุตสาหกรรม</t>
  </si>
  <si>
    <t xml:space="preserve">ค้าปลีก โรงพยาบาล การเงิน/ประกัน โรงแรม การศึกษา ภาครัฐ</t>
  </si>
  <si>
    <t xml:space="preserve">3.05</t>
  </si>
  <si>
    <t xml:space="preserve">PNG-12</t>
  </si>
  <si>
    <t xml:space="preserve">ประกาศแบบหลายชั้นและป้าย CCTV</t>
  </si>
  <si>
    <t xml:space="preserve">Layered notice &amp; CCTV signage</t>
  </si>
  <si>
    <t xml:space="preserve">ฉบับย่อ + ฉบับเต็ม และป้าย CCTV พร้อม QR code</t>
  </si>
  <si>
    <t xml:space="preserve">3.08</t>
  </si>
  <si>
    <t xml:space="preserve">PNG-13</t>
  </si>
  <si>
    <t xml:space="preserve">ลิงก์เอกสารอ้างอิงในประกาศ</t>
  </si>
  <si>
    <t xml:space="preserve">Linked documents</t>
  </si>
  <si>
    <t xml:space="preserve">แนบลิงก์ตารางระยะเวลาเก็บรักษา นโยบายความปลอดภัย และเอกสารอื่น พร้อมกำหนดการแสดงผล</t>
  </si>
  <si>
    <t xml:space="preserve">PNG-14</t>
  </si>
  <si>
    <t xml:space="preserve">อนุมัติก่อนเผยแพร่</t>
  </si>
  <si>
    <t xml:space="preserve">ส่งตรวจ แสดงความเห็น และอนุมัติโดย DPO/ฝ่ายกฎหมาย</t>
  </si>
  <si>
    <t xml:space="preserve">3.13</t>
  </si>
  <si>
    <t xml:space="preserve">PNG-15</t>
  </si>
  <si>
    <t xml:space="preserve">แจ้งเตือนทบทวนตามรอบ</t>
  </si>
  <si>
    <t xml:space="preserve">เตือนให้ทบทวนตามรอบ หรือเมื่อ RoPA เปลี่ยน</t>
  </si>
  <si>
    <t xml:space="preserve">3.14</t>
  </si>
  <si>
    <t xml:space="preserve">PNG-16</t>
  </si>
  <si>
    <t xml:space="preserve">เอกสารอื่น</t>
  </si>
  <si>
    <t xml:space="preserve">สร้างนโยบายความเป็นส่วนตัวและนโยบายคุกกี้</t>
  </si>
  <si>
    <t xml:space="preserve">Privacy &amp; cookie policy generator</t>
  </si>
  <si>
    <t xml:space="preserve">สร้าง Privacy Policy ระดับองค์กรและ Cookie Policy จากข้อมูลในระบบ</t>
  </si>
  <si>
    <t xml:space="preserve">14. ระบบบริหารจัดการสำหรับเจ้าหน้าที่คุ้มครองข้อมูลส่วนบุคคล (DPO Module)</t>
  </si>
  <si>
    <t xml:space="preserve">ขอบเขต: งานประจำของ DPO: การแต่งตั้ง แดชบอร์ด การแจ้งเตือน งาน การให้คำปรึกษา และรายงาน</t>
  </si>
  <si>
    <t xml:space="preserve">DPO-01</t>
  </si>
  <si>
    <t xml:space="preserve">DPO</t>
  </si>
  <si>
    <t xml:space="preserve">ทะเบียนการแต่งตั้งและข้อมูล DPO</t>
  </si>
  <si>
    <t xml:space="preserve">DPO appointment &amp; profile</t>
  </si>
  <si>
    <t xml:space="preserve">ข้อมูล DPO ช่องทางติดต่อ คำสั่งแต่งตั้ง และเผยแพร่ข้อมูลติดต่อให้เจ้าของข้อมูลและ สคส.</t>
  </si>
  <si>
    <t xml:space="preserve">ม.41</t>
  </si>
  <si>
    <t xml:space="preserve">4.17</t>
  </si>
  <si>
    <t xml:space="preserve">DPO-02</t>
  </si>
  <si>
    <t xml:space="preserve">ประเมินหน้าที่ต้องแต่งตั้ง DPO</t>
  </si>
  <si>
    <t xml:space="preserve">DPO requirement check</t>
  </si>
  <si>
    <t xml:space="preserve">ประเมินตามประกาศ สคส. พ.ศ. 2566 เช่น ประมวลผลข้อมูลจำนวนมาก (ตั้งแต่ 100,000 รายขึ้นไป) หรือติดตามพฤติกรรมอย่างสม่ำเสมอ</t>
  </si>
  <si>
    <t xml:space="preserve">ม.41; ประกาศ สคส. เรื่อง DPO ตามมาตรา 41(2) พ.ศ. 2566</t>
  </si>
  <si>
    <t xml:space="preserve">DPO-03</t>
  </si>
  <si>
    <t xml:space="preserve">ความเป็นอิสระและผลประโยชน์ทับซ้อน</t>
  </si>
  <si>
    <t xml:space="preserve">Independence &amp; conflict of interest</t>
  </si>
  <si>
    <t xml:space="preserve">บันทึกหน้าที่อื่นของ DPO และคำรับรองว่าไม่ขัดกับหน้าที่ DPO</t>
  </si>
  <si>
    <t xml:space="preserve">DPO-04</t>
  </si>
  <si>
    <t xml:space="preserve">งาน DPO</t>
  </si>
  <si>
    <t xml:space="preserve">แดชบอร์ด DPO</t>
  </si>
  <si>
    <t xml:space="preserve">DPO dashboard</t>
  </si>
  <si>
    <t xml:space="preserve">ภาพรวมคำขอใช้สิทธิ เหตุละเมิด DPIA ความเสี่ยง สัญญา และความพร้อมรายหน่วยงาน</t>
  </si>
  <si>
    <t xml:space="preserve">4.18</t>
  </si>
  <si>
    <t xml:space="preserve">DPO-05</t>
  </si>
  <si>
    <t xml:space="preserve">ศูนย์แจ้งเตือนรวม</t>
  </si>
  <si>
    <t xml:space="preserve">Notification center</t>
  </si>
  <si>
    <t xml:space="preserve">รวมกำหนดเวลาสำคัญ: SLA 30 วัน, 72 ชั่วโมง, DPIA ครบรอบ, สัญญาหมดอายุ, ประกาศต้องทบทวน</t>
  </si>
  <si>
    <t xml:space="preserve">DPO-06</t>
  </si>
  <si>
    <t xml:space="preserve">Tasks Management</t>
  </si>
  <si>
    <t xml:space="preserve">DPO task management</t>
  </si>
  <si>
    <t xml:space="preserve">ticket 5 สถานะ (สร้าง → มอบหมาย → รอตรวจ → เสร็จ → สิ้นสุด) สร้างอัตโนมัติจาก RoPA / ช่องว่าง / DPIA มีผู้ตรวจ วันครบกำหนด ความสำคัญ และความเห็น</t>
  </si>
  <si>
    <t xml:space="preserve">DPO-07</t>
  </si>
  <si>
    <t xml:space="preserve">รับคำปรึกษาจากหน่วยงาน</t>
  </si>
  <si>
    <t xml:space="preserve">Advisory requests</t>
  </si>
  <si>
    <t xml:space="preserve">หน่วยงานส่งคำถามหรือขอความเห็นจาก DPO ติดตามจนตอบ และสร้างคลังคำตอบ</t>
  </si>
  <si>
    <t xml:space="preserve">ม.42(1)</t>
  </si>
  <si>
    <t xml:space="preserve">DPO-08</t>
  </si>
  <si>
    <t xml:space="preserve">ปฏิทินงาน compliance</t>
  </si>
  <si>
    <t xml:space="preserve">Compliance calendar</t>
  </si>
  <si>
    <t xml:space="preserve">รอบทบทวน RoPA ประกาศ DPIA การอบรม และการประเมินคู่ค้า</t>
  </si>
  <si>
    <t xml:space="preserve">ม.42(2)</t>
  </si>
  <si>
    <t xml:space="preserve">DPO-09</t>
  </si>
  <si>
    <t xml:space="preserve">ประเมินมาตรการความปลอดภัย</t>
  </si>
  <si>
    <t xml:space="preserve">Security measures assessment</t>
  </si>
  <si>
    <t xml:space="preserve">checklist ตามประกาศมาตรการความปลอดภัย (มาตรการเชิงองค์กร เชิงเทคนิค และทางกายภาพ การควบคุมการเข้าถึง) พร้อมหลักฐาน</t>
  </si>
  <si>
    <t xml:space="preserve">4.16</t>
  </si>
  <si>
    <t xml:space="preserve">DPO-10</t>
  </si>
  <si>
    <t xml:space="preserve">Compliance scorecard</t>
  </si>
  <si>
    <t xml:space="preserve">สรุปความพร้อมตาม PDPA ของแต่ละหน่วยงานจากทุกโมดูล</t>
  </si>
  <si>
    <t xml:space="preserve">DPO-11</t>
  </si>
  <si>
    <t xml:space="preserve">รายงานการปฏิบัติหน้าที่ DPO และรายงานผู้บริหาร</t>
  </si>
  <si>
    <t xml:space="preserve">DPO &amp; executive reports</t>
  </si>
  <si>
    <t xml:space="preserve">รายงานรายเดือน/ไตรมาส รายงานการปฏิบัติหน้าที่ DPO และสรุปงานรายบุคคล (PDF)</t>
  </si>
  <si>
    <t xml:space="preserve">4.21</t>
  </si>
  <si>
    <t xml:space="preserve">DPO-12</t>
  </si>
  <si>
    <t xml:space="preserve">ความรู้</t>
  </si>
  <si>
    <t xml:space="preserve">คลังเอกสารกฎหมายและ FAQ</t>
  </si>
  <si>
    <t xml:space="preserve">Knowledge base</t>
  </si>
  <si>
    <t xml:space="preserve">รวม พ.ร.บ. ประกาศ สคส. แนวปฏิบัติ นโยบายองค์กร และคำถามที่พบบ่อย</t>
  </si>
  <si>
    <t xml:space="preserve">Conzento*</t>
  </si>
  <si>
    <t xml:space="preserve">15. ระบบบริหารจัดการสำหรับเจ้าหน้าที่คุ้มครองข้อมูลส่วนบุคคล ภาคส่วนต่อขยาย (DPO Module Extension)</t>
  </si>
  <si>
    <t xml:space="preserve">ขอบเขต: อบรม ตรวจประเมินระดับองค์กร retention การโอนต่างประเทศ กฎหมายอื่น และ AI</t>
  </si>
  <si>
    <t xml:space="preserve">DPX-01</t>
  </si>
  <si>
    <t xml:space="preserve">บุคลากร</t>
  </si>
  <si>
    <t xml:space="preserve">อบรมและทดสอบพนักงาน</t>
  </si>
  <si>
    <t xml:space="preserve">Awareness training &amp; quiz</t>
  </si>
  <si>
    <t xml:space="preserve">คอร์ส e-Learning PDPA ภาษาไทย แบบทดสอบ ใบประกาศ และติดตามผลรายบุคคล หรือเชื่อม LMS</t>
  </si>
  <si>
    <t xml:space="preserve">ม.37(1), ม.42</t>
  </si>
  <si>
    <t xml:space="preserve">5.01</t>
  </si>
  <si>
    <t xml:space="preserve">DPX-02</t>
  </si>
  <si>
    <t xml:space="preserve">รับทราบนโยบายภายใน</t>
  </si>
  <si>
    <t xml:space="preserve">Policy attestation</t>
  </si>
  <si>
    <t xml:space="preserve">พนักงานรับทราบนโยบาย/คู่มือ PDPA พร้อมบันทึกหลักฐาน</t>
  </si>
  <si>
    <t xml:space="preserve">5.02</t>
  </si>
  <si>
    <t xml:space="preserve">DPX-03</t>
  </si>
  <si>
    <t xml:space="preserve">ตรวจสอบ</t>
  </si>
  <si>
    <t xml:space="preserve">ตรวจประเมินความพร้อมทั้งองค์กร</t>
  </si>
  <si>
    <t xml:space="preserve">Organization-wide audit &amp; maturity</t>
  </si>
  <si>
    <t xml:space="preserve">แบบประเมินความสอดคล้อง PDPA ระดับองค์กร/บริษัทในเครือ คะแนน และแผนแก้ไข</t>
  </si>
  <si>
    <t xml:space="preserve">DPX-04</t>
  </si>
  <si>
    <t xml:space="preserve">ติดตามแผนแก้ไขจากการตรวจ</t>
  </si>
  <si>
    <t xml:space="preserve">Audit remediation tracking</t>
  </si>
  <si>
    <t xml:space="preserve">มอบหมายงานตามข้อตรวจพบ ติดตามกำหนดเสร็จ และแนบหลักฐาน</t>
  </si>
  <si>
    <t xml:space="preserve">DPX-05</t>
  </si>
  <si>
    <t xml:space="preserve">ข้อมูล</t>
  </si>
  <si>
    <t xml:space="preserve">บริหารการเก็บรักษาและทำลายข้อมูล</t>
  </si>
  <si>
    <t xml:space="preserve">Retention &amp; disposal</t>
  </si>
  <si>
    <t xml:space="preserve">ตาราง retention แจ้งเตือนครบกำหนด workflow ลบ/ทำลาย/ทำให้ไม่ระบุตัวตน พร้อมหลักฐาน</t>
  </si>
  <si>
    <t xml:space="preserve">ม.33, ม.37(3)</t>
  </si>
  <si>
    <t xml:space="preserve">5.05</t>
  </si>
  <si>
    <t xml:space="preserve">DPX-06</t>
  </si>
  <si>
    <t xml:space="preserve">ประเมินการโอนข้อมูลไปต่างประเทศ (TIA)</t>
  </si>
  <si>
    <t xml:space="preserve">Transfer impact assessment</t>
  </si>
  <si>
    <t xml:space="preserve">ประเมินประเทศปลายทางและกลไกการโอน (BCR, ข้อสัญญามาตรฐาน, ใบรับรอง) ตามประกาศ สคส.</t>
  </si>
  <si>
    <t xml:space="preserve">5.06</t>
  </si>
  <si>
    <t xml:space="preserve">DPX-07</t>
  </si>
  <si>
    <t xml:space="preserve">เครื่องมือ Masking / Pseudonymization</t>
  </si>
  <si>
    <t xml:space="preserve">Data masking tool</t>
  </si>
  <si>
    <t xml:space="preserve">mask/tokenize ข้อมูลสำหรับสภาพแวดล้อมทดสอบหรือรายงาน</t>
  </si>
  <si>
    <t xml:space="preserve">ม.33, ม.37(1)</t>
  </si>
  <si>
    <t xml:space="preserve">5.12</t>
  </si>
  <si>
    <t xml:space="preserve">DPX-08</t>
  </si>
  <si>
    <t xml:space="preserve">บันทึกการติดต่อกับ สคส.</t>
  </si>
  <si>
    <t xml:space="preserve">Regulator correspondence</t>
  </si>
  <si>
    <t xml:space="preserve">ทะเบียนหนังสือ คำสั่ง การตรวจสอบจาก สคส. และกำหนดส่ง</t>
  </si>
  <si>
    <t xml:space="preserve">ม.42(3)</t>
  </si>
  <si>
    <t xml:space="preserve">5.09</t>
  </si>
  <si>
    <t xml:space="preserve">DPX-09</t>
  </si>
  <si>
    <t xml:space="preserve">ติดตามกฎหมายและประกาศใหม่</t>
  </si>
  <si>
    <t xml:space="preserve">Regulatory update feed</t>
  </si>
  <si>
    <t xml:space="preserve">แจ้งเตือนประกาศ/แนวปฏิบัติ สคส. ใหม่ และประเมินผลกระทบต่อองค์กร</t>
  </si>
  <si>
    <t xml:space="preserve">5.10</t>
  </si>
  <si>
    <t xml:space="preserve">DPX-10</t>
  </si>
  <si>
    <t xml:space="preserve">เชื่อมโยงกฎหมายอื่นที่เกี่ยวข้อง</t>
  </si>
  <si>
    <t xml:space="preserve">Related laws mapping</t>
  </si>
  <si>
    <t xml:space="preserve">พ.ร.บ.การรักษาความมั่นคงปลอดภัยไซเบอร์ พ.ศ. 2562, พ.ร.บ.คอมพิวเตอร์ (เก็บข้อมูลจราจร 90 วัน), ประกาศ ธปท./คปภ./ก.ล.ต.</t>
  </si>
  <si>
    <t xml:space="preserve">5.11</t>
  </si>
  <si>
    <t xml:space="preserve">DPX-11</t>
  </si>
  <si>
    <t xml:space="preserve">ผู้ช่วย AI สำหรับ DPO</t>
  </si>
  <si>
    <t xml:space="preserve">AI assistant</t>
  </si>
  <si>
    <t xml:space="preserve">ร่างคำตอบคำขอใช้สิทธิ สรุป DPIA ตรวจสัญญา และถาม-ตอบกฎหมาย PDPA ภาษาไทย</t>
  </si>
  <si>
    <t xml:space="preserve">5.15</t>
  </si>
  <si>
    <t xml:space="preserve">DPX-12</t>
  </si>
  <si>
    <t xml:space="preserve">ทะเบียนระบบ AI</t>
  </si>
  <si>
    <t xml:space="preserve">AI governance register</t>
  </si>
  <si>
    <t xml:space="preserve">ทะเบียนระบบ AI ที่ประมวลผลข้อมูลส่วนบุคคล พร้อมผลประเมินความเสี่ยง</t>
  </si>
  <si>
    <t xml:space="preserve">DPX-13</t>
  </si>
  <si>
    <t xml:space="preserve">เชื่อมระบบ HR / ITSM / SIEM</t>
  </si>
  <si>
    <t xml:space="preserve">HR, ITSM &amp; SIEM connectors</t>
  </si>
  <si>
    <t xml:space="preserve">HRIS (พนักงานเข้า/ออก), ServiceNow/Jira (งาน), SIEM (ส่ง audit log)</t>
  </si>
  <si>
    <t xml:space="preserve">ฟังก์ชันจากไฟล์เดิม (5 โมดูล, 91 ข้อ) อยู่ที่ใดในไฟล์ใหม่</t>
  </si>
  <si>
    <t xml:space="preserve">No. เดิม</t>
  </si>
  <si>
    <t xml:space="preserve">ฟังก์ชันเดิม</t>
  </si>
  <si>
    <t xml:space="preserve">Priority เดิม</t>
  </si>
  <si>
    <t xml:space="preserve">No. ใหม่</t>
  </si>
  <si>
    <t xml:space="preserve">โมดูลใหม่</t>
  </si>
  <si>
    <t xml:space="preserve">11. Cookies and Consent Management</t>
  </si>
  <si>
    <t xml:space="preserve">รองรับหลายโดเมน/แอปมือถือ</t>
  </si>
  <si>
    <t xml:space="preserve">สร้างแบบฟอร์มขอความยินยอม</t>
  </si>
  <si>
    <t xml:space="preserve">ความยินยอมข้อมูลอ่อนไหว</t>
  </si>
  <si>
    <t xml:space="preserve">ความยินยอมผู้เยาว์/ผู้ไร้ความสามารถ</t>
  </si>
  <si>
    <t xml:space="preserve">จัดการเวอร์ชันข้อความยินยอม</t>
  </si>
  <si>
    <t xml:space="preserve">การถอนความยินยอม</t>
  </si>
  <si>
    <t xml:space="preserve">บันทึกหลักฐาน (Consent Receipt)</t>
  </si>
  <si>
    <t xml:space="preserve">วันหมดอายุความยินยอม</t>
  </si>
  <si>
    <t xml:space="preserve">ค้นหาและรายงาน</t>
  </si>
  <si>
    <t xml:space="preserve">API และ Webhook</t>
  </si>
  <si>
    <t xml:space="preserve">นำเข้าข้อมูลความยินยอมเดิม</t>
  </si>
  <si>
    <t xml:space="preserve">ควบคุมสิทธิ์และเข้ารหัส</t>
  </si>
  <si>
    <t xml:space="preserve">ORG-21, CON-17</t>
  </si>
  <si>
    <t xml:space="preserve">11. Cookies and Consent Management, 8. Organization Management Module</t>
  </si>
  <si>
    <t xml:space="preserve">3. Record of Processing Activities (RoPA)</t>
  </si>
  <si>
    <t xml:space="preserve">ค้นหาข้อมูลอัตโนมัติ</t>
  </si>
  <si>
    <t xml:space="preserve">12. Data Flow Generator</t>
  </si>
  <si>
    <t xml:space="preserve">สร้างแผนผังอัตโนมัติ</t>
  </si>
  <si>
    <t xml:space="preserve">แสดงผู้ประมวลผลและบุคคลที่สาม</t>
  </si>
  <si>
    <t xml:space="preserve">แยกมุมมองตามหน่วยงาน/บริษัทในเครือ</t>
  </si>
  <si>
    <t xml:space="preserve">ไฮไลต์ความเสี่ยงบนแผนผัง</t>
  </si>
  <si>
    <t xml:space="preserve">5. ROPA Risk Assessment Module</t>
  </si>
  <si>
    <t xml:space="preserve">บันทึกรายการกิจกรรม (ผู้ควบคุมข้อมูล)</t>
  </si>
  <si>
    <t xml:space="preserve">บันทึกรายการกิจกรรม (ผู้ประมวลผล)</t>
  </si>
  <si>
    <t xml:space="preserve">ตรวจสอบสิทธิ์ยกเว้นกิจการขนาดเล็ก</t>
  </si>
  <si>
    <t xml:space="preserve">ฐานทางกฎหมายและระยะเวลาเก็บ</t>
  </si>
  <si>
    <t xml:space="preserve">ประวัติเวอร์ชันและการอนุมัติ</t>
  </si>
  <si>
    <t xml:space="preserve">ส่งออกรายงาน</t>
  </si>
  <si>
    <t xml:space="preserve">ROPA-16, DFG-08</t>
  </si>
  <si>
    <t xml:space="preserve">12. Data Flow Generator, 3. Record of Processing Activities (RoPA)</t>
  </si>
  <si>
    <t xml:space="preserve">เชื่อมระบบอื่น</t>
  </si>
  <si>
    <t xml:space="preserve">สร้างประกาศจากแบบสอบถาม</t>
  </si>
  <si>
    <t xml:space="preserve">13. Privacy Notice Generator</t>
  </si>
  <si>
    <t xml:space="preserve">เนื้อหาครบตาม ม.23</t>
  </si>
  <si>
    <t xml:space="preserve">ดึงข้อมูลจาก ROPA</t>
  </si>
  <si>
    <t xml:space="preserve">สองภาษาและภาษาที่เข้าใจง่าย</t>
  </si>
  <si>
    <t xml:space="preserve">ประกาศแบบหลายชั้น</t>
  </si>
  <si>
    <t xml:space="preserve">แจ้งการเปลี่ยนแปลง</t>
  </si>
  <si>
    <t xml:space="preserve">อนุมัติโดย DPO/ฝ่ายกฎหมาย</t>
  </si>
  <si>
    <t xml:space="preserve">สร้างเอกสารประกอบอื่น</t>
  </si>
  <si>
    <t xml:space="preserve">DSA-03, DPA-01, PNG-16</t>
  </si>
  <si>
    <t xml:space="preserve">10. Data Processing Agreement, 13. Privacy Notice Generator, 6. Data Sharing Agreement Generator (DSA)</t>
  </si>
  <si>
    <t xml:space="preserve">รับคำขอใช้สิทธิหลายช่องทาง</t>
  </si>
  <si>
    <t xml:space="preserve">2. Data Subject Access Request (DSAR)</t>
  </si>
  <si>
    <t xml:space="preserve">ครอบคลุมทุกสิทธิของเจ้าของข้อมูล</t>
  </si>
  <si>
    <t xml:space="preserve">มอบหมายงานและ Workflow</t>
  </si>
  <si>
    <t xml:space="preserve">ค้นหาข้อมูลข้ามระบบ</t>
  </si>
  <si>
    <t xml:space="preserve">ส่งออกข้อมูลรูปแบบที่อ่านได้ด้วยเครื่อง</t>
  </si>
  <si>
    <t xml:space="preserve">บันทึกเหตุละเมิด</t>
  </si>
  <si>
    <t xml:space="preserve">9. Data Breach Notification</t>
  </si>
  <si>
    <t xml:space="preserve">ประเมินความเสี่ยงเหตุละเมิด</t>
  </si>
  <si>
    <t xml:space="preserve">สร้างแบบแจ้งเหตุ</t>
  </si>
  <si>
    <t xml:space="preserve">ประเมินผลกระทบด้านข้อมูลส่วนบุคคล</t>
  </si>
  <si>
    <t xml:space="preserve">1. DPIA Management Module</t>
  </si>
  <si>
    <t xml:space="preserve">ประเมินฐานประโยชน์โดยชอบด้วยกฎหมาย</t>
  </si>
  <si>
    <t xml:space="preserve">บริหารผู้ประมวลผล/คู่ค้า</t>
  </si>
  <si>
    <t xml:space="preserve">7. Vendor Assessment Module</t>
  </si>
  <si>
    <t xml:space="preserve">14. DPO Module</t>
  </si>
  <si>
    <t xml:space="preserve">ทะเบียนและข้อมูล DPO</t>
  </si>
  <si>
    <t xml:space="preserve">ร้องเรียนและสอบถาม</t>
  </si>
  <si>
    <t xml:space="preserve">บันทึกการใช้งานระบบ</t>
  </si>
  <si>
    <t xml:space="preserve">8. Organization Management Module</t>
  </si>
  <si>
    <t xml:space="preserve">รายงานต่อผู้บริหาร</t>
  </si>
  <si>
    <t xml:space="preserve">15. DPO Module Extension</t>
  </si>
  <si>
    <t xml:space="preserve">ตรวจประเมินภายใน</t>
  </si>
  <si>
    <t xml:space="preserve">RRA-04, DPX-03</t>
  </si>
  <si>
    <t xml:space="preserve">15. DPO Module Extension, 5. ROPA Risk Assessment Module</t>
  </si>
  <si>
    <t xml:space="preserve">ติดตามแผนแก้ไข</t>
  </si>
  <si>
    <t xml:space="preserve">บริหารการเก็บรักษาและทำลาย</t>
  </si>
  <si>
    <t xml:space="preserve">บริหารการโอนข้อมูลไปต่างประเทศ</t>
  </si>
  <si>
    <t xml:space="preserve">รองรับบริษัทในเครือ</t>
  </si>
  <si>
    <t xml:space="preserve">ทะเบียนความเสี่ยงด้านข้อมูล</t>
  </si>
  <si>
    <t xml:space="preserve">ติดตามกฎหมายใหม่</t>
  </si>
  <si>
    <t xml:space="preserve">ปกปิดและแฝงข้อมูล</t>
  </si>
  <si>
    <t xml:space="preserve">ทบทวนสิทธิ์การเข้าถึง</t>
  </si>
  <si>
    <t xml:space="preserve">กำกับการใช้ AI</t>
  </si>
  <si>
    <t xml:space="preserve">DPIA-17, DPX-12</t>
  </si>
  <si>
    <t xml:space="preserve">1. DPIA Management Module, 15. DPO Module Extension</t>
  </si>
  <si>
    <t xml:space="preserve">เชื่อมระบบองค์กร</t>
  </si>
  <si>
    <t xml:space="preserve">ORG-15, DPX-13</t>
  </si>
  <si>
    <t xml:space="preserve">15. DPO Module Extension, 8. Organization Management Module</t>
  </si>
  <si>
    <t xml:space="preserve">กฎหมาย ประกาศ และแนวปฏิบัติที่อ้างอิง</t>
  </si>
  <si>
    <t xml:space="preserve">เอกสาร</t>
  </si>
  <si>
    <t xml:space="preserve">หมายเหตุ</t>
  </si>
  <si>
    <t xml:space="preserve">ลิงก์</t>
  </si>
  <si>
    <t xml:space="preserve">พ.ร.บ.คุ้มครองข้อมูลส่วนบุคคล พ.ศ. 2562</t>
  </si>
  <si>
    <t xml:space="preserve">กฎหมายหลัก (อ้างอิงเป็น ม.xx)</t>
  </si>
  <si>
    <t xml:space="preserve">https://www.ratchakitcha.soc.go.th/DATA/PDF/2562/A/069/T_0052.PDF</t>
  </si>
  <si>
    <t xml:space="preserve">ประกาศ สคส. เรื่อง มาตรการรักษาความมั่นคงปลอดภัยของผู้ควบคุมข้อมูลส่วนบุคคล พ.ศ. 2565</t>
  </si>
  <si>
    <t xml:space="preserve">เรียกย่อว่า 'ประกาศมาตรการความปลอดภัย พ.ศ. 2565'</t>
  </si>
  <si>
    <t xml:space="preserve">https://www.ratchakitcha.soc.go.th/DATA/PDF/2565/E/140/T_0028.PDF</t>
  </si>
  <si>
    <t xml:space="preserve">ประกาศ สคส. เรื่อง หลักเกณฑ์และวิธีการในการแจ้งเหตุการละเมิดข้อมูลส่วนบุคคล พ.ศ. 2565</t>
  </si>
  <si>
    <t xml:space="preserve">เรียกย่อว่า 'ประกาศแจ้งเหตุละเมิด พ.ศ. 2565'</t>
  </si>
  <si>
    <t xml:space="preserve">https://www.mdes.go.th/law/detail/6336</t>
  </si>
  <si>
    <t xml:space="preserve">คำชี้แจงของ สคส. เรื่องการแจ้งเหตุละเมิด (สรุปโดย DLA Piper, ก.พ. 2025)</t>
  </si>
  <si>
    <t xml:space="preserve">เริ่มนับ 72 ชม. เมื่อมีเหตุอันควรเชื่อ, แจ้งล่าช้าพร้อมเหตุผลไม่เกิน 15 วัน, แจ้งเป็นระยะได้</t>
  </si>
  <si>
    <t xml:space="preserve">https://privacymatters.dlapiper.com/2025/02/thailand-pdpcs-clarification-on-personal-data-breach-notification/</t>
  </si>
  <si>
    <t xml:space="preserve">ประกาศ สคส. เรื่อง หลักเกณฑ์และวิธีการจัดทำและเก็บรักษาบันทึกรายการของกิจกรรมการประมวลผลสำหรับผู้ประมวลผลข้อมูลส่วนบุคคล</t>
  </si>
  <si>
    <t xml:space="preserve">RoPA ของผู้ประมวลผล</t>
  </si>
  <si>
    <t xml:space="preserve">https://www.pdpc.or.th/2968/</t>
  </si>
  <si>
    <t xml:space="preserve">ประกาศ สคส. เรื่อง การยกเว้นการบันทึกรายการของผู้ควบคุมข้อมูลส่วนบุคคลซึ่งเป็นกิจการขนาดเล็ก พ.ศ. 2565</t>
  </si>
  <si>
    <t xml:space="preserve">ยกเว้น RoPA ผู้ควบคุมขนาดเล็ก</t>
  </si>
  <si>
    <t xml:space="preserve">https://pdpathailand.com/pdpa/content/article202.php</t>
  </si>
  <si>
    <t xml:space="preserve">ประกาศ สคส. เรื่อง การยกเว้นการจัดทำบันทึกรายการของผู้ประมวลผลข้อมูลส่วนบุคคลซึ่งเป็นกิจการขนาดเล็ก พ.ศ. 2567</t>
  </si>
  <si>
    <t xml:space="preserve">ยกเว้น RoPA ผู้ประมวลผลขนาดเล็ก (สรุปจากแหล่งรวมกฎหมาย)</t>
  </si>
  <si>
    <t xml:space="preserve">https://www.jorporhnoy.com/newlaw-jan2025/</t>
  </si>
  <si>
    <t xml:space="preserve">ประกาศ สคส. เรื่อง การจัดให้มี DPO ตามมาตรา 41(2) พ.ศ. 2566</t>
  </si>
  <si>
    <t xml:space="preserve">มีผล 13 ธ.ค. 2566; เกณฑ์ขนาดใหญ่ เช่น 100,000 รายขึ้นไป (สรุปจากบทความ)</t>
  </si>
  <si>
    <t xml:space="preserve">https://pdpathailand.com/news-article/pdpa-mdes-41/</t>
  </si>
  <si>
    <t xml:space="preserve">ประกาศ สคส. เรื่อง หลักเกณฑ์การให้ความคุ้มครองข้อมูลที่ส่งหรือโอนไปต่างประเทศตามมาตรา 28 พ.ศ. 2566</t>
  </si>
  <si>
    <t xml:space="preserve">ประเทศปลายทางที่มีมาตรฐานเพียงพอ; มีผล 24 มี.ค. 2567</t>
  </si>
  <si>
    <t xml:space="preserve">https://elaw.tsu.ac.th/laws/1401</t>
  </si>
  <si>
    <t xml:space="preserve">ประกาศ สคส. เรื่อง หลักเกณฑ์การให้ความคุ้มครองข้อมูลที่ส่งหรือโอนไปต่างประเทศตามมาตรา 29 พ.ศ. 2566</t>
  </si>
  <si>
    <t xml:space="preserve">BCR, ข้อสัญญามาตรฐาน, ใบรับรอง; มีผล 24 มี.ค. 2567</t>
  </si>
  <si>
    <t xml:space="preserve">https://www.pdpc.or.th/2507/</t>
  </si>
  <si>
    <t xml:space="preserve">TDPG 4.0-P แนวปฏิบัติเพื่อการประเมินผลกระทบด้านการคุ้มครองข้อมูลส่วนบุคคล (คณะนิติศาสตร์ จุฬาฯ, 2569)</t>
  </si>
  <si>
    <t xml:space="preserve">แนวปฏิบัติ DPIA ของไทย (ไม่ใช่ประกาศ สคส.)</t>
  </si>
  <si>
    <t xml:space="preserve">https://www.oa.law.chula.ac.th/tdpg-4-0/p/</t>
  </si>
  <si>
    <t xml:space="preserve">เอกสารแม่แบบสำหรับการดำเนินการของผู้ควบคุมข้อมูลส่วนบุคคลภาครัฐ v1.0 (สพร., 2564)</t>
  </si>
  <si>
    <t xml:space="preserve">แม่แบบ RoPA, ประกาศ, แบบขอความยินยอม, DPA, นโยบายคุกกี้</t>
  </si>
  <si>
    <t xml:space="preserve">https://www.thaipdf.com/2094-pdpa-template-v1-for-government-data-controller/</t>
  </si>
  <si>
    <t xml:space="preserve">บทความ 'ข้อตกลงการแบ่งปันข้อมูล เขียนอย่างไร เมื่อไหร่ต้องมี' (กรุงเทพธุรกิจ)</t>
  </si>
  <si>
    <t xml:space="preserve">DSA อ้างอิง ม.27 วรรคสอง และ ม.37(2)</t>
  </si>
  <si>
    <t xml:space="preserve">https://www.bangkokbiznews.com/news/news-update/1027040</t>
  </si>
  <si>
    <t xml:space="preserve">GPPC – แพลตฟอร์มภาครัฐของ สคส. และคู่มือการใช้งานที่ได้รับ</t>
  </si>
  <si>
    <t xml:space="preserve">ใช้ในคอลัมน์ 'พบในระบบอ้างอิง'</t>
  </si>
  <si>
    <t xml:space="preserve">https://gppc.pdpc.or.th/</t>
  </si>
  <si>
    <t xml:space="preserve">ผลเทียบ OneTrust (รอบ 2) และ Conzento จากไฟล์ก่อนหน้า</t>
  </si>
  <si>
    <t xml:space="preserve">การลงนามอิเล็กทรอนิกส์</t>
  </si>
  <si>
    <t xml:space="preserve">การแบ่งปันข้อมูลระหว่างหน่วยงานรัฐ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</si>
</sst>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  <font>
      <b val="true"/>
      <sz val="14"/>
      <color rgb="FF1F4E78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FF6600"/>
      </patternFill>
    </fill>
    <fill>
      <patternFill patternType="solid">
        <fgColor rgb="FF548235"/>
        <bgColor rgb="FF339966"/>
      </patternFill>
    </fill>
    <fill>
      <patternFill patternType="solid">
        <fgColor rgb="FFDDEBF7"/>
        <bgColor rgb="FFD9D9D9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993366"/>
      <rgbColor rgb="FFFFFF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BF8F00"/>
      <rgbColor rgb="FFFF6600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จำนวนฟังก์ชันต่อโมดูลแยกตามระดับความสำคัญ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Summary!G4</c:f>
              <c:strCache>
                <c:ptCount val="1"/>
                <c:pt idx="0">
                  <c:v>Must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Summary!$C$5:$C$19</c:f>
              <c:strCache>
                <c:ptCount val="15"/>
                <c:pt idx="0">
                  <c:v>DPIA Management Module</c:v>
                </c:pt>
                <c:pt idx="1">
                  <c:v>Data Subject Access Request (DSAR)</c:v>
                </c:pt>
                <c:pt idx="2">
                  <c:v>Record of Processing Activities (RoPA)</c:v>
                </c:pt>
                <c:pt idx="3">
                  <c:v>ROPA Template Generator</c:v>
                </c:pt>
                <c:pt idx="4">
                  <c:v>ROPA Risk Assessment Module</c:v>
                </c:pt>
                <c:pt idx="5">
                  <c:v>Data Sharing Agreement Generator (DSA)</c:v>
                </c:pt>
                <c:pt idx="6">
                  <c:v>Vendor Assessment Module</c:v>
                </c:pt>
                <c:pt idx="7">
                  <c:v>Organization Management Module</c:v>
                </c:pt>
                <c:pt idx="8">
                  <c:v>Data Breach Notification</c:v>
                </c:pt>
                <c:pt idx="9">
                  <c:v>Data Processing Agreement</c:v>
                </c:pt>
                <c:pt idx="10">
                  <c:v>Cookies and Consent Management</c:v>
                </c:pt>
                <c:pt idx="11">
                  <c:v>Data Flow Generator</c:v>
                </c:pt>
                <c:pt idx="12">
                  <c:v>Privacy Notice Generator</c:v>
                </c:pt>
                <c:pt idx="13">
                  <c:v>DPO Module</c:v>
                </c:pt>
                <c:pt idx="14">
                  <c:v>DPO Module Extension</c:v>
                </c:pt>
              </c:strCache>
            </c:strRef>
          </c:cat>
          <c:val>
            <c:numRef>
              <c:f>Summary!$G$5:$G$19</c:f>
              <c:numCache>
                <c:formatCode>General</c:formatCode>
                <c:ptCount val="15"/>
                <c:pt idx="0">
                  <c:v>12</c:v>
                </c:pt>
                <c:pt idx="1">
                  <c:v>13</c:v>
                </c:pt>
                <c:pt idx="2">
                  <c:v>11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  <c:pt idx="8">
                  <c:v>12</c:v>
                </c:pt>
                <c:pt idx="9">
                  <c:v>6</c:v>
                </c:pt>
                <c:pt idx="10">
                  <c:v>12</c:v>
                </c:pt>
                <c:pt idx="11">
                  <c:v>5</c:v>
                </c:pt>
                <c:pt idx="12">
                  <c:v>7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</c:ser>
        <c:ser>
          <c:idx val="1"/>
          <c:order val="1"/>
          <c:tx>
            <c:strRef>
              <c:f>Summary!H4</c:f>
              <c:strCache>
                <c:ptCount val="1"/>
                <c:pt idx="0">
                  <c:v>Should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ffc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Summary!$C$5:$C$19</c:f>
              <c:strCache>
                <c:ptCount val="15"/>
                <c:pt idx="0">
                  <c:v>DPIA Management Module</c:v>
                </c:pt>
                <c:pt idx="1">
                  <c:v>Data Subject Access Request (DSAR)</c:v>
                </c:pt>
                <c:pt idx="2">
                  <c:v>Record of Processing Activities (RoPA)</c:v>
                </c:pt>
                <c:pt idx="3">
                  <c:v>ROPA Template Generator</c:v>
                </c:pt>
                <c:pt idx="4">
                  <c:v>ROPA Risk Assessment Module</c:v>
                </c:pt>
                <c:pt idx="5">
                  <c:v>Data Sharing Agreement Generator (DSA)</c:v>
                </c:pt>
                <c:pt idx="6">
                  <c:v>Vendor Assessment Module</c:v>
                </c:pt>
                <c:pt idx="7">
                  <c:v>Organization Management Module</c:v>
                </c:pt>
                <c:pt idx="8">
                  <c:v>Data Breach Notification</c:v>
                </c:pt>
                <c:pt idx="9">
                  <c:v>Data Processing Agreement</c:v>
                </c:pt>
                <c:pt idx="10">
                  <c:v>Cookies and Consent Management</c:v>
                </c:pt>
                <c:pt idx="11">
                  <c:v>Data Flow Generator</c:v>
                </c:pt>
                <c:pt idx="12">
                  <c:v>Privacy Notice Generator</c:v>
                </c:pt>
                <c:pt idx="13">
                  <c:v>DPO Module</c:v>
                </c:pt>
                <c:pt idx="14">
                  <c:v>DPO Module Extension</c:v>
                </c:pt>
              </c:strCache>
            </c:strRef>
          </c:cat>
          <c:val>
            <c:numRef>
              <c:f>Summary!$H$5:$H$19</c:f>
              <c:numCache>
                <c:formatCode>General</c:formatCode>
                <c:ptCount val="15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7</c:v>
                </c:pt>
                <c:pt idx="7">
                  <c:v>10</c:v>
                </c:pt>
                <c:pt idx="8">
                  <c:v>3</c:v>
                </c:pt>
                <c:pt idx="9">
                  <c:v>7</c:v>
                </c:pt>
                <c:pt idx="10">
                  <c:v>11</c:v>
                </c:pt>
                <c:pt idx="11">
                  <c:v>4</c:v>
                </c:pt>
                <c:pt idx="12">
                  <c:v>8</c:v>
                </c:pt>
                <c:pt idx="13">
                  <c:v>8</c:v>
                </c:pt>
                <c:pt idx="14">
                  <c:v>6</c:v>
                </c:pt>
              </c:numCache>
            </c:numRef>
          </c:val>
        </c:ser>
        <c:ser>
          <c:idx val="2"/>
          <c:order val="2"/>
          <c:tx>
            <c:strRef>
              <c:f>Summary!I4</c:f>
              <c:strCache>
                <c:ptCount val="1"/>
                <c:pt idx="0">
                  <c:v>Nice-to-have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Summary!$C$5:$C$19</c:f>
              <c:strCache>
                <c:ptCount val="15"/>
                <c:pt idx="0">
                  <c:v>DPIA Management Module</c:v>
                </c:pt>
                <c:pt idx="1">
                  <c:v>Data Subject Access Request (DSAR)</c:v>
                </c:pt>
                <c:pt idx="2">
                  <c:v>Record of Processing Activities (RoPA)</c:v>
                </c:pt>
                <c:pt idx="3">
                  <c:v>ROPA Template Generator</c:v>
                </c:pt>
                <c:pt idx="4">
                  <c:v>ROPA Risk Assessment Module</c:v>
                </c:pt>
                <c:pt idx="5">
                  <c:v>Data Sharing Agreement Generator (DSA)</c:v>
                </c:pt>
                <c:pt idx="6">
                  <c:v>Vendor Assessment Module</c:v>
                </c:pt>
                <c:pt idx="7">
                  <c:v>Organization Management Module</c:v>
                </c:pt>
                <c:pt idx="8">
                  <c:v>Data Breach Notification</c:v>
                </c:pt>
                <c:pt idx="9">
                  <c:v>Data Processing Agreement</c:v>
                </c:pt>
                <c:pt idx="10">
                  <c:v>Cookies and Consent Management</c:v>
                </c:pt>
                <c:pt idx="11">
                  <c:v>Data Flow Generator</c:v>
                </c:pt>
                <c:pt idx="12">
                  <c:v>Privacy Notice Generator</c:v>
                </c:pt>
                <c:pt idx="13">
                  <c:v>DPO Module</c:v>
                </c:pt>
                <c:pt idx="14">
                  <c:v>DPO Module Extension</c:v>
                </c:pt>
              </c:strCache>
            </c:strRef>
          </c:cat>
          <c:val>
            <c:numRef>
              <c:f>Summary!$I$5:$I$19</c:f>
              <c:numCache>
                <c:formatCode>General</c:formatCode>
                <c:ptCount val="15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5</c:v>
                </c:pt>
              </c:numCache>
            </c:numRef>
          </c:val>
        </c:ser>
        <c:gapWidth val="150"/>
        <c:overlap val="100"/>
        <c:axId val="40914013"/>
        <c:axId val="39519812"/>
      </c:barChart>
      <c:catAx>
        <c:axId val="409140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19812"/>
        <c:crosses val="autoZero"/>
        <c:auto val="1"/>
        <c:lblAlgn val="ctr"/>
        <c:lblOffset val="100"/>
        <c:noMultiLvlLbl val="0"/>
      </c:catAx>
      <c:valAx>
        <c:axId val="395198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จำนวนฟังก์ชัน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140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144360</xdr:rowOff>
    </xdr:from>
    <xdr:to>
      <xdr:col>20</xdr:col>
      <xdr:colOff>364680</xdr:colOff>
      <xdr:row>17</xdr:row>
      <xdr:rowOff>44280</xdr:rowOff>
    </xdr:to>
    <xdr:graphicFrame>
      <xdr:nvGraphicFramePr>
        <xdr:cNvPr id="0" name="Chart 1"/>
        <xdr:cNvGraphicFramePr/>
      </xdr:nvGraphicFramePr>
      <xdr:xfrm>
        <a:off x="13792320" y="57168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DPA_Thailand_Function_List_15_Modules.xlsx" TargetMode="External"/><Relationship Id="rId2" Type="http://schemas.openxmlformats.org/officeDocument/2006/relationships/hyperlink" Target="PDPA_Thailand_Function_List_15_Modules.xlsx" TargetMode="External"/><Relationship Id="rId3" Type="http://schemas.openxmlformats.org/officeDocument/2006/relationships/hyperlink" Target="PDPA_Thailand_Function_List_15_Modules.xlsx" TargetMode="External"/><Relationship Id="rId4" Type="http://schemas.openxmlformats.org/officeDocument/2006/relationships/hyperlink" Target="PDPA_Thailand_Function_List_15_Modules.xlsx" TargetMode="External"/><Relationship Id="rId5" Type="http://schemas.openxmlformats.org/officeDocument/2006/relationships/hyperlink" Target="PDPA_Thailand_Function_List_15_Modules.xlsx" TargetMode="External"/><Relationship Id="rId6" Type="http://schemas.openxmlformats.org/officeDocument/2006/relationships/hyperlink" Target="PDPA_Thailand_Function_List_15_Modules.xlsx" TargetMode="External"/><Relationship Id="rId7" Type="http://schemas.openxmlformats.org/officeDocument/2006/relationships/hyperlink" Target="PDPA_Thailand_Function_List_15_Modules.xlsx" TargetMode="External"/><Relationship Id="rId8" Type="http://schemas.openxmlformats.org/officeDocument/2006/relationships/hyperlink" Target="PDPA_Thailand_Function_List_15_Modules.xlsx" TargetMode="External"/><Relationship Id="rId9" Type="http://schemas.openxmlformats.org/officeDocument/2006/relationships/hyperlink" Target="PDPA_Thailand_Function_List_15_Modules.xlsx" TargetMode="External"/><Relationship Id="rId10" Type="http://schemas.openxmlformats.org/officeDocument/2006/relationships/hyperlink" Target="PDPA_Thailand_Function_List_15_Modules.xlsx" TargetMode="External"/><Relationship Id="rId11" Type="http://schemas.openxmlformats.org/officeDocument/2006/relationships/hyperlink" Target="PDPA_Thailand_Function_List_15_Modules.xlsx" TargetMode="External"/><Relationship Id="rId12" Type="http://schemas.openxmlformats.org/officeDocument/2006/relationships/hyperlink" Target="PDPA_Thailand_Function_List_15_Modules.xlsx" TargetMode="External"/><Relationship Id="rId13" Type="http://schemas.openxmlformats.org/officeDocument/2006/relationships/hyperlink" Target="PDPA_Thailand_Function_List_15_Modules.xlsx" TargetMode="External"/><Relationship Id="rId14" Type="http://schemas.openxmlformats.org/officeDocument/2006/relationships/hyperlink" Target="PDPA_Thailand_Function_List_15_Modules.xlsx" TargetMode="External"/><Relationship Id="rId15" Type="http://schemas.openxmlformats.org/officeDocument/2006/relationships/hyperlink" Target="PDPA_Thailand_Function_List_15_Modules.xlsx" TargetMode="External"/><Relationship Id="rId16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s://www.ratchakitcha.soc.go.th/DATA/PDF/2562/A/069/T_0052.PDF" TargetMode="External"/><Relationship Id="rId2" Type="http://schemas.openxmlformats.org/officeDocument/2006/relationships/hyperlink" Target="https://www.ratchakitcha.soc.go.th/DATA/PDF/2565/E/140/T_0028.PDF" TargetMode="External"/><Relationship Id="rId3" Type="http://schemas.openxmlformats.org/officeDocument/2006/relationships/hyperlink" Target="https://www.mdes.go.th/law/detail/6336" TargetMode="External"/><Relationship Id="rId4" Type="http://schemas.openxmlformats.org/officeDocument/2006/relationships/hyperlink" Target="https://privacymatters.dlapiper.com/2025/02/thailand-pdpcs-clarification-on-personal-data-breach-notification/" TargetMode="External"/><Relationship Id="rId5" Type="http://schemas.openxmlformats.org/officeDocument/2006/relationships/hyperlink" Target="https://www.pdpc.or.th/2968/" TargetMode="External"/><Relationship Id="rId6" Type="http://schemas.openxmlformats.org/officeDocument/2006/relationships/hyperlink" Target="https://pdpathailand.com/pdpa/content/article202.php" TargetMode="External"/><Relationship Id="rId7" Type="http://schemas.openxmlformats.org/officeDocument/2006/relationships/hyperlink" Target="https://www.jorporhnoy.com/newlaw-jan2025/" TargetMode="External"/><Relationship Id="rId8" Type="http://schemas.openxmlformats.org/officeDocument/2006/relationships/hyperlink" Target="https://pdpathailand.com/news-article/pdpa-mdes-41/" TargetMode="External"/><Relationship Id="rId9" Type="http://schemas.openxmlformats.org/officeDocument/2006/relationships/hyperlink" Target="https://elaw.tsu.ac.th/laws/1401" TargetMode="External"/><Relationship Id="rId10" Type="http://schemas.openxmlformats.org/officeDocument/2006/relationships/hyperlink" Target="https://www.pdpc.or.th/2507/" TargetMode="External"/><Relationship Id="rId11" Type="http://schemas.openxmlformats.org/officeDocument/2006/relationships/hyperlink" Target="https://www.oa.law.chula.ac.th/tdpg-4-0/p/" TargetMode="External"/><Relationship Id="rId12" Type="http://schemas.openxmlformats.org/officeDocument/2006/relationships/hyperlink" Target="https://www.thaipdf.com/2094-pdpa-template-v1-for-government-data-controller/" TargetMode="External"/><Relationship Id="rId13" Type="http://schemas.openxmlformats.org/officeDocument/2006/relationships/hyperlink" Target="https://www.bangkokbiznews.com/news/news-update/1027040" TargetMode="External"/><Relationship Id="rId14" Type="http://schemas.openxmlformats.org/officeDocument/2006/relationships/hyperlink" Target="https://gppc.pdpc.or.th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8" min="7" style="0" width="8"/>
    <col collapsed="false" customWidth="true" hidden="false" outlineLevel="0" max="9" min="9" style="0" width="11"/>
  </cols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5" t="s">
        <v>9</v>
      </c>
      <c r="I4" s="6" t="s">
        <v>10</v>
      </c>
    </row>
    <row r="5" customFormat="false" ht="23.85" hidden="false" customHeight="false" outlineLevel="0" collapsed="false">
      <c r="A5" s="7" t="n">
        <v>1</v>
      </c>
      <c r="B5" s="8" t="s">
        <v>11</v>
      </c>
      <c r="C5" s="8" t="s">
        <v>12</v>
      </c>
      <c r="D5" s="8" t="s">
        <v>13</v>
      </c>
      <c r="E5" s="9" t="s">
        <v>14</v>
      </c>
      <c r="F5" s="7" t="n">
        <f aca="false">COUNTA(01_DPIA!A4:A200)</f>
        <v>18</v>
      </c>
      <c r="G5" s="7" t="n">
        <f aca="false">COUNTIF(01_DPIA!G4:G200,"Must")</f>
        <v>12</v>
      </c>
      <c r="H5" s="7" t="n">
        <f aca="false">COUNTIF(01_DPIA!G4:G200,"Should")</f>
        <v>4</v>
      </c>
      <c r="I5" s="7" t="n">
        <f aca="false">COUNTIF(01_DPIA!G4:G200,"Nice-to-have")</f>
        <v>2</v>
      </c>
    </row>
    <row r="6" customFormat="false" ht="15" hidden="false" customHeight="false" outlineLevel="0" collapsed="false">
      <c r="A6" s="7" t="n">
        <v>2</v>
      </c>
      <c r="B6" s="8" t="s">
        <v>15</v>
      </c>
      <c r="C6" s="8" t="s">
        <v>16</v>
      </c>
      <c r="D6" s="8" t="s">
        <v>17</v>
      </c>
      <c r="E6" s="9" t="s">
        <v>18</v>
      </c>
      <c r="F6" s="7" t="n">
        <f aca="false">COUNTA(02_DSAR!A4:A200)</f>
        <v>21</v>
      </c>
      <c r="G6" s="7" t="n">
        <f aca="false">COUNTIF(02_DSAR!G4:G200,"Must")</f>
        <v>13</v>
      </c>
      <c r="H6" s="7" t="n">
        <f aca="false">COUNTIF(02_DSAR!G4:G200,"Should")</f>
        <v>8</v>
      </c>
      <c r="I6" s="7" t="n">
        <f aca="false">COUNTIF(02_DSAR!G4:G200,"Nice-to-have")</f>
        <v>0</v>
      </c>
    </row>
    <row r="7" customFormat="false" ht="23.85" hidden="false" customHeight="false" outlineLevel="0" collapsed="false">
      <c r="A7" s="7" t="n">
        <v>3</v>
      </c>
      <c r="B7" s="8" t="s">
        <v>19</v>
      </c>
      <c r="C7" s="8" t="s">
        <v>20</v>
      </c>
      <c r="D7" s="8" t="s">
        <v>21</v>
      </c>
      <c r="E7" s="9" t="s">
        <v>22</v>
      </c>
      <c r="F7" s="7" t="n">
        <f aca="false">COUNTA(03_RoPA!A4:A200)</f>
        <v>20</v>
      </c>
      <c r="G7" s="7" t="n">
        <f aca="false">COUNTIF(03_RoPA!G4:G200,"Must")</f>
        <v>11</v>
      </c>
      <c r="H7" s="7" t="n">
        <f aca="false">COUNTIF(03_RoPA!G4:G200,"Should")</f>
        <v>8</v>
      </c>
      <c r="I7" s="7" t="n">
        <f aca="false">COUNTIF(03_RoPA!G4:G200,"Nice-to-have")</f>
        <v>1</v>
      </c>
    </row>
    <row r="8" customFormat="false" ht="23.85" hidden="false" customHeight="false" outlineLevel="0" collapsed="false">
      <c r="A8" s="7" t="n">
        <v>4</v>
      </c>
      <c r="B8" s="8" t="s">
        <v>23</v>
      </c>
      <c r="C8" s="8" t="s">
        <v>24</v>
      </c>
      <c r="D8" s="8" t="s">
        <v>25</v>
      </c>
      <c r="E8" s="9" t="s">
        <v>26</v>
      </c>
      <c r="F8" s="7" t="n">
        <f aca="false">COUNTA(04_ROPA_Template!A4:A200)</f>
        <v>13</v>
      </c>
      <c r="G8" s="7" t="n">
        <f aca="false">COUNTIF(04_ROPA_Template!G4:G200,"Must")</f>
        <v>5</v>
      </c>
      <c r="H8" s="7" t="n">
        <f aca="false">COUNTIF(04_ROPA_Template!G4:G200,"Should")</f>
        <v>7</v>
      </c>
      <c r="I8" s="7" t="n">
        <f aca="false">COUNTIF(04_ROPA_Template!G4:G200,"Nice-to-have")</f>
        <v>1</v>
      </c>
    </row>
    <row r="9" customFormat="false" ht="23.85" hidden="false" customHeight="false" outlineLevel="0" collapsed="false">
      <c r="A9" s="7" t="n">
        <v>5</v>
      </c>
      <c r="B9" s="8" t="s">
        <v>27</v>
      </c>
      <c r="C9" s="8" t="s">
        <v>28</v>
      </c>
      <c r="D9" s="8" t="s">
        <v>29</v>
      </c>
      <c r="E9" s="9" t="s">
        <v>30</v>
      </c>
      <c r="F9" s="7" t="n">
        <f aca="false">COUNTA(05_ROPA_Risk!A4:A200)</f>
        <v>14</v>
      </c>
      <c r="G9" s="7" t="n">
        <f aca="false">COUNTIF(05_ROPA_Risk!G4:G200,"Must")</f>
        <v>6</v>
      </c>
      <c r="H9" s="7" t="n">
        <f aca="false">COUNTIF(05_ROPA_Risk!G4:G200,"Should")</f>
        <v>8</v>
      </c>
      <c r="I9" s="7" t="n">
        <f aca="false">COUNTIF(05_ROPA_Risk!G4:G200,"Nice-to-have")</f>
        <v>0</v>
      </c>
    </row>
    <row r="10" customFormat="false" ht="23.85" hidden="false" customHeight="false" outlineLevel="0" collapsed="false">
      <c r="A10" s="7" t="n">
        <v>6</v>
      </c>
      <c r="B10" s="8" t="s">
        <v>31</v>
      </c>
      <c r="C10" s="8" t="s">
        <v>32</v>
      </c>
      <c r="D10" s="8" t="s">
        <v>33</v>
      </c>
      <c r="E10" s="9" t="s">
        <v>34</v>
      </c>
      <c r="F10" s="7" t="n">
        <f aca="false">COUNTA(06_DSA!A4:A200)</f>
        <v>14</v>
      </c>
      <c r="G10" s="7" t="n">
        <f aca="false">COUNTIF(06_DSA!G4:G200,"Must")</f>
        <v>6</v>
      </c>
      <c r="H10" s="7" t="n">
        <f aca="false">COUNTIF(06_DSA!G4:G200,"Should")</f>
        <v>6</v>
      </c>
      <c r="I10" s="7" t="n">
        <f aca="false">COUNTIF(06_DSA!G4:G200,"Nice-to-have")</f>
        <v>2</v>
      </c>
    </row>
    <row r="11" customFormat="false" ht="23.85" hidden="false" customHeight="false" outlineLevel="0" collapsed="false">
      <c r="A11" s="7" t="n">
        <v>7</v>
      </c>
      <c r="B11" s="8" t="s">
        <v>35</v>
      </c>
      <c r="C11" s="8" t="s">
        <v>36</v>
      </c>
      <c r="D11" s="8" t="s">
        <v>37</v>
      </c>
      <c r="E11" s="9" t="s">
        <v>38</v>
      </c>
      <c r="F11" s="7" t="n">
        <f aca="false">COUNTA(07_Vendor!A4:A200)</f>
        <v>15</v>
      </c>
      <c r="G11" s="7" t="n">
        <f aca="false">COUNTIF(07_Vendor!G4:G200,"Must")</f>
        <v>7</v>
      </c>
      <c r="H11" s="7" t="n">
        <f aca="false">COUNTIF(07_Vendor!G4:G200,"Should")</f>
        <v>7</v>
      </c>
      <c r="I11" s="7" t="n">
        <f aca="false">COUNTIF(07_Vendor!G4:G200,"Nice-to-have")</f>
        <v>1</v>
      </c>
    </row>
    <row r="12" customFormat="false" ht="23.85" hidden="false" customHeight="false" outlineLevel="0" collapsed="false">
      <c r="A12" s="7" t="n">
        <v>8</v>
      </c>
      <c r="B12" s="8" t="s">
        <v>39</v>
      </c>
      <c r="C12" s="8" t="s">
        <v>40</v>
      </c>
      <c r="D12" s="8" t="s">
        <v>41</v>
      </c>
      <c r="E12" s="9" t="s">
        <v>42</v>
      </c>
      <c r="F12" s="7" t="n">
        <f aca="false">COUNTA(08_Organization!A4:A200)</f>
        <v>21</v>
      </c>
      <c r="G12" s="7" t="n">
        <f aca="false">COUNTIF(08_Organization!G4:G200,"Must")</f>
        <v>10</v>
      </c>
      <c r="H12" s="7" t="n">
        <f aca="false">COUNTIF(08_Organization!G4:G200,"Should")</f>
        <v>10</v>
      </c>
      <c r="I12" s="7" t="n">
        <f aca="false">COUNTIF(08_Organization!G4:G200,"Nice-to-have")</f>
        <v>1</v>
      </c>
    </row>
    <row r="13" customFormat="false" ht="15" hidden="false" customHeight="false" outlineLevel="0" collapsed="false">
      <c r="A13" s="7" t="n">
        <v>9</v>
      </c>
      <c r="B13" s="8" t="s">
        <v>43</v>
      </c>
      <c r="C13" s="8" t="s">
        <v>44</v>
      </c>
      <c r="D13" s="8" t="s">
        <v>45</v>
      </c>
      <c r="E13" s="9" t="s">
        <v>46</v>
      </c>
      <c r="F13" s="7" t="n">
        <f aca="false">COUNTA(09_Breach!A4:A200)</f>
        <v>17</v>
      </c>
      <c r="G13" s="7" t="n">
        <f aca="false">COUNTIF(09_Breach!G4:G200,"Must")</f>
        <v>12</v>
      </c>
      <c r="H13" s="7" t="n">
        <f aca="false">COUNTIF(09_Breach!G4:G200,"Should")</f>
        <v>3</v>
      </c>
      <c r="I13" s="7" t="n">
        <f aca="false">COUNTIF(09_Breach!G4:G200,"Nice-to-have")</f>
        <v>2</v>
      </c>
    </row>
    <row r="14" customFormat="false" ht="15" hidden="false" customHeight="false" outlineLevel="0" collapsed="false">
      <c r="A14" s="7" t="n">
        <v>10</v>
      </c>
      <c r="B14" s="8" t="s">
        <v>47</v>
      </c>
      <c r="C14" s="8" t="s">
        <v>48</v>
      </c>
      <c r="D14" s="8" t="s">
        <v>49</v>
      </c>
      <c r="E14" s="9" t="s">
        <v>50</v>
      </c>
      <c r="F14" s="7" t="n">
        <f aca="false">COUNTA(10_DPA!A4:A200)</f>
        <v>14</v>
      </c>
      <c r="G14" s="7" t="n">
        <f aca="false">COUNTIF(10_DPA!G4:G200,"Must")</f>
        <v>6</v>
      </c>
      <c r="H14" s="7" t="n">
        <f aca="false">COUNTIF(10_DPA!G4:G200,"Should")</f>
        <v>7</v>
      </c>
      <c r="I14" s="7" t="n">
        <f aca="false">COUNTIF(10_DPA!G4:G200,"Nice-to-have")</f>
        <v>1</v>
      </c>
    </row>
    <row r="15" customFormat="false" ht="23.85" hidden="false" customHeight="false" outlineLevel="0" collapsed="false">
      <c r="A15" s="7" t="n">
        <v>11</v>
      </c>
      <c r="B15" s="8" t="s">
        <v>51</v>
      </c>
      <c r="C15" s="8" t="s">
        <v>52</v>
      </c>
      <c r="D15" s="8" t="s">
        <v>53</v>
      </c>
      <c r="E15" s="9" t="s">
        <v>54</v>
      </c>
      <c r="F15" s="7" t="n">
        <f aca="false">COUNTA(11_Consent!A4:A200)</f>
        <v>24</v>
      </c>
      <c r="G15" s="7" t="n">
        <f aca="false">COUNTIF(11_Consent!G4:G200,"Must")</f>
        <v>12</v>
      </c>
      <c r="H15" s="7" t="n">
        <f aca="false">COUNTIF(11_Consent!G4:G200,"Should")</f>
        <v>11</v>
      </c>
      <c r="I15" s="7" t="n">
        <f aca="false">COUNTIF(11_Consent!G4:G200,"Nice-to-have")</f>
        <v>1</v>
      </c>
    </row>
    <row r="16" customFormat="false" ht="23.85" hidden="false" customHeight="false" outlineLevel="0" collapsed="false">
      <c r="A16" s="7" t="n">
        <v>12</v>
      </c>
      <c r="B16" s="8" t="s">
        <v>55</v>
      </c>
      <c r="C16" s="8" t="s">
        <v>56</v>
      </c>
      <c r="D16" s="8" t="s">
        <v>57</v>
      </c>
      <c r="E16" s="9" t="s">
        <v>58</v>
      </c>
      <c r="F16" s="7" t="n">
        <f aca="false">COUNTA(12_DataFlow!A4:A200)</f>
        <v>11</v>
      </c>
      <c r="G16" s="7" t="n">
        <f aca="false">COUNTIF(12_DataFlow!G4:G200,"Must")</f>
        <v>5</v>
      </c>
      <c r="H16" s="7" t="n">
        <f aca="false">COUNTIF(12_DataFlow!G4:G200,"Should")</f>
        <v>4</v>
      </c>
      <c r="I16" s="7" t="n">
        <f aca="false">COUNTIF(12_DataFlow!G4:G200,"Nice-to-have")</f>
        <v>2</v>
      </c>
    </row>
    <row r="17" customFormat="false" ht="15" hidden="false" customHeight="false" outlineLevel="0" collapsed="false">
      <c r="A17" s="7" t="n">
        <v>13</v>
      </c>
      <c r="B17" s="8" t="s">
        <v>59</v>
      </c>
      <c r="C17" s="8" t="s">
        <v>60</v>
      </c>
      <c r="D17" s="8" t="s">
        <v>61</v>
      </c>
      <c r="E17" s="9" t="s">
        <v>62</v>
      </c>
      <c r="F17" s="7" t="n">
        <f aca="false">COUNTA(13_Notice!A4:A200)</f>
        <v>16</v>
      </c>
      <c r="G17" s="7" t="n">
        <f aca="false">COUNTIF(13_Notice!G4:G200,"Must")</f>
        <v>7</v>
      </c>
      <c r="H17" s="7" t="n">
        <f aca="false">COUNTIF(13_Notice!G4:G200,"Should")</f>
        <v>8</v>
      </c>
      <c r="I17" s="7" t="n">
        <f aca="false">COUNTIF(13_Notice!G4:G200,"Nice-to-have")</f>
        <v>1</v>
      </c>
    </row>
    <row r="18" customFormat="false" ht="23.85" hidden="false" customHeight="false" outlineLevel="0" collapsed="false">
      <c r="A18" s="7" t="n">
        <v>14</v>
      </c>
      <c r="B18" s="8" t="s">
        <v>63</v>
      </c>
      <c r="C18" s="8" t="s">
        <v>64</v>
      </c>
      <c r="D18" s="8" t="s">
        <v>65</v>
      </c>
      <c r="E18" s="9" t="s">
        <v>66</v>
      </c>
      <c r="F18" s="7" t="n">
        <f aca="false">COUNTA(14_DPO!A4:A200)</f>
        <v>12</v>
      </c>
      <c r="G18" s="7" t="n">
        <f aca="false">COUNTIF(14_DPO!G4:G200,"Must")</f>
        <v>3</v>
      </c>
      <c r="H18" s="7" t="n">
        <f aca="false">COUNTIF(14_DPO!G4:G200,"Should")</f>
        <v>8</v>
      </c>
      <c r="I18" s="7" t="n">
        <f aca="false">COUNTIF(14_DPO!G4:G200,"Nice-to-have")</f>
        <v>1</v>
      </c>
    </row>
    <row r="19" customFormat="false" ht="23.85" hidden="false" customHeight="false" outlineLevel="0" collapsed="false">
      <c r="A19" s="7" t="n">
        <v>15</v>
      </c>
      <c r="B19" s="8" t="s">
        <v>67</v>
      </c>
      <c r="C19" s="8" t="s">
        <v>68</v>
      </c>
      <c r="D19" s="8" t="s">
        <v>69</v>
      </c>
      <c r="E19" s="9" t="s">
        <v>70</v>
      </c>
      <c r="F19" s="7" t="n">
        <f aca="false">COUNTA(15_DPO_Ext!A4:A200)</f>
        <v>13</v>
      </c>
      <c r="G19" s="7" t="n">
        <f aca="false">COUNTIF(15_DPO_Ext!G4:G200,"Must")</f>
        <v>2</v>
      </c>
      <c r="H19" s="7" t="n">
        <f aca="false">COUNTIF(15_DPO_Ext!G4:G200,"Should")</f>
        <v>6</v>
      </c>
      <c r="I19" s="7" t="n">
        <f aca="false">COUNTIF(15_DPO_Ext!G4:G200,"Nice-to-have")</f>
        <v>5</v>
      </c>
    </row>
    <row r="20" customFormat="false" ht="15" hidden="false" customHeight="false" outlineLevel="0" collapsed="false">
      <c r="A20" s="10"/>
      <c r="B20" s="11" t="s">
        <v>71</v>
      </c>
      <c r="C20" s="10"/>
      <c r="D20" s="10"/>
      <c r="E20" s="10"/>
      <c r="F20" s="12" t="n">
        <f aca="false">SUM(F5:F19)</f>
        <v>243</v>
      </c>
      <c r="G20" s="12" t="n">
        <f aca="false">SUM(G5:G19)</f>
        <v>117</v>
      </c>
      <c r="H20" s="12" t="n">
        <f aca="false">SUM(H5:H19)</f>
        <v>105</v>
      </c>
      <c r="I20" s="12" t="n">
        <f aca="false">SUM(I5:I19)</f>
        <v>21</v>
      </c>
    </row>
    <row r="22" customFormat="false" ht="15" hidden="false" customHeight="false" outlineLevel="0" collapsed="false">
      <c r="A22" s="13" t="s">
        <v>72</v>
      </c>
    </row>
    <row r="23" customFormat="false" ht="12.65" hidden="false" customHeight="false" outlineLevel="0" collapsed="false">
      <c r="A23" s="14" t="s">
        <v>73</v>
      </c>
      <c r="B23" s="14"/>
      <c r="C23" s="14"/>
      <c r="D23" s="14"/>
      <c r="E23" s="14"/>
      <c r="F23" s="14"/>
      <c r="G23" s="14"/>
      <c r="H23" s="14"/>
      <c r="I23" s="14"/>
    </row>
    <row r="24" customFormat="false" ht="12.65" hidden="false" customHeight="false" outlineLevel="0" collapsed="false">
      <c r="A24" s="15" t="s">
        <v>74</v>
      </c>
      <c r="B24" s="15"/>
      <c r="C24" s="15"/>
      <c r="D24" s="15"/>
      <c r="E24" s="15"/>
      <c r="F24" s="15"/>
      <c r="G24" s="15"/>
      <c r="H24" s="15"/>
      <c r="I24" s="15"/>
    </row>
    <row r="25" customFormat="false" ht="12.65" hidden="false" customHeight="false" outlineLevel="0" collapsed="false">
      <c r="A25" s="16" t="s">
        <v>75</v>
      </c>
      <c r="B25" s="16"/>
      <c r="C25" s="16"/>
      <c r="D25" s="16"/>
      <c r="E25" s="16"/>
      <c r="F25" s="16"/>
      <c r="G25" s="16"/>
      <c r="H25" s="16"/>
      <c r="I25" s="16"/>
    </row>
    <row r="26" customFormat="false" ht="12.65" hidden="false" customHeight="false" outlineLevel="0" collapsed="false">
      <c r="A26" s="17" t="s">
        <v>76</v>
      </c>
      <c r="B26" s="17"/>
      <c r="C26" s="17"/>
      <c r="D26" s="17"/>
      <c r="E26" s="17"/>
      <c r="F26" s="17"/>
      <c r="G26" s="17"/>
      <c r="H26" s="17"/>
      <c r="I26" s="17"/>
    </row>
    <row r="27" customFormat="false" ht="12.65" hidden="false" customHeight="false" outlineLevel="0" collapsed="false">
      <c r="A27" s="17" t="s">
        <v>77</v>
      </c>
      <c r="B27" s="17"/>
      <c r="C27" s="17"/>
      <c r="D27" s="17"/>
      <c r="E27" s="17"/>
      <c r="F27" s="17"/>
      <c r="G27" s="17"/>
      <c r="H27" s="17"/>
      <c r="I27" s="17"/>
    </row>
    <row r="28" customFormat="false" ht="12.65" hidden="false" customHeight="false" outlineLevel="0" collapsed="false">
      <c r="A28" s="17" t="s">
        <v>78</v>
      </c>
      <c r="B28" s="17"/>
      <c r="C28" s="17"/>
      <c r="D28" s="17"/>
      <c r="E28" s="17"/>
      <c r="F28" s="17"/>
      <c r="G28" s="17"/>
      <c r="H28" s="17"/>
      <c r="I28" s="17"/>
    </row>
    <row r="30" customFormat="false" ht="15" hidden="false" customHeight="false" outlineLevel="0" collapsed="false">
      <c r="A30" s="18" t="s">
        <v>79</v>
      </c>
    </row>
    <row r="31" customFormat="false" ht="12.65" hidden="false" customHeight="false" outlineLevel="0" collapsed="false">
      <c r="A31" s="17" t="s">
        <v>80</v>
      </c>
      <c r="B31" s="17"/>
      <c r="C31" s="17"/>
      <c r="D31" s="17"/>
      <c r="E31" s="17"/>
      <c r="F31" s="17"/>
      <c r="G31" s="17"/>
      <c r="H31" s="17"/>
      <c r="I31" s="17"/>
    </row>
    <row r="32" customFormat="false" ht="12.65" hidden="false" customHeight="false" outlineLevel="0" collapsed="false">
      <c r="A32" s="17" t="s">
        <v>81</v>
      </c>
      <c r="B32" s="17"/>
      <c r="C32" s="17"/>
      <c r="D32" s="17"/>
      <c r="E32" s="17"/>
      <c r="F32" s="17"/>
      <c r="G32" s="17"/>
      <c r="H32" s="17"/>
      <c r="I32" s="17"/>
    </row>
    <row r="33" customFormat="false" ht="12.65" hidden="false" customHeight="false" outlineLevel="0" collapsed="false">
      <c r="A33" s="17" t="s">
        <v>82</v>
      </c>
      <c r="B33" s="17"/>
      <c r="C33" s="17"/>
      <c r="D33" s="17"/>
      <c r="E33" s="17"/>
      <c r="F33" s="17"/>
      <c r="G33" s="17"/>
      <c r="H33" s="17"/>
      <c r="I33" s="17"/>
    </row>
  </sheetData>
  <mergeCells count="10">
    <mergeCell ref="A1:I1"/>
    <mergeCell ref="A23:I23"/>
    <mergeCell ref="A24:I24"/>
    <mergeCell ref="A25:I25"/>
    <mergeCell ref="A26:I26"/>
    <mergeCell ref="A27:I27"/>
    <mergeCell ref="A28:I28"/>
    <mergeCell ref="A31:I31"/>
    <mergeCell ref="A32:I32"/>
    <mergeCell ref="A33:I33"/>
  </mergeCells>
  <hyperlinks>
    <hyperlink ref="E5" r:id="rId1" location="'01_DPIA'!A1" display="01_DPIA"/>
    <hyperlink ref="E6" r:id="rId2" location="'02_DSAR'!A1" display="02_DSAR"/>
    <hyperlink ref="E7" r:id="rId3" location="'03_RoPA'!A1" display="03_RoPA"/>
    <hyperlink ref="E8" r:id="rId4" location="'04_ROPA_Template'!A1" display="04_ROPA_Template"/>
    <hyperlink ref="E9" r:id="rId5" location="'05_ROPA_Risk'!A1" display="05_ROPA_Risk"/>
    <hyperlink ref="E10" r:id="rId6" location="'06_DSA'!A1" display="06_DSA"/>
    <hyperlink ref="E11" r:id="rId7" location="'07_Vendor'!A1" display="07_Vendor"/>
    <hyperlink ref="E12" r:id="rId8" location="'08_Organization'!A1" display="08_Organization"/>
    <hyperlink ref="E13" r:id="rId9" location="'09_Breach'!A1" display="09_Breach"/>
    <hyperlink ref="E14" r:id="rId10" location="'10_DPA'!A1" display="10_DPA"/>
    <hyperlink ref="E15" r:id="rId11" location="'11_Consent'!A1" display="11_Consent"/>
    <hyperlink ref="E16" r:id="rId12" location="'12_DataFlow'!A1" display="12_DataFlow"/>
    <hyperlink ref="E17" r:id="rId13" location="'13_Notice'!A1" display="13_Notice"/>
    <hyperlink ref="E18" r:id="rId14" location="'14_DPO'!A1" display="14_DPO"/>
    <hyperlink ref="E19" r:id="rId15" location="'15_DPO_Ext'!A1" display="15_DPO_Ex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83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84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35.05" hidden="false" customHeight="false" outlineLevel="0" collapsed="false">
      <c r="A4" s="20" t="s">
        <v>93</v>
      </c>
      <c r="B4" s="8" t="s">
        <v>94</v>
      </c>
      <c r="C4" s="8" t="s">
        <v>95</v>
      </c>
      <c r="D4" s="8" t="s">
        <v>96</v>
      </c>
      <c r="E4" s="8" t="s">
        <v>97</v>
      </c>
      <c r="F4" s="8" t="s">
        <v>98</v>
      </c>
      <c r="G4" s="21" t="s">
        <v>8</v>
      </c>
      <c r="H4" s="7" t="s">
        <v>99</v>
      </c>
      <c r="I4" s="8" t="s">
        <v>100</v>
      </c>
    </row>
    <row r="5" customFormat="false" ht="23.85" hidden="false" customHeight="false" outlineLevel="0" collapsed="false">
      <c r="A5" s="20" t="s">
        <v>101</v>
      </c>
      <c r="B5" s="8" t="s">
        <v>94</v>
      </c>
      <c r="C5" s="8" t="s">
        <v>102</v>
      </c>
      <c r="D5" s="8" t="s">
        <v>103</v>
      </c>
      <c r="E5" s="8" t="s">
        <v>104</v>
      </c>
      <c r="F5" s="8" t="s">
        <v>105</v>
      </c>
      <c r="G5" s="21" t="s">
        <v>8</v>
      </c>
      <c r="H5" s="7" t="s">
        <v>106</v>
      </c>
      <c r="I5" s="8" t="s">
        <v>107</v>
      </c>
    </row>
    <row r="6" customFormat="false" ht="23.85" hidden="false" customHeight="false" outlineLevel="0" collapsed="false">
      <c r="A6" s="20" t="s">
        <v>108</v>
      </c>
      <c r="B6" s="8" t="s">
        <v>109</v>
      </c>
      <c r="C6" s="8" t="s">
        <v>110</v>
      </c>
      <c r="D6" s="8" t="s">
        <v>111</v>
      </c>
      <c r="E6" s="8" t="s">
        <v>112</v>
      </c>
      <c r="F6" s="8" t="s">
        <v>113</v>
      </c>
      <c r="G6" s="21" t="s">
        <v>8</v>
      </c>
      <c r="H6" s="7" t="s">
        <v>106</v>
      </c>
      <c r="I6" s="8" t="s">
        <v>100</v>
      </c>
    </row>
    <row r="7" customFormat="false" ht="23.85" hidden="false" customHeight="false" outlineLevel="0" collapsed="false">
      <c r="A7" s="20" t="s">
        <v>114</v>
      </c>
      <c r="B7" s="8" t="s">
        <v>109</v>
      </c>
      <c r="C7" s="8" t="s">
        <v>115</v>
      </c>
      <c r="D7" s="8" t="s">
        <v>116</v>
      </c>
      <c r="E7" s="8" t="s">
        <v>117</v>
      </c>
      <c r="F7" s="8" t="s">
        <v>118</v>
      </c>
      <c r="G7" s="21" t="s">
        <v>8</v>
      </c>
      <c r="H7" s="7" t="s">
        <v>106</v>
      </c>
      <c r="I7" s="8" t="s">
        <v>100</v>
      </c>
    </row>
    <row r="8" customFormat="false" ht="15" hidden="false" customHeight="false" outlineLevel="0" collapsed="false">
      <c r="A8" s="20" t="s">
        <v>119</v>
      </c>
      <c r="B8" s="8" t="s">
        <v>109</v>
      </c>
      <c r="C8" s="8" t="s">
        <v>120</v>
      </c>
      <c r="D8" s="8" t="s">
        <v>121</v>
      </c>
      <c r="E8" s="8" t="s">
        <v>122</v>
      </c>
      <c r="F8" s="8" t="s">
        <v>123</v>
      </c>
      <c r="G8" s="21" t="s">
        <v>8</v>
      </c>
      <c r="H8" s="7" t="s">
        <v>106</v>
      </c>
      <c r="I8" s="8" t="s">
        <v>124</v>
      </c>
    </row>
    <row r="9" customFormat="false" ht="23.85" hidden="false" customHeight="false" outlineLevel="0" collapsed="false">
      <c r="A9" s="20" t="s">
        <v>125</v>
      </c>
      <c r="B9" s="8" t="s">
        <v>126</v>
      </c>
      <c r="C9" s="8" t="s">
        <v>127</v>
      </c>
      <c r="D9" s="8" t="s">
        <v>128</v>
      </c>
      <c r="E9" s="8" t="s">
        <v>129</v>
      </c>
      <c r="F9" s="8" t="s">
        <v>130</v>
      </c>
      <c r="G9" s="21" t="s">
        <v>8</v>
      </c>
      <c r="H9" s="7" t="s">
        <v>106</v>
      </c>
      <c r="I9" s="8" t="s">
        <v>100</v>
      </c>
    </row>
    <row r="10" customFormat="false" ht="23.85" hidden="false" customHeight="false" outlineLevel="0" collapsed="false">
      <c r="A10" s="20" t="s">
        <v>131</v>
      </c>
      <c r="B10" s="8" t="s">
        <v>126</v>
      </c>
      <c r="C10" s="8" t="s">
        <v>132</v>
      </c>
      <c r="D10" s="8" t="s">
        <v>133</v>
      </c>
      <c r="E10" s="8" t="s">
        <v>134</v>
      </c>
      <c r="F10" s="8" t="s">
        <v>135</v>
      </c>
      <c r="G10" s="21" t="s">
        <v>8</v>
      </c>
      <c r="H10" s="7" t="s">
        <v>106</v>
      </c>
      <c r="I10" s="8" t="s">
        <v>124</v>
      </c>
    </row>
    <row r="11" customFormat="false" ht="15" hidden="false" customHeight="false" outlineLevel="0" collapsed="false">
      <c r="A11" s="20" t="s">
        <v>136</v>
      </c>
      <c r="B11" s="8" t="s">
        <v>126</v>
      </c>
      <c r="C11" s="8" t="s">
        <v>137</v>
      </c>
      <c r="D11" s="8" t="s">
        <v>138</v>
      </c>
      <c r="E11" s="8" t="s">
        <v>139</v>
      </c>
      <c r="F11" s="8" t="s">
        <v>130</v>
      </c>
      <c r="G11" s="22" t="s">
        <v>9</v>
      </c>
      <c r="H11" s="7" t="s">
        <v>106</v>
      </c>
      <c r="I11" s="8" t="s">
        <v>124</v>
      </c>
    </row>
    <row r="12" customFormat="false" ht="23.85" hidden="false" customHeight="false" outlineLevel="0" collapsed="false">
      <c r="A12" s="20" t="s">
        <v>140</v>
      </c>
      <c r="B12" s="8" t="s">
        <v>141</v>
      </c>
      <c r="C12" s="8" t="s">
        <v>142</v>
      </c>
      <c r="D12" s="8" t="s">
        <v>143</v>
      </c>
      <c r="E12" s="8" t="s">
        <v>144</v>
      </c>
      <c r="F12" s="8" t="s">
        <v>113</v>
      </c>
      <c r="G12" s="21" t="s">
        <v>8</v>
      </c>
      <c r="H12" s="7" t="s">
        <v>106</v>
      </c>
      <c r="I12" s="8" t="s">
        <v>100</v>
      </c>
    </row>
    <row r="13" customFormat="false" ht="15" hidden="false" customHeight="false" outlineLevel="0" collapsed="false">
      <c r="A13" s="20" t="s">
        <v>145</v>
      </c>
      <c r="B13" s="8" t="s">
        <v>141</v>
      </c>
      <c r="C13" s="8" t="s">
        <v>146</v>
      </c>
      <c r="D13" s="8" t="s">
        <v>147</v>
      </c>
      <c r="E13" s="8" t="s">
        <v>148</v>
      </c>
      <c r="F13" s="8" t="s">
        <v>149</v>
      </c>
      <c r="G13" s="21" t="s">
        <v>8</v>
      </c>
      <c r="H13" s="7" t="s">
        <v>106</v>
      </c>
      <c r="I13" s="8" t="s">
        <v>100</v>
      </c>
    </row>
    <row r="14" customFormat="false" ht="15" hidden="false" customHeight="false" outlineLevel="0" collapsed="false">
      <c r="A14" s="20" t="s">
        <v>150</v>
      </c>
      <c r="B14" s="8" t="s">
        <v>141</v>
      </c>
      <c r="C14" s="8" t="s">
        <v>151</v>
      </c>
      <c r="D14" s="8" t="s">
        <v>152</v>
      </c>
      <c r="E14" s="8" t="s">
        <v>153</v>
      </c>
      <c r="F14" s="8" t="s">
        <v>105</v>
      </c>
      <c r="G14" s="22" t="s">
        <v>9</v>
      </c>
      <c r="H14" s="7" t="s">
        <v>106</v>
      </c>
      <c r="I14" s="8" t="s">
        <v>154</v>
      </c>
    </row>
    <row r="15" customFormat="false" ht="23.85" hidden="false" customHeight="false" outlineLevel="0" collapsed="false">
      <c r="A15" s="20" t="s">
        <v>155</v>
      </c>
      <c r="B15" s="8" t="s">
        <v>156</v>
      </c>
      <c r="C15" s="8" t="s">
        <v>157</v>
      </c>
      <c r="D15" s="8" t="s">
        <v>158</v>
      </c>
      <c r="E15" s="8" t="s">
        <v>159</v>
      </c>
      <c r="F15" s="8" t="s">
        <v>130</v>
      </c>
      <c r="G15" s="21" t="s">
        <v>8</v>
      </c>
      <c r="H15" s="7" t="s">
        <v>106</v>
      </c>
      <c r="I15" s="8" t="s">
        <v>100</v>
      </c>
    </row>
    <row r="16" customFormat="false" ht="15" hidden="false" customHeight="false" outlineLevel="0" collapsed="false">
      <c r="A16" s="20" t="s">
        <v>160</v>
      </c>
      <c r="B16" s="8" t="s">
        <v>156</v>
      </c>
      <c r="C16" s="8" t="s">
        <v>161</v>
      </c>
      <c r="D16" s="8" t="s">
        <v>162</v>
      </c>
      <c r="E16" s="8" t="s">
        <v>163</v>
      </c>
      <c r="F16" s="8" t="s">
        <v>164</v>
      </c>
      <c r="G16" s="22" t="s">
        <v>9</v>
      </c>
      <c r="H16" s="7" t="s">
        <v>106</v>
      </c>
      <c r="I16" s="8" t="s">
        <v>124</v>
      </c>
    </row>
    <row r="17" customFormat="false" ht="15" hidden="false" customHeight="false" outlineLevel="0" collapsed="false">
      <c r="A17" s="20" t="s">
        <v>165</v>
      </c>
      <c r="B17" s="8" t="s">
        <v>156</v>
      </c>
      <c r="C17" s="8" t="s">
        <v>166</v>
      </c>
      <c r="D17" s="8" t="s">
        <v>167</v>
      </c>
      <c r="E17" s="8" t="s">
        <v>168</v>
      </c>
      <c r="F17" s="8" t="s">
        <v>130</v>
      </c>
      <c r="G17" s="21" t="s">
        <v>8</v>
      </c>
      <c r="H17" s="7" t="s">
        <v>106</v>
      </c>
      <c r="I17" s="8" t="s">
        <v>124</v>
      </c>
    </row>
    <row r="18" customFormat="false" ht="15" hidden="false" customHeight="false" outlineLevel="0" collapsed="false">
      <c r="A18" s="20" t="s">
        <v>169</v>
      </c>
      <c r="B18" s="8" t="s">
        <v>170</v>
      </c>
      <c r="C18" s="8" t="s">
        <v>171</v>
      </c>
      <c r="D18" s="8" t="s">
        <v>172</v>
      </c>
      <c r="E18" s="8" t="s">
        <v>173</v>
      </c>
      <c r="F18" s="8" t="s">
        <v>113</v>
      </c>
      <c r="G18" s="21" t="s">
        <v>8</v>
      </c>
      <c r="H18" s="7" t="s">
        <v>106</v>
      </c>
      <c r="I18" s="8" t="s">
        <v>100</v>
      </c>
    </row>
    <row r="19" customFormat="false" ht="23.85" hidden="false" customHeight="false" outlineLevel="0" collapsed="false">
      <c r="A19" s="20" t="s">
        <v>174</v>
      </c>
      <c r="B19" s="8" t="s">
        <v>175</v>
      </c>
      <c r="C19" s="8" t="s">
        <v>176</v>
      </c>
      <c r="D19" s="8" t="s">
        <v>177</v>
      </c>
      <c r="E19" s="8" t="s">
        <v>178</v>
      </c>
      <c r="F19" s="8" t="s">
        <v>179</v>
      </c>
      <c r="G19" s="22" t="s">
        <v>9</v>
      </c>
      <c r="H19" s="7" t="s">
        <v>180</v>
      </c>
      <c r="I19" s="8" t="s">
        <v>124</v>
      </c>
    </row>
    <row r="20" customFormat="false" ht="23.85" hidden="false" customHeight="false" outlineLevel="0" collapsed="false">
      <c r="A20" s="20" t="s">
        <v>181</v>
      </c>
      <c r="B20" s="8" t="s">
        <v>175</v>
      </c>
      <c r="C20" s="8" t="s">
        <v>182</v>
      </c>
      <c r="D20" s="8" t="s">
        <v>183</v>
      </c>
      <c r="E20" s="8" t="s">
        <v>184</v>
      </c>
      <c r="F20" s="8" t="s">
        <v>185</v>
      </c>
      <c r="G20" s="23" t="s">
        <v>10</v>
      </c>
      <c r="H20" s="7" t="s">
        <v>186</v>
      </c>
      <c r="I20" s="8" t="s">
        <v>124</v>
      </c>
    </row>
    <row r="21" customFormat="false" ht="15" hidden="false" customHeight="false" outlineLevel="0" collapsed="false">
      <c r="A21" s="20" t="s">
        <v>187</v>
      </c>
      <c r="B21" s="8" t="s">
        <v>188</v>
      </c>
      <c r="C21" s="8" t="s">
        <v>189</v>
      </c>
      <c r="D21" s="8" t="s">
        <v>190</v>
      </c>
      <c r="E21" s="8" t="s">
        <v>191</v>
      </c>
      <c r="F21" s="8" t="s">
        <v>185</v>
      </c>
      <c r="G21" s="23" t="s">
        <v>10</v>
      </c>
      <c r="H21" s="7" t="s">
        <v>106</v>
      </c>
      <c r="I21" s="8" t="s">
        <v>124</v>
      </c>
    </row>
  </sheetData>
  <autoFilter ref="A3:I21"/>
  <mergeCells count="1">
    <mergeCell ref="A1:I1"/>
  </mergeCells>
  <dataValidations count="1">
    <dataValidation allowBlank="false" errorStyle="stop" operator="between" showDropDown="false" showErrorMessage="false" showInputMessage="false" sqref="G4:G21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192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193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23.85" hidden="false" customHeight="false" outlineLevel="0" collapsed="false">
      <c r="A4" s="20" t="s">
        <v>194</v>
      </c>
      <c r="B4" s="8" t="s">
        <v>195</v>
      </c>
      <c r="C4" s="8" t="s">
        <v>196</v>
      </c>
      <c r="D4" s="8" t="s">
        <v>197</v>
      </c>
      <c r="E4" s="8" t="s">
        <v>198</v>
      </c>
      <c r="F4" s="8" t="s">
        <v>199</v>
      </c>
      <c r="G4" s="21" t="s">
        <v>8</v>
      </c>
      <c r="H4" s="7" t="s">
        <v>200</v>
      </c>
      <c r="I4" s="8" t="s">
        <v>201</v>
      </c>
    </row>
    <row r="5" customFormat="false" ht="23.85" hidden="false" customHeight="false" outlineLevel="0" collapsed="false">
      <c r="A5" s="20" t="s">
        <v>202</v>
      </c>
      <c r="B5" s="8" t="s">
        <v>195</v>
      </c>
      <c r="C5" s="8" t="s">
        <v>203</v>
      </c>
      <c r="D5" s="8" t="s">
        <v>204</v>
      </c>
      <c r="E5" s="8" t="s">
        <v>205</v>
      </c>
      <c r="F5" s="8" t="s">
        <v>206</v>
      </c>
      <c r="G5" s="21" t="s">
        <v>8</v>
      </c>
      <c r="H5" s="7" t="s">
        <v>106</v>
      </c>
      <c r="I5" s="8" t="s">
        <v>207</v>
      </c>
    </row>
    <row r="6" customFormat="false" ht="35.05" hidden="false" customHeight="false" outlineLevel="0" collapsed="false">
      <c r="A6" s="20" t="s">
        <v>208</v>
      </c>
      <c r="B6" s="8" t="s">
        <v>195</v>
      </c>
      <c r="C6" s="8" t="s">
        <v>209</v>
      </c>
      <c r="D6" s="8" t="s">
        <v>210</v>
      </c>
      <c r="E6" s="8" t="s">
        <v>211</v>
      </c>
      <c r="F6" s="8" t="s">
        <v>212</v>
      </c>
      <c r="G6" s="21" t="s">
        <v>8</v>
      </c>
      <c r="H6" s="7" t="s">
        <v>213</v>
      </c>
      <c r="I6" s="8" t="s">
        <v>214</v>
      </c>
    </row>
    <row r="7" customFormat="false" ht="23.85" hidden="false" customHeight="false" outlineLevel="0" collapsed="false">
      <c r="A7" s="20" t="s">
        <v>215</v>
      </c>
      <c r="B7" s="8" t="s">
        <v>195</v>
      </c>
      <c r="C7" s="8" t="s">
        <v>216</v>
      </c>
      <c r="D7" s="8" t="s">
        <v>217</v>
      </c>
      <c r="E7" s="8" t="s">
        <v>218</v>
      </c>
      <c r="F7" s="8" t="s">
        <v>219</v>
      </c>
      <c r="G7" s="21" t="s">
        <v>8</v>
      </c>
      <c r="H7" s="7" t="s">
        <v>106</v>
      </c>
      <c r="I7" s="8" t="s">
        <v>107</v>
      </c>
    </row>
    <row r="8" customFormat="false" ht="15" hidden="false" customHeight="false" outlineLevel="0" collapsed="false">
      <c r="A8" s="20" t="s">
        <v>220</v>
      </c>
      <c r="B8" s="8" t="s">
        <v>195</v>
      </c>
      <c r="C8" s="8" t="s">
        <v>221</v>
      </c>
      <c r="D8" s="8" t="s">
        <v>222</v>
      </c>
      <c r="E8" s="8" t="s">
        <v>223</v>
      </c>
      <c r="F8" s="8" t="s">
        <v>224</v>
      </c>
      <c r="G8" s="22" t="s">
        <v>9</v>
      </c>
      <c r="H8" s="7" t="s">
        <v>225</v>
      </c>
      <c r="I8" s="8" t="s">
        <v>226</v>
      </c>
    </row>
    <row r="9" customFormat="false" ht="23.85" hidden="false" customHeight="false" outlineLevel="0" collapsed="false">
      <c r="A9" s="20" t="s">
        <v>227</v>
      </c>
      <c r="B9" s="8" t="s">
        <v>228</v>
      </c>
      <c r="C9" s="8" t="s">
        <v>229</v>
      </c>
      <c r="D9" s="8" t="s">
        <v>230</v>
      </c>
      <c r="E9" s="8" t="s">
        <v>231</v>
      </c>
      <c r="F9" s="8" t="s">
        <v>113</v>
      </c>
      <c r="G9" s="21" t="s">
        <v>8</v>
      </c>
      <c r="H9" s="7" t="s">
        <v>232</v>
      </c>
      <c r="I9" s="8" t="s">
        <v>233</v>
      </c>
    </row>
    <row r="10" customFormat="false" ht="15" hidden="false" customHeight="false" outlineLevel="0" collapsed="false">
      <c r="A10" s="20" t="s">
        <v>234</v>
      </c>
      <c r="B10" s="8" t="s">
        <v>235</v>
      </c>
      <c r="C10" s="8" t="s">
        <v>236</v>
      </c>
      <c r="D10" s="8" t="s">
        <v>237</v>
      </c>
      <c r="E10" s="8" t="s">
        <v>238</v>
      </c>
      <c r="F10" s="8" t="s">
        <v>239</v>
      </c>
      <c r="G10" s="21" t="s">
        <v>8</v>
      </c>
      <c r="H10" s="7" t="s">
        <v>240</v>
      </c>
      <c r="I10" s="8" t="s">
        <v>226</v>
      </c>
    </row>
    <row r="11" customFormat="false" ht="23.85" hidden="false" customHeight="false" outlineLevel="0" collapsed="false">
      <c r="A11" s="20" t="s">
        <v>241</v>
      </c>
      <c r="B11" s="8" t="s">
        <v>235</v>
      </c>
      <c r="C11" s="8" t="s">
        <v>242</v>
      </c>
      <c r="D11" s="8" t="s">
        <v>243</v>
      </c>
      <c r="E11" s="8" t="s">
        <v>244</v>
      </c>
      <c r="F11" s="8" t="s">
        <v>113</v>
      </c>
      <c r="G11" s="21" t="s">
        <v>8</v>
      </c>
      <c r="H11" s="7" t="s">
        <v>245</v>
      </c>
      <c r="I11" s="8" t="s">
        <v>246</v>
      </c>
    </row>
    <row r="12" customFormat="false" ht="15" hidden="false" customHeight="false" outlineLevel="0" collapsed="false">
      <c r="A12" s="20" t="s">
        <v>247</v>
      </c>
      <c r="B12" s="8" t="s">
        <v>235</v>
      </c>
      <c r="C12" s="8" t="s">
        <v>248</v>
      </c>
      <c r="D12" s="8" t="s">
        <v>249</v>
      </c>
      <c r="E12" s="8" t="s">
        <v>250</v>
      </c>
      <c r="F12" s="8" t="s">
        <v>206</v>
      </c>
      <c r="G12" s="22" t="s">
        <v>9</v>
      </c>
      <c r="H12" s="7" t="s">
        <v>251</v>
      </c>
      <c r="I12" s="8" t="s">
        <v>124</v>
      </c>
    </row>
    <row r="13" customFormat="false" ht="23.85" hidden="false" customHeight="false" outlineLevel="0" collapsed="false">
      <c r="A13" s="20" t="s">
        <v>252</v>
      </c>
      <c r="B13" s="8" t="s">
        <v>235</v>
      </c>
      <c r="C13" s="8" t="s">
        <v>253</v>
      </c>
      <c r="D13" s="8" t="s">
        <v>254</v>
      </c>
      <c r="E13" s="8" t="s">
        <v>255</v>
      </c>
      <c r="F13" s="8" t="s">
        <v>256</v>
      </c>
      <c r="G13" s="22" t="s">
        <v>9</v>
      </c>
      <c r="H13" s="7" t="s">
        <v>106</v>
      </c>
      <c r="I13" s="8" t="s">
        <v>124</v>
      </c>
    </row>
    <row r="14" customFormat="false" ht="15" hidden="false" customHeight="false" outlineLevel="0" collapsed="false">
      <c r="A14" s="20" t="s">
        <v>257</v>
      </c>
      <c r="B14" s="8" t="s">
        <v>235</v>
      </c>
      <c r="C14" s="8" t="s">
        <v>258</v>
      </c>
      <c r="D14" s="8" t="s">
        <v>259</v>
      </c>
      <c r="E14" s="8" t="s">
        <v>260</v>
      </c>
      <c r="F14" s="8" t="s">
        <v>261</v>
      </c>
      <c r="G14" s="21" t="s">
        <v>8</v>
      </c>
      <c r="H14" s="7" t="s">
        <v>262</v>
      </c>
      <c r="I14" s="8" t="s">
        <v>263</v>
      </c>
    </row>
    <row r="15" customFormat="false" ht="23.85" hidden="false" customHeight="false" outlineLevel="0" collapsed="false">
      <c r="A15" s="20" t="s">
        <v>264</v>
      </c>
      <c r="B15" s="8" t="s">
        <v>235</v>
      </c>
      <c r="C15" s="8" t="s">
        <v>265</v>
      </c>
      <c r="D15" s="8" t="s">
        <v>266</v>
      </c>
      <c r="E15" s="8" t="s">
        <v>267</v>
      </c>
      <c r="F15" s="8" t="s">
        <v>268</v>
      </c>
      <c r="G15" s="22" t="s">
        <v>9</v>
      </c>
      <c r="H15" s="7" t="s">
        <v>106</v>
      </c>
      <c r="I15" s="8" t="s">
        <v>124</v>
      </c>
    </row>
    <row r="16" customFormat="false" ht="23.85" hidden="false" customHeight="false" outlineLevel="0" collapsed="false">
      <c r="A16" s="20" t="s">
        <v>269</v>
      </c>
      <c r="B16" s="8" t="s">
        <v>270</v>
      </c>
      <c r="C16" s="8" t="s">
        <v>271</v>
      </c>
      <c r="D16" s="8" t="s">
        <v>272</v>
      </c>
      <c r="E16" s="8" t="s">
        <v>273</v>
      </c>
      <c r="F16" s="8" t="s">
        <v>113</v>
      </c>
      <c r="G16" s="21" t="s">
        <v>8</v>
      </c>
      <c r="H16" s="7" t="s">
        <v>106</v>
      </c>
      <c r="I16" s="8" t="s">
        <v>124</v>
      </c>
    </row>
    <row r="17" customFormat="false" ht="15" hidden="false" customHeight="false" outlineLevel="0" collapsed="false">
      <c r="A17" s="20" t="s">
        <v>274</v>
      </c>
      <c r="B17" s="8" t="s">
        <v>270</v>
      </c>
      <c r="C17" s="8" t="s">
        <v>275</v>
      </c>
      <c r="D17" s="8" t="s">
        <v>276</v>
      </c>
      <c r="E17" s="8" t="s">
        <v>277</v>
      </c>
      <c r="F17" s="8" t="s">
        <v>130</v>
      </c>
      <c r="G17" s="21" t="s">
        <v>8</v>
      </c>
      <c r="H17" s="7" t="s">
        <v>278</v>
      </c>
      <c r="I17" s="8" t="s">
        <v>124</v>
      </c>
    </row>
    <row r="18" customFormat="false" ht="15" hidden="false" customHeight="false" outlineLevel="0" collapsed="false">
      <c r="A18" s="20" t="s">
        <v>279</v>
      </c>
      <c r="B18" s="8" t="s">
        <v>270</v>
      </c>
      <c r="C18" s="8" t="s">
        <v>280</v>
      </c>
      <c r="D18" s="8" t="s">
        <v>281</v>
      </c>
      <c r="E18" s="8" t="s">
        <v>282</v>
      </c>
      <c r="F18" s="8" t="s">
        <v>283</v>
      </c>
      <c r="G18" s="21" t="s">
        <v>8</v>
      </c>
      <c r="H18" s="7" t="s">
        <v>106</v>
      </c>
      <c r="I18" s="8" t="s">
        <v>124</v>
      </c>
    </row>
    <row r="19" customFormat="false" ht="15" hidden="false" customHeight="false" outlineLevel="0" collapsed="false">
      <c r="A19" s="20" t="s">
        <v>284</v>
      </c>
      <c r="B19" s="8" t="s">
        <v>270</v>
      </c>
      <c r="C19" s="8" t="s">
        <v>285</v>
      </c>
      <c r="D19" s="8" t="s">
        <v>286</v>
      </c>
      <c r="E19" s="8" t="s">
        <v>287</v>
      </c>
      <c r="F19" s="8" t="s">
        <v>288</v>
      </c>
      <c r="G19" s="22" t="s">
        <v>9</v>
      </c>
      <c r="H19" s="7" t="s">
        <v>106</v>
      </c>
      <c r="I19" s="8" t="s">
        <v>124</v>
      </c>
    </row>
    <row r="20" customFormat="false" ht="15" hidden="false" customHeight="false" outlineLevel="0" collapsed="false">
      <c r="A20" s="20" t="s">
        <v>289</v>
      </c>
      <c r="B20" s="8" t="s">
        <v>156</v>
      </c>
      <c r="C20" s="8" t="s">
        <v>290</v>
      </c>
      <c r="D20" s="8" t="s">
        <v>291</v>
      </c>
      <c r="E20" s="8" t="s">
        <v>292</v>
      </c>
      <c r="F20" s="8" t="s">
        <v>293</v>
      </c>
      <c r="G20" s="21" t="s">
        <v>8</v>
      </c>
      <c r="H20" s="7" t="s">
        <v>106</v>
      </c>
      <c r="I20" s="8" t="s">
        <v>100</v>
      </c>
    </row>
    <row r="21" customFormat="false" ht="15" hidden="false" customHeight="false" outlineLevel="0" collapsed="false">
      <c r="A21" s="20" t="s">
        <v>294</v>
      </c>
      <c r="B21" s="8" t="s">
        <v>156</v>
      </c>
      <c r="C21" s="8" t="s">
        <v>295</v>
      </c>
      <c r="D21" s="8" t="s">
        <v>296</v>
      </c>
      <c r="E21" s="8" t="s">
        <v>297</v>
      </c>
      <c r="F21" s="8" t="s">
        <v>113</v>
      </c>
      <c r="G21" s="21" t="s">
        <v>8</v>
      </c>
      <c r="H21" s="7" t="s">
        <v>106</v>
      </c>
      <c r="I21" s="8" t="s">
        <v>100</v>
      </c>
    </row>
    <row r="22" customFormat="false" ht="15" hidden="false" customHeight="false" outlineLevel="0" collapsed="false">
      <c r="A22" s="20" t="s">
        <v>298</v>
      </c>
      <c r="B22" s="8" t="s">
        <v>156</v>
      </c>
      <c r="C22" s="8" t="s">
        <v>299</v>
      </c>
      <c r="D22" s="8" t="s">
        <v>300</v>
      </c>
      <c r="E22" s="8" t="s">
        <v>301</v>
      </c>
      <c r="F22" s="8" t="s">
        <v>113</v>
      </c>
      <c r="G22" s="22" t="s">
        <v>9</v>
      </c>
      <c r="H22" s="7" t="s">
        <v>106</v>
      </c>
      <c r="I22" s="8" t="s">
        <v>124</v>
      </c>
    </row>
    <row r="23" customFormat="false" ht="15" hidden="false" customHeight="false" outlineLevel="0" collapsed="false">
      <c r="A23" s="20" t="s">
        <v>302</v>
      </c>
      <c r="B23" s="8" t="s">
        <v>303</v>
      </c>
      <c r="C23" s="8" t="s">
        <v>304</v>
      </c>
      <c r="D23" s="8" t="s">
        <v>305</v>
      </c>
      <c r="E23" s="8" t="s">
        <v>306</v>
      </c>
      <c r="F23" s="8" t="s">
        <v>113</v>
      </c>
      <c r="G23" s="22" t="s">
        <v>9</v>
      </c>
      <c r="H23" s="7" t="s">
        <v>106</v>
      </c>
      <c r="I23" s="8" t="s">
        <v>124</v>
      </c>
    </row>
    <row r="24" customFormat="false" ht="15" hidden="false" customHeight="false" outlineLevel="0" collapsed="false">
      <c r="A24" s="20" t="s">
        <v>307</v>
      </c>
      <c r="B24" s="8" t="s">
        <v>308</v>
      </c>
      <c r="C24" s="8" t="s">
        <v>309</v>
      </c>
      <c r="D24" s="8" t="s">
        <v>310</v>
      </c>
      <c r="E24" s="8" t="s">
        <v>311</v>
      </c>
      <c r="F24" s="8" t="s">
        <v>312</v>
      </c>
      <c r="G24" s="22" t="s">
        <v>9</v>
      </c>
      <c r="H24" s="7" t="s">
        <v>106</v>
      </c>
      <c r="I24" s="8" t="s">
        <v>124</v>
      </c>
    </row>
  </sheetData>
  <autoFilter ref="A3:I24"/>
  <mergeCells count="1">
    <mergeCell ref="A1:I1"/>
  </mergeCells>
  <dataValidations count="1">
    <dataValidation allowBlank="false" errorStyle="stop" operator="between" showDropDown="false" showErrorMessage="false" showInputMessage="false" sqref="G4:G24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313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314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23.85" hidden="false" customHeight="false" outlineLevel="0" collapsed="false">
      <c r="A4" s="20" t="s">
        <v>315</v>
      </c>
      <c r="B4" s="8" t="s">
        <v>316</v>
      </c>
      <c r="C4" s="8" t="s">
        <v>317</v>
      </c>
      <c r="D4" s="8" t="s">
        <v>318</v>
      </c>
      <c r="E4" s="8" t="s">
        <v>319</v>
      </c>
      <c r="F4" s="8" t="s">
        <v>118</v>
      </c>
      <c r="G4" s="21" t="s">
        <v>8</v>
      </c>
      <c r="H4" s="7" t="s">
        <v>320</v>
      </c>
      <c r="I4" s="8" t="s">
        <v>246</v>
      </c>
    </row>
    <row r="5" customFormat="false" ht="15" hidden="false" customHeight="false" outlineLevel="0" collapsed="false">
      <c r="A5" s="20" t="s">
        <v>321</v>
      </c>
      <c r="B5" s="8" t="s">
        <v>316</v>
      </c>
      <c r="C5" s="8" t="s">
        <v>322</v>
      </c>
      <c r="D5" s="8" t="s">
        <v>323</v>
      </c>
      <c r="E5" s="8" t="s">
        <v>324</v>
      </c>
      <c r="F5" s="8" t="s">
        <v>325</v>
      </c>
      <c r="G5" s="21" t="s">
        <v>8</v>
      </c>
      <c r="H5" s="7" t="s">
        <v>326</v>
      </c>
      <c r="I5" s="8" t="s">
        <v>124</v>
      </c>
    </row>
    <row r="6" customFormat="false" ht="23.85" hidden="false" customHeight="false" outlineLevel="0" collapsed="false">
      <c r="A6" s="20" t="s">
        <v>327</v>
      </c>
      <c r="B6" s="8" t="s">
        <v>328</v>
      </c>
      <c r="C6" s="8" t="s">
        <v>329</v>
      </c>
      <c r="D6" s="8" t="s">
        <v>330</v>
      </c>
      <c r="E6" s="8" t="s">
        <v>331</v>
      </c>
      <c r="F6" s="8" t="s">
        <v>118</v>
      </c>
      <c r="G6" s="21" t="s">
        <v>8</v>
      </c>
      <c r="H6" s="7" t="s">
        <v>332</v>
      </c>
      <c r="I6" s="8" t="s">
        <v>246</v>
      </c>
    </row>
    <row r="7" customFormat="false" ht="23.85" hidden="false" customHeight="false" outlineLevel="0" collapsed="false">
      <c r="A7" s="20" t="s">
        <v>333</v>
      </c>
      <c r="B7" s="8" t="s">
        <v>328</v>
      </c>
      <c r="C7" s="8" t="s">
        <v>334</v>
      </c>
      <c r="D7" s="8" t="s">
        <v>335</v>
      </c>
      <c r="E7" s="8" t="s">
        <v>336</v>
      </c>
      <c r="F7" s="8" t="s">
        <v>337</v>
      </c>
      <c r="G7" s="21" t="s">
        <v>8</v>
      </c>
      <c r="H7" s="7" t="s">
        <v>338</v>
      </c>
      <c r="I7" s="8" t="s">
        <v>207</v>
      </c>
    </row>
    <row r="8" customFormat="false" ht="23.85" hidden="false" customHeight="false" outlineLevel="0" collapsed="false">
      <c r="A8" s="20" t="s">
        <v>339</v>
      </c>
      <c r="B8" s="8" t="s">
        <v>328</v>
      </c>
      <c r="C8" s="8" t="s">
        <v>340</v>
      </c>
      <c r="D8" s="8" t="s">
        <v>341</v>
      </c>
      <c r="E8" s="8" t="s">
        <v>342</v>
      </c>
      <c r="F8" s="8" t="s">
        <v>118</v>
      </c>
      <c r="G8" s="21" t="s">
        <v>8</v>
      </c>
      <c r="H8" s="7" t="s">
        <v>106</v>
      </c>
      <c r="I8" s="8" t="s">
        <v>107</v>
      </c>
    </row>
    <row r="9" customFormat="false" ht="23.85" hidden="false" customHeight="false" outlineLevel="0" collapsed="false">
      <c r="A9" s="20" t="s">
        <v>343</v>
      </c>
      <c r="B9" s="8" t="s">
        <v>344</v>
      </c>
      <c r="C9" s="8" t="s">
        <v>345</v>
      </c>
      <c r="D9" s="8" t="s">
        <v>346</v>
      </c>
      <c r="E9" s="8" t="s">
        <v>347</v>
      </c>
      <c r="F9" s="8" t="s">
        <v>348</v>
      </c>
      <c r="G9" s="21" t="s">
        <v>8</v>
      </c>
      <c r="H9" s="7" t="s">
        <v>349</v>
      </c>
      <c r="I9" s="8" t="s">
        <v>350</v>
      </c>
    </row>
    <row r="10" customFormat="false" ht="15" hidden="false" customHeight="false" outlineLevel="0" collapsed="false">
      <c r="A10" s="20" t="s">
        <v>351</v>
      </c>
      <c r="B10" s="8" t="s">
        <v>344</v>
      </c>
      <c r="C10" s="8" t="s">
        <v>352</v>
      </c>
      <c r="D10" s="8" t="s">
        <v>353</v>
      </c>
      <c r="E10" s="8" t="s">
        <v>354</v>
      </c>
      <c r="F10" s="8" t="s">
        <v>355</v>
      </c>
      <c r="G10" s="21" t="s">
        <v>8</v>
      </c>
      <c r="H10" s="7" t="s">
        <v>106</v>
      </c>
      <c r="I10" s="8" t="s">
        <v>207</v>
      </c>
    </row>
    <row r="11" customFormat="false" ht="15" hidden="false" customHeight="false" outlineLevel="0" collapsed="false">
      <c r="A11" s="20" t="s">
        <v>356</v>
      </c>
      <c r="B11" s="8" t="s">
        <v>344</v>
      </c>
      <c r="C11" s="8" t="s">
        <v>357</v>
      </c>
      <c r="D11" s="8" t="s">
        <v>358</v>
      </c>
      <c r="E11" s="8" t="s">
        <v>359</v>
      </c>
      <c r="F11" s="8" t="s">
        <v>360</v>
      </c>
      <c r="G11" s="21" t="s">
        <v>8</v>
      </c>
      <c r="H11" s="7" t="s">
        <v>106</v>
      </c>
      <c r="I11" s="8" t="s">
        <v>124</v>
      </c>
    </row>
    <row r="12" customFormat="false" ht="15" hidden="false" customHeight="false" outlineLevel="0" collapsed="false">
      <c r="A12" s="20" t="s">
        <v>361</v>
      </c>
      <c r="B12" s="8" t="s">
        <v>344</v>
      </c>
      <c r="C12" s="8" t="s">
        <v>362</v>
      </c>
      <c r="D12" s="8" t="s">
        <v>363</v>
      </c>
      <c r="E12" s="8" t="s">
        <v>364</v>
      </c>
      <c r="F12" s="8" t="s">
        <v>365</v>
      </c>
      <c r="G12" s="21" t="s">
        <v>8</v>
      </c>
      <c r="H12" s="7" t="s">
        <v>106</v>
      </c>
      <c r="I12" s="8" t="s">
        <v>207</v>
      </c>
    </row>
    <row r="13" customFormat="false" ht="15" hidden="false" customHeight="false" outlineLevel="0" collapsed="false">
      <c r="A13" s="20" t="s">
        <v>366</v>
      </c>
      <c r="B13" s="8" t="s">
        <v>344</v>
      </c>
      <c r="C13" s="8" t="s">
        <v>367</v>
      </c>
      <c r="D13" s="8" t="s">
        <v>368</v>
      </c>
      <c r="E13" s="8" t="s">
        <v>369</v>
      </c>
      <c r="F13" s="8" t="s">
        <v>293</v>
      </c>
      <c r="G13" s="21" t="s">
        <v>8</v>
      </c>
      <c r="H13" s="7" t="s">
        <v>106</v>
      </c>
      <c r="I13" s="8" t="s">
        <v>370</v>
      </c>
    </row>
    <row r="14" customFormat="false" ht="15" hidden="false" customHeight="false" outlineLevel="0" collapsed="false">
      <c r="A14" s="20" t="s">
        <v>371</v>
      </c>
      <c r="B14" s="8" t="s">
        <v>141</v>
      </c>
      <c r="C14" s="8" t="s">
        <v>372</v>
      </c>
      <c r="D14" s="8" t="s">
        <v>373</v>
      </c>
      <c r="E14" s="8" t="s">
        <v>374</v>
      </c>
      <c r="F14" s="8" t="s">
        <v>118</v>
      </c>
      <c r="G14" s="22" t="s">
        <v>9</v>
      </c>
      <c r="H14" s="7" t="s">
        <v>375</v>
      </c>
      <c r="I14" s="8" t="s">
        <v>100</v>
      </c>
    </row>
    <row r="15" customFormat="false" ht="15" hidden="false" customHeight="false" outlineLevel="0" collapsed="false">
      <c r="A15" s="20" t="s">
        <v>376</v>
      </c>
      <c r="B15" s="8" t="s">
        <v>141</v>
      </c>
      <c r="C15" s="8" t="s">
        <v>377</v>
      </c>
      <c r="D15" s="8" t="s">
        <v>378</v>
      </c>
      <c r="E15" s="8" t="s">
        <v>379</v>
      </c>
      <c r="F15" s="8" t="s">
        <v>113</v>
      </c>
      <c r="G15" s="22" t="s">
        <v>9</v>
      </c>
      <c r="H15" s="7" t="s">
        <v>106</v>
      </c>
      <c r="I15" s="8" t="s">
        <v>107</v>
      </c>
    </row>
    <row r="16" customFormat="false" ht="15" hidden="false" customHeight="false" outlineLevel="0" collapsed="false">
      <c r="A16" s="20" t="s">
        <v>380</v>
      </c>
      <c r="B16" s="8" t="s">
        <v>141</v>
      </c>
      <c r="C16" s="8" t="s">
        <v>381</v>
      </c>
      <c r="D16" s="8" t="s">
        <v>382</v>
      </c>
      <c r="E16" s="8" t="s">
        <v>383</v>
      </c>
      <c r="F16" s="8" t="s">
        <v>118</v>
      </c>
      <c r="G16" s="22" t="s">
        <v>9</v>
      </c>
      <c r="H16" s="7" t="s">
        <v>384</v>
      </c>
      <c r="I16" s="8" t="s">
        <v>100</v>
      </c>
    </row>
    <row r="17" customFormat="false" ht="15" hidden="false" customHeight="false" outlineLevel="0" collapsed="false">
      <c r="A17" s="20" t="s">
        <v>385</v>
      </c>
      <c r="B17" s="8" t="s">
        <v>141</v>
      </c>
      <c r="C17" s="8" t="s">
        <v>386</v>
      </c>
      <c r="D17" s="8" t="s">
        <v>387</v>
      </c>
      <c r="E17" s="8" t="s">
        <v>388</v>
      </c>
      <c r="F17" s="8" t="s">
        <v>118</v>
      </c>
      <c r="G17" s="22" t="s">
        <v>9</v>
      </c>
      <c r="H17" s="7" t="s">
        <v>106</v>
      </c>
      <c r="I17" s="8" t="s">
        <v>107</v>
      </c>
    </row>
    <row r="18" customFormat="false" ht="15" hidden="false" customHeight="false" outlineLevel="0" collapsed="false">
      <c r="A18" s="20" t="s">
        <v>389</v>
      </c>
      <c r="B18" s="8" t="s">
        <v>141</v>
      </c>
      <c r="C18" s="8" t="s">
        <v>390</v>
      </c>
      <c r="D18" s="8" t="s">
        <v>391</v>
      </c>
      <c r="E18" s="8" t="s">
        <v>392</v>
      </c>
      <c r="F18" s="8" t="s">
        <v>118</v>
      </c>
      <c r="G18" s="22" t="s">
        <v>9</v>
      </c>
      <c r="H18" s="7" t="s">
        <v>106</v>
      </c>
      <c r="I18" s="8" t="s">
        <v>207</v>
      </c>
    </row>
    <row r="19" customFormat="false" ht="23.85" hidden="false" customHeight="false" outlineLevel="0" collapsed="false">
      <c r="A19" s="20" t="s">
        <v>393</v>
      </c>
      <c r="B19" s="8" t="s">
        <v>170</v>
      </c>
      <c r="C19" s="8" t="s">
        <v>394</v>
      </c>
      <c r="D19" s="8" t="s">
        <v>395</v>
      </c>
      <c r="E19" s="8" t="s">
        <v>396</v>
      </c>
      <c r="F19" s="8" t="s">
        <v>118</v>
      </c>
      <c r="G19" s="21" t="s">
        <v>8</v>
      </c>
      <c r="H19" s="7" t="s">
        <v>397</v>
      </c>
      <c r="I19" s="8" t="s">
        <v>398</v>
      </c>
    </row>
    <row r="20" customFormat="false" ht="15" hidden="false" customHeight="false" outlineLevel="0" collapsed="false">
      <c r="A20" s="20" t="s">
        <v>399</v>
      </c>
      <c r="B20" s="8" t="s">
        <v>170</v>
      </c>
      <c r="C20" s="8" t="s">
        <v>400</v>
      </c>
      <c r="D20" s="8" t="s">
        <v>401</v>
      </c>
      <c r="E20" s="8" t="s">
        <v>402</v>
      </c>
      <c r="F20" s="8" t="s">
        <v>113</v>
      </c>
      <c r="G20" s="22" t="s">
        <v>9</v>
      </c>
      <c r="H20" s="7" t="s">
        <v>106</v>
      </c>
      <c r="I20" s="8" t="s">
        <v>107</v>
      </c>
    </row>
    <row r="21" customFormat="false" ht="15" hidden="false" customHeight="false" outlineLevel="0" collapsed="false">
      <c r="A21" s="20" t="s">
        <v>403</v>
      </c>
      <c r="B21" s="8" t="s">
        <v>404</v>
      </c>
      <c r="C21" s="8" t="s">
        <v>405</v>
      </c>
      <c r="D21" s="8" t="s">
        <v>406</v>
      </c>
      <c r="E21" s="8" t="s">
        <v>407</v>
      </c>
      <c r="F21" s="8" t="s">
        <v>113</v>
      </c>
      <c r="G21" s="22" t="s">
        <v>9</v>
      </c>
      <c r="H21" s="7" t="s">
        <v>106</v>
      </c>
      <c r="I21" s="8" t="s">
        <v>370</v>
      </c>
    </row>
    <row r="22" customFormat="false" ht="23.85" hidden="false" customHeight="false" outlineLevel="0" collapsed="false">
      <c r="A22" s="20" t="s">
        <v>408</v>
      </c>
      <c r="B22" s="8" t="s">
        <v>308</v>
      </c>
      <c r="C22" s="8" t="s">
        <v>409</v>
      </c>
      <c r="D22" s="8" t="s">
        <v>410</v>
      </c>
      <c r="E22" s="8" t="s">
        <v>411</v>
      </c>
      <c r="F22" s="8" t="s">
        <v>118</v>
      </c>
      <c r="G22" s="22" t="s">
        <v>9</v>
      </c>
      <c r="H22" s="7" t="s">
        <v>412</v>
      </c>
      <c r="I22" s="8" t="s">
        <v>398</v>
      </c>
    </row>
    <row r="23" customFormat="false" ht="23.85" hidden="false" customHeight="false" outlineLevel="0" collapsed="false">
      <c r="A23" s="20" t="s">
        <v>413</v>
      </c>
      <c r="B23" s="8" t="s">
        <v>414</v>
      </c>
      <c r="C23" s="8" t="s">
        <v>415</v>
      </c>
      <c r="D23" s="8" t="s">
        <v>416</v>
      </c>
      <c r="E23" s="8" t="s">
        <v>417</v>
      </c>
      <c r="F23" s="8" t="s">
        <v>418</v>
      </c>
      <c r="G23" s="23" t="s">
        <v>10</v>
      </c>
      <c r="H23" s="7" t="s">
        <v>419</v>
      </c>
      <c r="I23" s="8" t="s">
        <v>370</v>
      </c>
    </row>
  </sheetData>
  <autoFilter ref="A3:I23"/>
  <mergeCells count="1">
    <mergeCell ref="A1:I1"/>
  </mergeCells>
  <dataValidations count="1">
    <dataValidation allowBlank="false" errorStyle="stop" operator="between" showDropDown="false" showErrorMessage="false" showInputMessage="false" sqref="G4:G23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420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421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23.85" hidden="false" customHeight="false" outlineLevel="0" collapsed="false">
      <c r="A4" s="20" t="s">
        <v>422</v>
      </c>
      <c r="B4" s="8" t="s">
        <v>423</v>
      </c>
      <c r="C4" s="8" t="s">
        <v>424</v>
      </c>
      <c r="D4" s="8" t="s">
        <v>425</v>
      </c>
      <c r="E4" s="8" t="s">
        <v>426</v>
      </c>
      <c r="F4" s="8" t="s">
        <v>118</v>
      </c>
      <c r="G4" s="21" t="s">
        <v>8</v>
      </c>
      <c r="H4" s="7" t="s">
        <v>106</v>
      </c>
      <c r="I4" s="8" t="s">
        <v>107</v>
      </c>
    </row>
    <row r="5" customFormat="false" ht="15" hidden="false" customHeight="false" outlineLevel="0" collapsed="false">
      <c r="A5" s="20" t="s">
        <v>427</v>
      </c>
      <c r="B5" s="8" t="s">
        <v>423</v>
      </c>
      <c r="C5" s="8" t="s">
        <v>428</v>
      </c>
      <c r="D5" s="8" t="s">
        <v>429</v>
      </c>
      <c r="E5" s="8" t="s">
        <v>430</v>
      </c>
      <c r="F5" s="8" t="s">
        <v>113</v>
      </c>
      <c r="G5" s="22" t="s">
        <v>9</v>
      </c>
      <c r="H5" s="7" t="s">
        <v>106</v>
      </c>
      <c r="I5" s="8" t="s">
        <v>370</v>
      </c>
    </row>
    <row r="6" customFormat="false" ht="23.85" hidden="false" customHeight="false" outlineLevel="0" collapsed="false">
      <c r="A6" s="20" t="s">
        <v>431</v>
      </c>
      <c r="B6" s="8" t="s">
        <v>423</v>
      </c>
      <c r="C6" s="8" t="s">
        <v>432</v>
      </c>
      <c r="D6" s="8" t="s">
        <v>433</v>
      </c>
      <c r="E6" s="8" t="s">
        <v>434</v>
      </c>
      <c r="F6" s="8" t="s">
        <v>435</v>
      </c>
      <c r="G6" s="22" t="s">
        <v>9</v>
      </c>
      <c r="H6" s="7" t="s">
        <v>106</v>
      </c>
      <c r="I6" s="8" t="s">
        <v>370</v>
      </c>
    </row>
    <row r="7" customFormat="false" ht="15" hidden="false" customHeight="false" outlineLevel="0" collapsed="false">
      <c r="A7" s="20" t="s">
        <v>436</v>
      </c>
      <c r="B7" s="8" t="s">
        <v>437</v>
      </c>
      <c r="C7" s="8" t="s">
        <v>438</v>
      </c>
      <c r="D7" s="8" t="s">
        <v>439</v>
      </c>
      <c r="E7" s="8" t="s">
        <v>440</v>
      </c>
      <c r="F7" s="8" t="s">
        <v>118</v>
      </c>
      <c r="G7" s="21" t="s">
        <v>8</v>
      </c>
      <c r="H7" s="7" t="s">
        <v>106</v>
      </c>
      <c r="I7" s="8" t="s">
        <v>107</v>
      </c>
    </row>
    <row r="8" customFormat="false" ht="23.85" hidden="false" customHeight="false" outlineLevel="0" collapsed="false">
      <c r="A8" s="20" t="s">
        <v>441</v>
      </c>
      <c r="B8" s="8" t="s">
        <v>437</v>
      </c>
      <c r="C8" s="8" t="s">
        <v>442</v>
      </c>
      <c r="D8" s="8" t="s">
        <v>443</v>
      </c>
      <c r="E8" s="8" t="s">
        <v>444</v>
      </c>
      <c r="F8" s="8" t="s">
        <v>118</v>
      </c>
      <c r="G8" s="21" t="s">
        <v>8</v>
      </c>
      <c r="H8" s="7" t="s">
        <v>106</v>
      </c>
      <c r="I8" s="8" t="s">
        <v>154</v>
      </c>
    </row>
    <row r="9" customFormat="false" ht="15" hidden="false" customHeight="false" outlineLevel="0" collapsed="false">
      <c r="A9" s="20" t="s">
        <v>445</v>
      </c>
      <c r="B9" s="8" t="s">
        <v>437</v>
      </c>
      <c r="C9" s="8" t="s">
        <v>446</v>
      </c>
      <c r="D9" s="8" t="s">
        <v>447</v>
      </c>
      <c r="E9" s="8" t="s">
        <v>448</v>
      </c>
      <c r="F9" s="8" t="s">
        <v>449</v>
      </c>
      <c r="G9" s="21" t="s">
        <v>8</v>
      </c>
      <c r="H9" s="7" t="s">
        <v>106</v>
      </c>
      <c r="I9" s="8" t="s">
        <v>370</v>
      </c>
    </row>
    <row r="10" customFormat="false" ht="15" hidden="false" customHeight="false" outlineLevel="0" collapsed="false">
      <c r="A10" s="20" t="s">
        <v>450</v>
      </c>
      <c r="B10" s="8" t="s">
        <v>437</v>
      </c>
      <c r="C10" s="8" t="s">
        <v>451</v>
      </c>
      <c r="D10" s="8" t="s">
        <v>452</v>
      </c>
      <c r="E10" s="8" t="s">
        <v>453</v>
      </c>
      <c r="F10" s="8" t="s">
        <v>454</v>
      </c>
      <c r="G10" s="22" t="s">
        <v>9</v>
      </c>
      <c r="H10" s="7" t="s">
        <v>106</v>
      </c>
      <c r="I10" s="8" t="s">
        <v>370</v>
      </c>
    </row>
    <row r="11" customFormat="false" ht="15" hidden="false" customHeight="false" outlineLevel="0" collapsed="false">
      <c r="A11" s="20" t="s">
        <v>455</v>
      </c>
      <c r="B11" s="8" t="s">
        <v>456</v>
      </c>
      <c r="C11" s="8" t="s">
        <v>457</v>
      </c>
      <c r="D11" s="8" t="s">
        <v>458</v>
      </c>
      <c r="E11" s="8" t="s">
        <v>459</v>
      </c>
      <c r="F11" s="8" t="s">
        <v>113</v>
      </c>
      <c r="G11" s="22" t="s">
        <v>9</v>
      </c>
      <c r="H11" s="7" t="s">
        <v>106</v>
      </c>
      <c r="I11" s="8" t="s">
        <v>370</v>
      </c>
    </row>
    <row r="12" customFormat="false" ht="15" hidden="false" customHeight="false" outlineLevel="0" collapsed="false">
      <c r="A12" s="20" t="s">
        <v>460</v>
      </c>
      <c r="B12" s="8" t="s">
        <v>456</v>
      </c>
      <c r="C12" s="8" t="s">
        <v>461</v>
      </c>
      <c r="D12" s="8" t="s">
        <v>462</v>
      </c>
      <c r="E12" s="8" t="s">
        <v>463</v>
      </c>
      <c r="F12" s="8" t="s">
        <v>113</v>
      </c>
      <c r="G12" s="22" t="s">
        <v>9</v>
      </c>
      <c r="H12" s="7" t="s">
        <v>106</v>
      </c>
      <c r="I12" s="8" t="s">
        <v>370</v>
      </c>
    </row>
    <row r="13" customFormat="false" ht="23.85" hidden="false" customHeight="false" outlineLevel="0" collapsed="false">
      <c r="A13" s="20" t="s">
        <v>464</v>
      </c>
      <c r="B13" s="8" t="s">
        <v>465</v>
      </c>
      <c r="C13" s="8" t="s">
        <v>466</v>
      </c>
      <c r="D13" s="8" t="s">
        <v>467</v>
      </c>
      <c r="E13" s="8" t="s">
        <v>468</v>
      </c>
      <c r="F13" s="8" t="s">
        <v>113</v>
      </c>
      <c r="G13" s="22" t="s">
        <v>9</v>
      </c>
      <c r="H13" s="7" t="s">
        <v>106</v>
      </c>
      <c r="I13" s="8" t="s">
        <v>370</v>
      </c>
    </row>
    <row r="14" customFormat="false" ht="15" hidden="false" customHeight="false" outlineLevel="0" collapsed="false">
      <c r="A14" s="20" t="s">
        <v>469</v>
      </c>
      <c r="B14" s="8" t="s">
        <v>465</v>
      </c>
      <c r="C14" s="8" t="s">
        <v>470</v>
      </c>
      <c r="D14" s="8" t="s">
        <v>471</v>
      </c>
      <c r="E14" s="8" t="s">
        <v>472</v>
      </c>
      <c r="F14" s="8" t="s">
        <v>113</v>
      </c>
      <c r="G14" s="22" t="s">
        <v>9</v>
      </c>
      <c r="H14" s="7" t="s">
        <v>106</v>
      </c>
      <c r="I14" s="8" t="s">
        <v>107</v>
      </c>
    </row>
    <row r="15" customFormat="false" ht="15" hidden="false" customHeight="false" outlineLevel="0" collapsed="false">
      <c r="A15" s="20" t="s">
        <v>473</v>
      </c>
      <c r="B15" s="8" t="s">
        <v>474</v>
      </c>
      <c r="C15" s="8" t="s">
        <v>475</v>
      </c>
      <c r="D15" s="8" t="s">
        <v>476</v>
      </c>
      <c r="E15" s="8" t="s">
        <v>477</v>
      </c>
      <c r="F15" s="8" t="s">
        <v>118</v>
      </c>
      <c r="G15" s="21" t="s">
        <v>8</v>
      </c>
      <c r="H15" s="7" t="s">
        <v>106</v>
      </c>
      <c r="I15" s="8" t="s">
        <v>154</v>
      </c>
    </row>
    <row r="16" customFormat="false" ht="15" hidden="false" customHeight="false" outlineLevel="0" collapsed="false">
      <c r="A16" s="20" t="s">
        <v>478</v>
      </c>
      <c r="B16" s="8" t="s">
        <v>188</v>
      </c>
      <c r="C16" s="8" t="s">
        <v>479</v>
      </c>
      <c r="D16" s="8" t="s">
        <v>480</v>
      </c>
      <c r="E16" s="8" t="s">
        <v>481</v>
      </c>
      <c r="F16" s="8" t="s">
        <v>185</v>
      </c>
      <c r="G16" s="23" t="s">
        <v>10</v>
      </c>
      <c r="H16" s="7" t="s">
        <v>106</v>
      </c>
      <c r="I16" s="8" t="s">
        <v>370</v>
      </c>
    </row>
  </sheetData>
  <autoFilter ref="A3:I16"/>
  <mergeCells count="1">
    <mergeCell ref="A1:I1"/>
  </mergeCells>
  <dataValidations count="1">
    <dataValidation allowBlank="false" errorStyle="stop" operator="between" showDropDown="false" showErrorMessage="false" showInputMessage="false" sqref="G4:G16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482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483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23.85" hidden="false" customHeight="false" outlineLevel="0" collapsed="false">
      <c r="A4" s="20" t="s">
        <v>484</v>
      </c>
      <c r="B4" s="8" t="s">
        <v>485</v>
      </c>
      <c r="C4" s="8" t="s">
        <v>486</v>
      </c>
      <c r="D4" s="8" t="s">
        <v>487</v>
      </c>
      <c r="E4" s="8" t="s">
        <v>488</v>
      </c>
      <c r="F4" s="8" t="s">
        <v>135</v>
      </c>
      <c r="G4" s="21" t="s">
        <v>8</v>
      </c>
      <c r="H4" s="7" t="s">
        <v>106</v>
      </c>
      <c r="I4" s="8" t="s">
        <v>207</v>
      </c>
    </row>
    <row r="5" customFormat="false" ht="15" hidden="false" customHeight="false" outlineLevel="0" collapsed="false">
      <c r="A5" s="20" t="s">
        <v>489</v>
      </c>
      <c r="B5" s="8" t="s">
        <v>485</v>
      </c>
      <c r="C5" s="8" t="s">
        <v>490</v>
      </c>
      <c r="D5" s="8" t="s">
        <v>491</v>
      </c>
      <c r="E5" s="8" t="s">
        <v>492</v>
      </c>
      <c r="F5" s="8" t="s">
        <v>113</v>
      </c>
      <c r="G5" s="21" t="s">
        <v>8</v>
      </c>
      <c r="H5" s="7" t="s">
        <v>106</v>
      </c>
      <c r="I5" s="8" t="s">
        <v>124</v>
      </c>
    </row>
    <row r="6" customFormat="false" ht="15" hidden="false" customHeight="false" outlineLevel="0" collapsed="false">
      <c r="A6" s="20" t="s">
        <v>493</v>
      </c>
      <c r="B6" s="8" t="s">
        <v>485</v>
      </c>
      <c r="C6" s="8" t="s">
        <v>494</v>
      </c>
      <c r="D6" s="8" t="s">
        <v>495</v>
      </c>
      <c r="E6" s="8" t="s">
        <v>496</v>
      </c>
      <c r="F6" s="8" t="s">
        <v>105</v>
      </c>
      <c r="G6" s="21" t="s">
        <v>8</v>
      </c>
      <c r="H6" s="7" t="s">
        <v>106</v>
      </c>
      <c r="I6" s="8" t="s">
        <v>107</v>
      </c>
    </row>
    <row r="7" customFormat="false" ht="23.85" hidden="false" customHeight="false" outlineLevel="0" collapsed="false">
      <c r="A7" s="20" t="s">
        <v>497</v>
      </c>
      <c r="B7" s="8" t="s">
        <v>498</v>
      </c>
      <c r="C7" s="8" t="s">
        <v>499</v>
      </c>
      <c r="D7" s="8" t="s">
        <v>500</v>
      </c>
      <c r="E7" s="8" t="s">
        <v>501</v>
      </c>
      <c r="F7" s="8" t="s">
        <v>502</v>
      </c>
      <c r="G7" s="21" t="s">
        <v>8</v>
      </c>
      <c r="H7" s="7" t="s">
        <v>503</v>
      </c>
      <c r="I7" s="8" t="s">
        <v>100</v>
      </c>
    </row>
    <row r="8" customFormat="false" ht="15" hidden="false" customHeight="false" outlineLevel="0" collapsed="false">
      <c r="A8" s="20" t="s">
        <v>504</v>
      </c>
      <c r="B8" s="8" t="s">
        <v>498</v>
      </c>
      <c r="C8" s="8" t="s">
        <v>505</v>
      </c>
      <c r="D8" s="8" t="s">
        <v>506</v>
      </c>
      <c r="E8" s="8" t="s">
        <v>507</v>
      </c>
      <c r="F8" s="8" t="s">
        <v>113</v>
      </c>
      <c r="G8" s="22" t="s">
        <v>9</v>
      </c>
      <c r="H8" s="7" t="s">
        <v>106</v>
      </c>
      <c r="I8" s="8" t="s">
        <v>107</v>
      </c>
    </row>
    <row r="9" customFormat="false" ht="15" hidden="false" customHeight="false" outlineLevel="0" collapsed="false">
      <c r="A9" s="20" t="s">
        <v>508</v>
      </c>
      <c r="B9" s="8" t="s">
        <v>509</v>
      </c>
      <c r="C9" s="8" t="s">
        <v>510</v>
      </c>
      <c r="D9" s="8" t="s">
        <v>511</v>
      </c>
      <c r="E9" s="8" t="s">
        <v>512</v>
      </c>
      <c r="F9" s="8" t="s">
        <v>130</v>
      </c>
      <c r="G9" s="21" t="s">
        <v>8</v>
      </c>
      <c r="H9" s="7" t="s">
        <v>106</v>
      </c>
      <c r="I9" s="8" t="s">
        <v>124</v>
      </c>
    </row>
    <row r="10" customFormat="false" ht="15" hidden="false" customHeight="false" outlineLevel="0" collapsed="false">
      <c r="A10" s="20" t="s">
        <v>513</v>
      </c>
      <c r="B10" s="8" t="s">
        <v>509</v>
      </c>
      <c r="C10" s="8" t="s">
        <v>514</v>
      </c>
      <c r="D10" s="8" t="s">
        <v>515</v>
      </c>
      <c r="E10" s="8" t="s">
        <v>516</v>
      </c>
      <c r="F10" s="8" t="s">
        <v>113</v>
      </c>
      <c r="G10" s="21" t="s">
        <v>8</v>
      </c>
      <c r="H10" s="7" t="s">
        <v>517</v>
      </c>
      <c r="I10" s="8" t="s">
        <v>100</v>
      </c>
    </row>
    <row r="11" customFormat="false" ht="15" hidden="false" customHeight="false" outlineLevel="0" collapsed="false">
      <c r="A11" s="20" t="s">
        <v>518</v>
      </c>
      <c r="B11" s="8" t="s">
        <v>509</v>
      </c>
      <c r="C11" s="8" t="s">
        <v>519</v>
      </c>
      <c r="D11" s="8" t="s">
        <v>520</v>
      </c>
      <c r="E11" s="8" t="s">
        <v>521</v>
      </c>
      <c r="F11" s="8" t="s">
        <v>113</v>
      </c>
      <c r="G11" s="22" t="s">
        <v>9</v>
      </c>
      <c r="H11" s="7" t="s">
        <v>106</v>
      </c>
      <c r="I11" s="8" t="s">
        <v>124</v>
      </c>
    </row>
    <row r="12" customFormat="false" ht="15" hidden="false" customHeight="false" outlineLevel="0" collapsed="false">
      <c r="A12" s="20" t="s">
        <v>522</v>
      </c>
      <c r="B12" s="8" t="s">
        <v>156</v>
      </c>
      <c r="C12" s="8" t="s">
        <v>523</v>
      </c>
      <c r="D12" s="8" t="s">
        <v>524</v>
      </c>
      <c r="E12" s="8" t="s">
        <v>525</v>
      </c>
      <c r="F12" s="8" t="s">
        <v>130</v>
      </c>
      <c r="G12" s="22" t="s">
        <v>9</v>
      </c>
      <c r="H12" s="7" t="s">
        <v>526</v>
      </c>
      <c r="I12" s="8" t="s">
        <v>226</v>
      </c>
    </row>
    <row r="13" customFormat="false" ht="15" hidden="false" customHeight="false" outlineLevel="0" collapsed="false">
      <c r="A13" s="20" t="s">
        <v>527</v>
      </c>
      <c r="B13" s="8" t="s">
        <v>156</v>
      </c>
      <c r="C13" s="8" t="s">
        <v>528</v>
      </c>
      <c r="D13" s="8" t="s">
        <v>529</v>
      </c>
      <c r="E13" s="8" t="s">
        <v>530</v>
      </c>
      <c r="F13" s="8" t="s">
        <v>113</v>
      </c>
      <c r="G13" s="22" t="s">
        <v>9</v>
      </c>
      <c r="H13" s="7" t="s">
        <v>106</v>
      </c>
      <c r="I13" s="8" t="s">
        <v>124</v>
      </c>
    </row>
    <row r="14" customFormat="false" ht="15" hidden="false" customHeight="false" outlineLevel="0" collapsed="false">
      <c r="A14" s="20" t="s">
        <v>531</v>
      </c>
      <c r="B14" s="8" t="s">
        <v>156</v>
      </c>
      <c r="C14" s="8" t="s">
        <v>532</v>
      </c>
      <c r="D14" s="8" t="s">
        <v>533</v>
      </c>
      <c r="E14" s="8" t="s">
        <v>534</v>
      </c>
      <c r="F14" s="8" t="s">
        <v>130</v>
      </c>
      <c r="G14" s="22" t="s">
        <v>9</v>
      </c>
      <c r="H14" s="7" t="s">
        <v>535</v>
      </c>
      <c r="I14" s="8" t="s">
        <v>263</v>
      </c>
    </row>
    <row r="15" customFormat="false" ht="15" hidden="false" customHeight="false" outlineLevel="0" collapsed="false">
      <c r="A15" s="20" t="s">
        <v>536</v>
      </c>
      <c r="B15" s="8" t="s">
        <v>156</v>
      </c>
      <c r="C15" s="8" t="s">
        <v>537</v>
      </c>
      <c r="D15" s="8" t="s">
        <v>538</v>
      </c>
      <c r="E15" s="8" t="s">
        <v>539</v>
      </c>
      <c r="F15" s="8" t="s">
        <v>130</v>
      </c>
      <c r="G15" s="22" t="s">
        <v>9</v>
      </c>
      <c r="H15" s="7" t="s">
        <v>106</v>
      </c>
      <c r="I15" s="8" t="s">
        <v>124</v>
      </c>
    </row>
    <row r="16" customFormat="false" ht="15" hidden="false" customHeight="false" outlineLevel="0" collapsed="false">
      <c r="A16" s="20" t="s">
        <v>540</v>
      </c>
      <c r="B16" s="8" t="s">
        <v>156</v>
      </c>
      <c r="C16" s="8" t="s">
        <v>541</v>
      </c>
      <c r="D16" s="8" t="s">
        <v>542</v>
      </c>
      <c r="E16" s="8" t="s">
        <v>543</v>
      </c>
      <c r="F16" s="8" t="s">
        <v>113</v>
      </c>
      <c r="G16" s="22" t="s">
        <v>9</v>
      </c>
      <c r="H16" s="7" t="s">
        <v>106</v>
      </c>
      <c r="I16" s="8" t="s">
        <v>370</v>
      </c>
    </row>
    <row r="17" customFormat="false" ht="15" hidden="false" customHeight="false" outlineLevel="0" collapsed="false">
      <c r="A17" s="20" t="s">
        <v>544</v>
      </c>
      <c r="B17" s="8" t="s">
        <v>170</v>
      </c>
      <c r="C17" s="8" t="s">
        <v>545</v>
      </c>
      <c r="D17" s="8" t="s">
        <v>546</v>
      </c>
      <c r="E17" s="8" t="s">
        <v>547</v>
      </c>
      <c r="F17" s="8" t="s">
        <v>113</v>
      </c>
      <c r="G17" s="22" t="s">
        <v>9</v>
      </c>
      <c r="H17" s="7" t="s">
        <v>106</v>
      </c>
      <c r="I17" s="8" t="s">
        <v>124</v>
      </c>
    </row>
  </sheetData>
  <autoFilter ref="A3:I17"/>
  <mergeCells count="1">
    <mergeCell ref="A1:I1"/>
  </mergeCells>
  <dataValidations count="1">
    <dataValidation allowBlank="false" errorStyle="stop" operator="between" showDropDown="false" showErrorMessage="false" showInputMessage="false" sqref="G4:G17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548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549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15" hidden="false" customHeight="false" outlineLevel="0" collapsed="false">
      <c r="A4" s="20" t="s">
        <v>550</v>
      </c>
      <c r="B4" s="8" t="s">
        <v>551</v>
      </c>
      <c r="C4" s="8" t="s">
        <v>552</v>
      </c>
      <c r="D4" s="8" t="s">
        <v>553</v>
      </c>
      <c r="E4" s="8" t="s">
        <v>554</v>
      </c>
      <c r="F4" s="8" t="s">
        <v>555</v>
      </c>
      <c r="G4" s="21" t="s">
        <v>8</v>
      </c>
      <c r="H4" s="7" t="s">
        <v>106</v>
      </c>
      <c r="I4" s="8" t="s">
        <v>370</v>
      </c>
    </row>
    <row r="5" customFormat="false" ht="15" hidden="false" customHeight="false" outlineLevel="0" collapsed="false">
      <c r="A5" s="20" t="s">
        <v>556</v>
      </c>
      <c r="B5" s="8" t="s">
        <v>551</v>
      </c>
      <c r="C5" s="8" t="s">
        <v>557</v>
      </c>
      <c r="D5" s="8" t="s">
        <v>558</v>
      </c>
      <c r="E5" s="8" t="s">
        <v>559</v>
      </c>
      <c r="F5" s="8" t="s">
        <v>560</v>
      </c>
      <c r="G5" s="21" t="s">
        <v>8</v>
      </c>
      <c r="H5" s="7" t="s">
        <v>106</v>
      </c>
      <c r="I5" s="8" t="s">
        <v>370</v>
      </c>
    </row>
    <row r="6" customFormat="false" ht="15" hidden="false" customHeight="false" outlineLevel="0" collapsed="false">
      <c r="A6" s="20" t="s">
        <v>561</v>
      </c>
      <c r="B6" s="8" t="s">
        <v>437</v>
      </c>
      <c r="C6" s="8" t="s">
        <v>562</v>
      </c>
      <c r="D6" s="8" t="s">
        <v>563</v>
      </c>
      <c r="E6" s="8" t="s">
        <v>564</v>
      </c>
      <c r="F6" s="8" t="s">
        <v>565</v>
      </c>
      <c r="G6" s="21" t="s">
        <v>8</v>
      </c>
      <c r="H6" s="7" t="s">
        <v>566</v>
      </c>
      <c r="I6" s="8" t="s">
        <v>370</v>
      </c>
    </row>
    <row r="7" customFormat="false" ht="23.85" hidden="false" customHeight="false" outlineLevel="0" collapsed="false">
      <c r="A7" s="20" t="s">
        <v>567</v>
      </c>
      <c r="B7" s="8" t="s">
        <v>437</v>
      </c>
      <c r="C7" s="8" t="s">
        <v>568</v>
      </c>
      <c r="D7" s="8" t="s">
        <v>569</v>
      </c>
      <c r="E7" s="8" t="s">
        <v>570</v>
      </c>
      <c r="F7" s="8" t="s">
        <v>118</v>
      </c>
      <c r="G7" s="21" t="s">
        <v>8</v>
      </c>
      <c r="H7" s="7" t="s">
        <v>106</v>
      </c>
      <c r="I7" s="8" t="s">
        <v>370</v>
      </c>
    </row>
    <row r="8" customFormat="false" ht="35.05" hidden="false" customHeight="false" outlineLevel="0" collapsed="false">
      <c r="A8" s="20" t="s">
        <v>571</v>
      </c>
      <c r="B8" s="8" t="s">
        <v>572</v>
      </c>
      <c r="C8" s="8" t="s">
        <v>573</v>
      </c>
      <c r="D8" s="8" t="s">
        <v>574</v>
      </c>
      <c r="E8" s="8" t="s">
        <v>575</v>
      </c>
      <c r="F8" s="8" t="s">
        <v>576</v>
      </c>
      <c r="G8" s="21" t="s">
        <v>8</v>
      </c>
      <c r="H8" s="7" t="s">
        <v>106</v>
      </c>
      <c r="I8" s="8" t="s">
        <v>370</v>
      </c>
    </row>
    <row r="9" customFormat="false" ht="15" hidden="false" customHeight="false" outlineLevel="0" collapsed="false">
      <c r="A9" s="20" t="s">
        <v>577</v>
      </c>
      <c r="B9" s="8" t="s">
        <v>572</v>
      </c>
      <c r="C9" s="8" t="s">
        <v>578</v>
      </c>
      <c r="D9" s="8" t="s">
        <v>579</v>
      </c>
      <c r="E9" s="8" t="s">
        <v>580</v>
      </c>
      <c r="F9" s="8" t="s">
        <v>113</v>
      </c>
      <c r="G9" s="22" t="s">
        <v>9</v>
      </c>
      <c r="H9" s="7" t="s">
        <v>106</v>
      </c>
      <c r="I9" s="8" t="s">
        <v>370</v>
      </c>
    </row>
    <row r="10" customFormat="false" ht="15" hidden="false" customHeight="false" outlineLevel="0" collapsed="false">
      <c r="A10" s="20" t="s">
        <v>581</v>
      </c>
      <c r="B10" s="8" t="s">
        <v>572</v>
      </c>
      <c r="C10" s="8" t="s">
        <v>582</v>
      </c>
      <c r="D10" s="8" t="s">
        <v>583</v>
      </c>
      <c r="E10" s="8" t="s">
        <v>584</v>
      </c>
      <c r="F10" s="8" t="s">
        <v>113</v>
      </c>
      <c r="G10" s="22" t="s">
        <v>9</v>
      </c>
      <c r="H10" s="7" t="s">
        <v>106</v>
      </c>
      <c r="I10" s="8" t="s">
        <v>370</v>
      </c>
    </row>
    <row r="11" customFormat="false" ht="15" hidden="false" customHeight="false" outlineLevel="0" collapsed="false">
      <c r="A11" s="20" t="s">
        <v>585</v>
      </c>
      <c r="B11" s="8" t="s">
        <v>465</v>
      </c>
      <c r="C11" s="8" t="s">
        <v>586</v>
      </c>
      <c r="D11" s="8" t="s">
        <v>587</v>
      </c>
      <c r="E11" s="8" t="s">
        <v>588</v>
      </c>
      <c r="F11" s="8" t="s">
        <v>113</v>
      </c>
      <c r="G11" s="22" t="s">
        <v>9</v>
      </c>
      <c r="H11" s="7" t="s">
        <v>106</v>
      </c>
      <c r="I11" s="8" t="s">
        <v>370</v>
      </c>
    </row>
    <row r="12" customFormat="false" ht="15" hidden="false" customHeight="false" outlineLevel="0" collapsed="false">
      <c r="A12" s="20" t="s">
        <v>589</v>
      </c>
      <c r="B12" s="8" t="s">
        <v>465</v>
      </c>
      <c r="C12" s="8" t="s">
        <v>590</v>
      </c>
      <c r="D12" s="8" t="s">
        <v>591</v>
      </c>
      <c r="E12" s="8" t="s">
        <v>592</v>
      </c>
      <c r="F12" s="8" t="s">
        <v>113</v>
      </c>
      <c r="G12" s="22" t="s">
        <v>9</v>
      </c>
      <c r="H12" s="7" t="s">
        <v>106</v>
      </c>
      <c r="I12" s="8" t="s">
        <v>370</v>
      </c>
    </row>
    <row r="13" customFormat="false" ht="15" hidden="false" customHeight="false" outlineLevel="0" collapsed="false">
      <c r="A13" s="20" t="s">
        <v>593</v>
      </c>
      <c r="B13" s="8" t="s">
        <v>594</v>
      </c>
      <c r="C13" s="8" t="s">
        <v>595</v>
      </c>
      <c r="D13" s="8" t="s">
        <v>596</v>
      </c>
      <c r="E13" s="8" t="s">
        <v>597</v>
      </c>
      <c r="F13" s="8" t="s">
        <v>598</v>
      </c>
      <c r="G13" s="22" t="s">
        <v>9</v>
      </c>
      <c r="H13" s="7" t="s">
        <v>106</v>
      </c>
      <c r="I13" s="8" t="s">
        <v>370</v>
      </c>
    </row>
    <row r="14" customFormat="false" ht="15" hidden="false" customHeight="false" outlineLevel="0" collapsed="false">
      <c r="A14" s="20" t="s">
        <v>599</v>
      </c>
      <c r="B14" s="8" t="s">
        <v>156</v>
      </c>
      <c r="C14" s="8" t="s">
        <v>600</v>
      </c>
      <c r="D14" s="8" t="s">
        <v>601</v>
      </c>
      <c r="E14" s="8" t="s">
        <v>602</v>
      </c>
      <c r="F14" s="8" t="s">
        <v>603</v>
      </c>
      <c r="G14" s="21" t="s">
        <v>8</v>
      </c>
      <c r="H14" s="7" t="s">
        <v>106</v>
      </c>
      <c r="I14" s="8" t="s">
        <v>370</v>
      </c>
    </row>
    <row r="15" customFormat="false" ht="15" hidden="false" customHeight="false" outlineLevel="0" collapsed="false">
      <c r="A15" s="20" t="s">
        <v>604</v>
      </c>
      <c r="B15" s="8" t="s">
        <v>156</v>
      </c>
      <c r="C15" s="8" t="s">
        <v>605</v>
      </c>
      <c r="D15" s="8" t="s">
        <v>606</v>
      </c>
      <c r="E15" s="8" t="s">
        <v>607</v>
      </c>
      <c r="F15" s="8" t="s">
        <v>118</v>
      </c>
      <c r="G15" s="22" t="s">
        <v>9</v>
      </c>
      <c r="H15" s="7" t="s">
        <v>106</v>
      </c>
      <c r="I15" s="8" t="s">
        <v>370</v>
      </c>
    </row>
    <row r="16" customFormat="false" ht="15" hidden="false" customHeight="false" outlineLevel="0" collapsed="false">
      <c r="A16" s="20" t="s">
        <v>608</v>
      </c>
      <c r="B16" s="8" t="s">
        <v>156</v>
      </c>
      <c r="C16" s="8" t="s">
        <v>609</v>
      </c>
      <c r="D16" s="8" t="s">
        <v>610</v>
      </c>
      <c r="E16" s="8" t="s">
        <v>611</v>
      </c>
      <c r="F16" s="8" t="s">
        <v>612</v>
      </c>
      <c r="G16" s="23" t="s">
        <v>10</v>
      </c>
      <c r="H16" s="7" t="s">
        <v>106</v>
      </c>
      <c r="I16" s="8" t="s">
        <v>370</v>
      </c>
    </row>
    <row r="17" customFormat="false" ht="23.85" hidden="false" customHeight="false" outlineLevel="0" collapsed="false">
      <c r="A17" s="20" t="s">
        <v>613</v>
      </c>
      <c r="B17" s="8" t="s">
        <v>614</v>
      </c>
      <c r="C17" s="8" t="s">
        <v>615</v>
      </c>
      <c r="D17" s="8" t="s">
        <v>616</v>
      </c>
      <c r="E17" s="8" t="s">
        <v>617</v>
      </c>
      <c r="F17" s="8" t="s">
        <v>618</v>
      </c>
      <c r="G17" s="23" t="s">
        <v>10</v>
      </c>
      <c r="H17" s="7" t="s">
        <v>106</v>
      </c>
      <c r="I17" s="8" t="s">
        <v>370</v>
      </c>
    </row>
  </sheetData>
  <autoFilter ref="A3:I17"/>
  <mergeCells count="1">
    <mergeCell ref="A1:I1"/>
  </mergeCells>
  <dataValidations count="1">
    <dataValidation allowBlank="false" errorStyle="stop" operator="between" showDropDown="false" showErrorMessage="false" showInputMessage="false" sqref="G4:G17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619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620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23.85" hidden="false" customHeight="false" outlineLevel="0" collapsed="false">
      <c r="A4" s="20" t="s">
        <v>621</v>
      </c>
      <c r="B4" s="8" t="s">
        <v>316</v>
      </c>
      <c r="C4" s="8" t="s">
        <v>622</v>
      </c>
      <c r="D4" s="8" t="s">
        <v>623</v>
      </c>
      <c r="E4" s="8" t="s">
        <v>624</v>
      </c>
      <c r="F4" s="8" t="s">
        <v>625</v>
      </c>
      <c r="G4" s="21" t="s">
        <v>8</v>
      </c>
      <c r="H4" s="7" t="s">
        <v>626</v>
      </c>
      <c r="I4" s="8" t="s">
        <v>201</v>
      </c>
    </row>
    <row r="5" customFormat="false" ht="23.85" hidden="false" customHeight="false" outlineLevel="0" collapsed="false">
      <c r="A5" s="20" t="s">
        <v>627</v>
      </c>
      <c r="B5" s="8" t="s">
        <v>316</v>
      </c>
      <c r="C5" s="8" t="s">
        <v>628</v>
      </c>
      <c r="D5" s="8" t="s">
        <v>629</v>
      </c>
      <c r="E5" s="8" t="s">
        <v>630</v>
      </c>
      <c r="F5" s="8" t="s">
        <v>631</v>
      </c>
      <c r="G5" s="21" t="s">
        <v>8</v>
      </c>
      <c r="H5" s="7" t="s">
        <v>106</v>
      </c>
      <c r="I5" s="8" t="s">
        <v>124</v>
      </c>
    </row>
    <row r="6" customFormat="false" ht="15" hidden="false" customHeight="false" outlineLevel="0" collapsed="false">
      <c r="A6" s="20" t="s">
        <v>632</v>
      </c>
      <c r="B6" s="8" t="s">
        <v>316</v>
      </c>
      <c r="C6" s="8" t="s">
        <v>633</v>
      </c>
      <c r="D6" s="8" t="s">
        <v>634</v>
      </c>
      <c r="E6" s="8" t="s">
        <v>635</v>
      </c>
      <c r="F6" s="8" t="s">
        <v>625</v>
      </c>
      <c r="G6" s="22" t="s">
        <v>9</v>
      </c>
      <c r="H6" s="7" t="s">
        <v>106</v>
      </c>
      <c r="I6" s="8" t="s">
        <v>207</v>
      </c>
    </row>
    <row r="7" customFormat="false" ht="23.85" hidden="false" customHeight="false" outlineLevel="0" collapsed="false">
      <c r="A7" s="20" t="s">
        <v>636</v>
      </c>
      <c r="B7" s="8" t="s">
        <v>485</v>
      </c>
      <c r="C7" s="8" t="s">
        <v>637</v>
      </c>
      <c r="D7" s="8" t="s">
        <v>638</v>
      </c>
      <c r="E7" s="8" t="s">
        <v>639</v>
      </c>
      <c r="F7" s="8" t="s">
        <v>640</v>
      </c>
      <c r="G7" s="21" t="s">
        <v>8</v>
      </c>
      <c r="H7" s="7" t="s">
        <v>106</v>
      </c>
      <c r="I7" s="8" t="s">
        <v>124</v>
      </c>
    </row>
    <row r="8" customFormat="false" ht="15" hidden="false" customHeight="false" outlineLevel="0" collapsed="false">
      <c r="A8" s="20" t="s">
        <v>641</v>
      </c>
      <c r="B8" s="8" t="s">
        <v>485</v>
      </c>
      <c r="C8" s="8" t="s">
        <v>642</v>
      </c>
      <c r="D8" s="8" t="s">
        <v>643</v>
      </c>
      <c r="E8" s="8" t="s">
        <v>644</v>
      </c>
      <c r="F8" s="8" t="s">
        <v>113</v>
      </c>
      <c r="G8" s="21" t="s">
        <v>8</v>
      </c>
      <c r="H8" s="7" t="s">
        <v>106</v>
      </c>
      <c r="I8" s="8" t="s">
        <v>124</v>
      </c>
    </row>
    <row r="9" customFormat="false" ht="15" hidden="false" customHeight="false" outlineLevel="0" collapsed="false">
      <c r="A9" s="20" t="s">
        <v>645</v>
      </c>
      <c r="B9" s="8" t="s">
        <v>485</v>
      </c>
      <c r="C9" s="8" t="s">
        <v>646</v>
      </c>
      <c r="D9" s="8" t="s">
        <v>647</v>
      </c>
      <c r="E9" s="8" t="s">
        <v>648</v>
      </c>
      <c r="F9" s="8" t="s">
        <v>113</v>
      </c>
      <c r="G9" s="22" t="s">
        <v>9</v>
      </c>
      <c r="H9" s="7" t="s">
        <v>106</v>
      </c>
      <c r="I9" s="8" t="s">
        <v>124</v>
      </c>
    </row>
    <row r="10" customFormat="false" ht="15" hidden="false" customHeight="false" outlineLevel="0" collapsed="false">
      <c r="A10" s="20" t="s">
        <v>649</v>
      </c>
      <c r="B10" s="8" t="s">
        <v>650</v>
      </c>
      <c r="C10" s="8" t="s">
        <v>651</v>
      </c>
      <c r="D10" s="8" t="s">
        <v>652</v>
      </c>
      <c r="E10" s="8" t="s">
        <v>653</v>
      </c>
      <c r="F10" s="8" t="s">
        <v>113</v>
      </c>
      <c r="G10" s="21" t="s">
        <v>8</v>
      </c>
      <c r="H10" s="7" t="s">
        <v>106</v>
      </c>
      <c r="I10" s="8" t="s">
        <v>124</v>
      </c>
    </row>
    <row r="11" customFormat="false" ht="15" hidden="false" customHeight="false" outlineLevel="0" collapsed="false">
      <c r="A11" s="20" t="s">
        <v>654</v>
      </c>
      <c r="B11" s="8" t="s">
        <v>650</v>
      </c>
      <c r="C11" s="8" t="s">
        <v>655</v>
      </c>
      <c r="D11" s="8" t="s">
        <v>656</v>
      </c>
      <c r="E11" s="8" t="s">
        <v>657</v>
      </c>
      <c r="F11" s="8" t="s">
        <v>113</v>
      </c>
      <c r="G11" s="21" t="s">
        <v>8</v>
      </c>
      <c r="H11" s="7" t="s">
        <v>106</v>
      </c>
      <c r="I11" s="8" t="s">
        <v>124</v>
      </c>
    </row>
    <row r="12" customFormat="false" ht="15" hidden="false" customHeight="false" outlineLevel="0" collapsed="false">
      <c r="A12" s="20" t="s">
        <v>658</v>
      </c>
      <c r="B12" s="8" t="s">
        <v>650</v>
      </c>
      <c r="C12" s="8" t="s">
        <v>659</v>
      </c>
      <c r="D12" s="8" t="s">
        <v>660</v>
      </c>
      <c r="E12" s="8" t="s">
        <v>661</v>
      </c>
      <c r="F12" s="8" t="s">
        <v>113</v>
      </c>
      <c r="G12" s="22" t="s">
        <v>9</v>
      </c>
      <c r="H12" s="7" t="s">
        <v>106</v>
      </c>
      <c r="I12" s="8" t="s">
        <v>124</v>
      </c>
    </row>
    <row r="13" customFormat="false" ht="15" hidden="false" customHeight="false" outlineLevel="0" collapsed="false">
      <c r="A13" s="20" t="s">
        <v>662</v>
      </c>
      <c r="B13" s="8" t="s">
        <v>156</v>
      </c>
      <c r="C13" s="8" t="s">
        <v>663</v>
      </c>
      <c r="D13" s="8" t="s">
        <v>664</v>
      </c>
      <c r="E13" s="8" t="s">
        <v>665</v>
      </c>
      <c r="F13" s="8" t="s">
        <v>130</v>
      </c>
      <c r="G13" s="22" t="s">
        <v>9</v>
      </c>
      <c r="H13" s="7" t="s">
        <v>106</v>
      </c>
      <c r="I13" s="8" t="s">
        <v>124</v>
      </c>
    </row>
    <row r="14" customFormat="false" ht="15" hidden="false" customHeight="false" outlineLevel="0" collapsed="false">
      <c r="A14" s="20" t="s">
        <v>666</v>
      </c>
      <c r="B14" s="8" t="s">
        <v>156</v>
      </c>
      <c r="C14" s="8" t="s">
        <v>667</v>
      </c>
      <c r="D14" s="8" t="s">
        <v>668</v>
      </c>
      <c r="E14" s="8" t="s">
        <v>669</v>
      </c>
      <c r="F14" s="8" t="s">
        <v>625</v>
      </c>
      <c r="G14" s="21" t="s">
        <v>8</v>
      </c>
      <c r="H14" s="7" t="s">
        <v>106</v>
      </c>
      <c r="I14" s="8" t="s">
        <v>207</v>
      </c>
    </row>
    <row r="15" customFormat="false" ht="15" hidden="false" customHeight="false" outlineLevel="0" collapsed="false">
      <c r="A15" s="20" t="s">
        <v>670</v>
      </c>
      <c r="B15" s="8" t="s">
        <v>156</v>
      </c>
      <c r="C15" s="8" t="s">
        <v>671</v>
      </c>
      <c r="D15" s="8" t="s">
        <v>672</v>
      </c>
      <c r="E15" s="8" t="s">
        <v>673</v>
      </c>
      <c r="F15" s="8" t="s">
        <v>674</v>
      </c>
      <c r="G15" s="22" t="s">
        <v>9</v>
      </c>
      <c r="H15" s="7" t="s">
        <v>106</v>
      </c>
      <c r="I15" s="8" t="s">
        <v>124</v>
      </c>
    </row>
    <row r="16" customFormat="false" ht="15" hidden="false" customHeight="false" outlineLevel="0" collapsed="false">
      <c r="A16" s="20" t="s">
        <v>675</v>
      </c>
      <c r="B16" s="8" t="s">
        <v>156</v>
      </c>
      <c r="C16" s="8" t="s">
        <v>676</v>
      </c>
      <c r="D16" s="8" t="s">
        <v>677</v>
      </c>
      <c r="E16" s="8" t="s">
        <v>678</v>
      </c>
      <c r="F16" s="8" t="s">
        <v>113</v>
      </c>
      <c r="G16" s="22" t="s">
        <v>9</v>
      </c>
      <c r="H16" s="7" t="s">
        <v>106</v>
      </c>
      <c r="I16" s="8" t="s">
        <v>124</v>
      </c>
    </row>
    <row r="17" customFormat="false" ht="15" hidden="false" customHeight="false" outlineLevel="0" collapsed="false">
      <c r="A17" s="20" t="s">
        <v>679</v>
      </c>
      <c r="B17" s="8" t="s">
        <v>680</v>
      </c>
      <c r="C17" s="8" t="s">
        <v>681</v>
      </c>
      <c r="D17" s="8" t="s">
        <v>682</v>
      </c>
      <c r="E17" s="8" t="s">
        <v>683</v>
      </c>
      <c r="F17" s="8" t="s">
        <v>684</v>
      </c>
      <c r="G17" s="22" t="s">
        <v>9</v>
      </c>
      <c r="H17" s="7" t="s">
        <v>106</v>
      </c>
      <c r="I17" s="8" t="s">
        <v>370</v>
      </c>
    </row>
    <row r="18" customFormat="false" ht="15" hidden="false" customHeight="false" outlineLevel="0" collapsed="false">
      <c r="A18" s="20" t="s">
        <v>685</v>
      </c>
      <c r="B18" s="8" t="s">
        <v>188</v>
      </c>
      <c r="C18" s="8" t="s">
        <v>686</v>
      </c>
      <c r="D18" s="8" t="s">
        <v>687</v>
      </c>
      <c r="E18" s="8" t="s">
        <v>688</v>
      </c>
      <c r="F18" s="8" t="s">
        <v>185</v>
      </c>
      <c r="G18" s="23" t="s">
        <v>10</v>
      </c>
      <c r="H18" s="7" t="s">
        <v>106</v>
      </c>
      <c r="I18" s="8" t="s">
        <v>124</v>
      </c>
    </row>
  </sheetData>
  <autoFilter ref="A3:I18"/>
  <mergeCells count="1">
    <mergeCell ref="A1:I1"/>
  </mergeCells>
  <dataValidations count="1">
    <dataValidation allowBlank="false" errorStyle="stop" operator="between" showDropDown="false" showErrorMessage="false" showInputMessage="false" sqref="G4:G18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689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690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23.85" hidden="false" customHeight="false" outlineLevel="0" collapsed="false">
      <c r="A4" s="20" t="s">
        <v>691</v>
      </c>
      <c r="B4" s="8" t="s">
        <v>692</v>
      </c>
      <c r="C4" s="8" t="s">
        <v>693</v>
      </c>
      <c r="D4" s="8" t="s">
        <v>694</v>
      </c>
      <c r="E4" s="8" t="s">
        <v>695</v>
      </c>
      <c r="F4" s="8" t="s">
        <v>696</v>
      </c>
      <c r="G4" s="21" t="s">
        <v>8</v>
      </c>
      <c r="H4" s="7" t="s">
        <v>106</v>
      </c>
      <c r="I4" s="8" t="s">
        <v>124</v>
      </c>
    </row>
    <row r="5" customFormat="false" ht="23.85" hidden="false" customHeight="false" outlineLevel="0" collapsed="false">
      <c r="A5" s="20" t="s">
        <v>697</v>
      </c>
      <c r="B5" s="8" t="s">
        <v>692</v>
      </c>
      <c r="C5" s="8" t="s">
        <v>698</v>
      </c>
      <c r="D5" s="8" t="s">
        <v>699</v>
      </c>
      <c r="E5" s="8" t="s">
        <v>700</v>
      </c>
      <c r="F5" s="8" t="s">
        <v>701</v>
      </c>
      <c r="G5" s="22" t="s">
        <v>9</v>
      </c>
      <c r="H5" s="7" t="s">
        <v>702</v>
      </c>
      <c r="I5" s="8" t="s">
        <v>201</v>
      </c>
    </row>
    <row r="6" customFormat="false" ht="15" hidden="false" customHeight="false" outlineLevel="0" collapsed="false">
      <c r="A6" s="20" t="s">
        <v>703</v>
      </c>
      <c r="B6" s="8" t="s">
        <v>692</v>
      </c>
      <c r="C6" s="8" t="s">
        <v>704</v>
      </c>
      <c r="D6" s="8" t="s">
        <v>705</v>
      </c>
      <c r="E6" s="8" t="s">
        <v>706</v>
      </c>
      <c r="F6" s="8" t="s">
        <v>707</v>
      </c>
      <c r="G6" s="23" t="s">
        <v>10</v>
      </c>
      <c r="H6" s="7" t="s">
        <v>106</v>
      </c>
      <c r="I6" s="8" t="s">
        <v>370</v>
      </c>
    </row>
    <row r="7" customFormat="false" ht="23.85" hidden="false" customHeight="false" outlineLevel="0" collapsed="false">
      <c r="A7" s="20" t="s">
        <v>708</v>
      </c>
      <c r="B7" s="8" t="s">
        <v>709</v>
      </c>
      <c r="C7" s="8" t="s">
        <v>710</v>
      </c>
      <c r="D7" s="8" t="s">
        <v>711</v>
      </c>
      <c r="E7" s="8" t="s">
        <v>712</v>
      </c>
      <c r="F7" s="8" t="s">
        <v>113</v>
      </c>
      <c r="G7" s="21" t="s">
        <v>8</v>
      </c>
      <c r="H7" s="7" t="s">
        <v>106</v>
      </c>
      <c r="I7" s="8" t="s">
        <v>201</v>
      </c>
    </row>
    <row r="8" customFormat="false" ht="15" hidden="false" customHeight="false" outlineLevel="0" collapsed="false">
      <c r="A8" s="20" t="s">
        <v>713</v>
      </c>
      <c r="B8" s="8" t="s">
        <v>709</v>
      </c>
      <c r="C8" s="8" t="s">
        <v>714</v>
      </c>
      <c r="D8" s="8" t="s">
        <v>715</v>
      </c>
      <c r="E8" s="8" t="s">
        <v>716</v>
      </c>
      <c r="F8" s="8" t="s">
        <v>113</v>
      </c>
      <c r="G8" s="22" t="s">
        <v>9</v>
      </c>
      <c r="H8" s="7" t="s">
        <v>106</v>
      </c>
      <c r="I8" s="8" t="s">
        <v>370</v>
      </c>
    </row>
    <row r="9" customFormat="false" ht="15" hidden="false" customHeight="false" outlineLevel="0" collapsed="false">
      <c r="A9" s="20" t="s">
        <v>717</v>
      </c>
      <c r="B9" s="8" t="s">
        <v>709</v>
      </c>
      <c r="C9" s="8" t="s">
        <v>718</v>
      </c>
      <c r="D9" s="8" t="s">
        <v>719</v>
      </c>
      <c r="E9" s="8" t="s">
        <v>720</v>
      </c>
      <c r="F9" s="8" t="s">
        <v>721</v>
      </c>
      <c r="G9" s="21" t="s">
        <v>8</v>
      </c>
      <c r="H9" s="7" t="s">
        <v>106</v>
      </c>
      <c r="I9" s="8" t="s">
        <v>154</v>
      </c>
    </row>
    <row r="10" customFormat="false" ht="23.85" hidden="false" customHeight="false" outlineLevel="0" collapsed="false">
      <c r="A10" s="20" t="s">
        <v>722</v>
      </c>
      <c r="B10" s="8" t="s">
        <v>723</v>
      </c>
      <c r="C10" s="8" t="s">
        <v>724</v>
      </c>
      <c r="D10" s="8" t="s">
        <v>725</v>
      </c>
      <c r="E10" s="8" t="s">
        <v>726</v>
      </c>
      <c r="F10" s="8" t="s">
        <v>348</v>
      </c>
      <c r="G10" s="21" t="s">
        <v>8</v>
      </c>
      <c r="H10" s="7" t="s">
        <v>106</v>
      </c>
      <c r="I10" s="8" t="s">
        <v>107</v>
      </c>
    </row>
    <row r="11" customFormat="false" ht="15" hidden="false" customHeight="false" outlineLevel="0" collapsed="false">
      <c r="A11" s="20" t="s">
        <v>727</v>
      </c>
      <c r="B11" s="8" t="s">
        <v>723</v>
      </c>
      <c r="C11" s="8" t="s">
        <v>728</v>
      </c>
      <c r="D11" s="8" t="s">
        <v>729</v>
      </c>
      <c r="E11" s="8" t="s">
        <v>730</v>
      </c>
      <c r="F11" s="8" t="s">
        <v>113</v>
      </c>
      <c r="G11" s="22" t="s">
        <v>9</v>
      </c>
      <c r="H11" s="7" t="s">
        <v>106</v>
      </c>
      <c r="I11" s="8" t="s">
        <v>370</v>
      </c>
    </row>
    <row r="12" customFormat="false" ht="15" hidden="false" customHeight="false" outlineLevel="0" collapsed="false">
      <c r="A12" s="20" t="s">
        <v>731</v>
      </c>
      <c r="B12" s="8" t="s">
        <v>732</v>
      </c>
      <c r="C12" s="8" t="s">
        <v>733</v>
      </c>
      <c r="D12" s="8" t="s">
        <v>734</v>
      </c>
      <c r="E12" s="8" t="s">
        <v>735</v>
      </c>
      <c r="F12" s="8" t="s">
        <v>736</v>
      </c>
      <c r="G12" s="21" t="s">
        <v>8</v>
      </c>
      <c r="H12" s="7" t="s">
        <v>106</v>
      </c>
      <c r="I12" s="8" t="s">
        <v>737</v>
      </c>
    </row>
    <row r="13" customFormat="false" ht="23.85" hidden="false" customHeight="false" outlineLevel="0" collapsed="false">
      <c r="A13" s="20" t="s">
        <v>738</v>
      </c>
      <c r="B13" s="8" t="s">
        <v>732</v>
      </c>
      <c r="C13" s="8" t="s">
        <v>739</v>
      </c>
      <c r="D13" s="8" t="s">
        <v>740</v>
      </c>
      <c r="E13" s="8" t="s">
        <v>741</v>
      </c>
      <c r="F13" s="8" t="s">
        <v>742</v>
      </c>
      <c r="G13" s="21" t="s">
        <v>8</v>
      </c>
      <c r="H13" s="7" t="s">
        <v>106</v>
      </c>
      <c r="I13" s="8" t="s">
        <v>737</v>
      </c>
    </row>
    <row r="14" customFormat="false" ht="15" hidden="false" customHeight="false" outlineLevel="0" collapsed="false">
      <c r="A14" s="20" t="s">
        <v>743</v>
      </c>
      <c r="B14" s="8" t="s">
        <v>732</v>
      </c>
      <c r="C14" s="8" t="s">
        <v>744</v>
      </c>
      <c r="D14" s="8" t="s">
        <v>745</v>
      </c>
      <c r="E14" s="8" t="s">
        <v>746</v>
      </c>
      <c r="F14" s="8" t="s">
        <v>736</v>
      </c>
      <c r="G14" s="21" t="s">
        <v>8</v>
      </c>
      <c r="H14" s="7" t="s">
        <v>106</v>
      </c>
      <c r="I14" s="8" t="s">
        <v>737</v>
      </c>
    </row>
    <row r="15" customFormat="false" ht="15" hidden="false" customHeight="false" outlineLevel="0" collapsed="false">
      <c r="A15" s="20" t="s">
        <v>747</v>
      </c>
      <c r="B15" s="8" t="s">
        <v>732</v>
      </c>
      <c r="C15" s="8" t="s">
        <v>748</v>
      </c>
      <c r="D15" s="8" t="s">
        <v>749</v>
      </c>
      <c r="E15" s="8" t="s">
        <v>750</v>
      </c>
      <c r="F15" s="8" t="s">
        <v>113</v>
      </c>
      <c r="G15" s="22" t="s">
        <v>9</v>
      </c>
      <c r="H15" s="7" t="s">
        <v>106</v>
      </c>
      <c r="I15" s="8" t="s">
        <v>370</v>
      </c>
    </row>
    <row r="16" customFormat="false" ht="15" hidden="false" customHeight="false" outlineLevel="0" collapsed="false">
      <c r="A16" s="20" t="s">
        <v>751</v>
      </c>
      <c r="B16" s="8" t="s">
        <v>732</v>
      </c>
      <c r="C16" s="8" t="s">
        <v>752</v>
      </c>
      <c r="D16" s="8" t="s">
        <v>753</v>
      </c>
      <c r="E16" s="8" t="s">
        <v>754</v>
      </c>
      <c r="F16" s="8" t="s">
        <v>113</v>
      </c>
      <c r="G16" s="22" t="s">
        <v>9</v>
      </c>
      <c r="H16" s="7" t="s">
        <v>106</v>
      </c>
      <c r="I16" s="8" t="s">
        <v>107</v>
      </c>
    </row>
    <row r="17" customFormat="false" ht="15" hidden="false" customHeight="false" outlineLevel="0" collapsed="false">
      <c r="A17" s="20" t="s">
        <v>755</v>
      </c>
      <c r="B17" s="8" t="s">
        <v>756</v>
      </c>
      <c r="C17" s="8" t="s">
        <v>757</v>
      </c>
      <c r="D17" s="8" t="s">
        <v>758</v>
      </c>
      <c r="E17" s="8" t="s">
        <v>759</v>
      </c>
      <c r="F17" s="8" t="s">
        <v>736</v>
      </c>
      <c r="G17" s="21" t="s">
        <v>8</v>
      </c>
      <c r="H17" s="7" t="s">
        <v>106</v>
      </c>
      <c r="I17" s="8" t="s">
        <v>226</v>
      </c>
    </row>
    <row r="18" customFormat="false" ht="23.85" hidden="false" customHeight="false" outlineLevel="0" collapsed="false">
      <c r="A18" s="20" t="s">
        <v>760</v>
      </c>
      <c r="B18" s="8" t="s">
        <v>756</v>
      </c>
      <c r="C18" s="8" t="s">
        <v>761</v>
      </c>
      <c r="D18" s="8" t="s">
        <v>762</v>
      </c>
      <c r="E18" s="8" t="s">
        <v>763</v>
      </c>
      <c r="F18" s="8" t="s">
        <v>113</v>
      </c>
      <c r="G18" s="22" t="s">
        <v>9</v>
      </c>
      <c r="H18" s="7" t="s">
        <v>764</v>
      </c>
      <c r="I18" s="8" t="s">
        <v>201</v>
      </c>
    </row>
    <row r="19" customFormat="false" ht="15" hidden="false" customHeight="false" outlineLevel="0" collapsed="false">
      <c r="A19" s="20" t="s">
        <v>765</v>
      </c>
      <c r="B19" s="8" t="s">
        <v>756</v>
      </c>
      <c r="C19" s="8" t="s">
        <v>766</v>
      </c>
      <c r="D19" s="8" t="s">
        <v>767</v>
      </c>
      <c r="E19" s="8" t="s">
        <v>768</v>
      </c>
      <c r="F19" s="8" t="s">
        <v>736</v>
      </c>
      <c r="G19" s="21" t="s">
        <v>8</v>
      </c>
      <c r="H19" s="7" t="s">
        <v>106</v>
      </c>
      <c r="I19" s="8" t="s">
        <v>737</v>
      </c>
    </row>
    <row r="20" customFormat="false" ht="15" hidden="false" customHeight="false" outlineLevel="0" collapsed="false">
      <c r="A20" s="20" t="s">
        <v>769</v>
      </c>
      <c r="B20" s="8" t="s">
        <v>756</v>
      </c>
      <c r="C20" s="8" t="s">
        <v>770</v>
      </c>
      <c r="D20" s="8" t="s">
        <v>771</v>
      </c>
      <c r="E20" s="8" t="s">
        <v>772</v>
      </c>
      <c r="F20" s="8" t="s">
        <v>130</v>
      </c>
      <c r="G20" s="22" t="s">
        <v>9</v>
      </c>
      <c r="H20" s="7" t="s">
        <v>106</v>
      </c>
      <c r="I20" s="8" t="s">
        <v>370</v>
      </c>
    </row>
    <row r="21" customFormat="false" ht="15" hidden="false" customHeight="false" outlineLevel="0" collapsed="false">
      <c r="A21" s="20" t="s">
        <v>773</v>
      </c>
      <c r="B21" s="8" t="s">
        <v>756</v>
      </c>
      <c r="C21" s="8" t="s">
        <v>774</v>
      </c>
      <c r="D21" s="8" t="s">
        <v>775</v>
      </c>
      <c r="E21" s="8" t="s">
        <v>776</v>
      </c>
      <c r="F21" s="8" t="s">
        <v>736</v>
      </c>
      <c r="G21" s="22" t="s">
        <v>9</v>
      </c>
      <c r="H21" s="7" t="s">
        <v>777</v>
      </c>
      <c r="I21" s="8" t="s">
        <v>778</v>
      </c>
    </row>
    <row r="22" customFormat="false" ht="23.85" hidden="false" customHeight="false" outlineLevel="0" collapsed="false">
      <c r="A22" s="20" t="s">
        <v>779</v>
      </c>
      <c r="B22" s="8" t="s">
        <v>756</v>
      </c>
      <c r="C22" s="8" t="s">
        <v>780</v>
      </c>
      <c r="D22" s="8" t="s">
        <v>780</v>
      </c>
      <c r="E22" s="8" t="s">
        <v>781</v>
      </c>
      <c r="F22" s="8" t="s">
        <v>736</v>
      </c>
      <c r="G22" s="21" t="s">
        <v>8</v>
      </c>
      <c r="H22" s="7" t="s">
        <v>782</v>
      </c>
      <c r="I22" s="8" t="s">
        <v>214</v>
      </c>
    </row>
    <row r="23" customFormat="false" ht="15" hidden="false" customHeight="false" outlineLevel="0" collapsed="false">
      <c r="A23" s="20" t="s">
        <v>783</v>
      </c>
      <c r="B23" s="8" t="s">
        <v>303</v>
      </c>
      <c r="C23" s="8" t="s">
        <v>784</v>
      </c>
      <c r="D23" s="8" t="s">
        <v>785</v>
      </c>
      <c r="E23" s="8" t="s">
        <v>786</v>
      </c>
      <c r="F23" s="8" t="s">
        <v>113</v>
      </c>
      <c r="G23" s="22" t="s">
        <v>9</v>
      </c>
      <c r="H23" s="7" t="s">
        <v>106</v>
      </c>
      <c r="I23" s="8" t="s">
        <v>154</v>
      </c>
    </row>
    <row r="24" customFormat="false" ht="15" hidden="false" customHeight="false" outlineLevel="0" collapsed="false">
      <c r="A24" s="20" t="s">
        <v>787</v>
      </c>
      <c r="B24" s="8" t="s">
        <v>303</v>
      </c>
      <c r="C24" s="8" t="s">
        <v>788</v>
      </c>
      <c r="D24" s="8" t="s">
        <v>789</v>
      </c>
      <c r="E24" s="8" t="s">
        <v>790</v>
      </c>
      <c r="F24" s="8" t="s">
        <v>113</v>
      </c>
      <c r="G24" s="22" t="s">
        <v>9</v>
      </c>
      <c r="H24" s="7" t="s">
        <v>791</v>
      </c>
      <c r="I24" s="8" t="s">
        <v>792</v>
      </c>
    </row>
  </sheetData>
  <autoFilter ref="A3:I24"/>
  <mergeCells count="1">
    <mergeCell ref="A1:I1"/>
  </mergeCells>
  <dataValidations count="1">
    <dataValidation allowBlank="false" errorStyle="stop" operator="between" showDropDown="false" showErrorMessage="false" showInputMessage="false" sqref="G4:G24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793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794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15" hidden="false" customHeight="false" outlineLevel="0" collapsed="false">
      <c r="A4" s="20" t="s">
        <v>795</v>
      </c>
      <c r="B4" s="8" t="s">
        <v>796</v>
      </c>
      <c r="C4" s="8" t="s">
        <v>797</v>
      </c>
      <c r="D4" s="8" t="s">
        <v>798</v>
      </c>
      <c r="E4" s="8" t="s">
        <v>799</v>
      </c>
      <c r="F4" s="8" t="s">
        <v>800</v>
      </c>
      <c r="G4" s="21" t="s">
        <v>8</v>
      </c>
      <c r="H4" s="7" t="s">
        <v>106</v>
      </c>
      <c r="I4" s="8" t="s">
        <v>100</v>
      </c>
    </row>
    <row r="5" customFormat="false" ht="23.85" hidden="false" customHeight="false" outlineLevel="0" collapsed="false">
      <c r="A5" s="20" t="s">
        <v>801</v>
      </c>
      <c r="B5" s="8" t="s">
        <v>796</v>
      </c>
      <c r="C5" s="8" t="s">
        <v>802</v>
      </c>
      <c r="D5" s="8" t="s">
        <v>803</v>
      </c>
      <c r="E5" s="8" t="s">
        <v>804</v>
      </c>
      <c r="F5" s="8" t="s">
        <v>805</v>
      </c>
      <c r="G5" s="21" t="s">
        <v>8</v>
      </c>
      <c r="H5" s="7" t="s">
        <v>806</v>
      </c>
      <c r="I5" s="8" t="s">
        <v>246</v>
      </c>
    </row>
    <row r="6" customFormat="false" ht="15" hidden="false" customHeight="false" outlineLevel="0" collapsed="false">
      <c r="A6" s="20" t="s">
        <v>807</v>
      </c>
      <c r="B6" s="8" t="s">
        <v>796</v>
      </c>
      <c r="C6" s="8" t="s">
        <v>808</v>
      </c>
      <c r="D6" s="8" t="s">
        <v>809</v>
      </c>
      <c r="E6" s="8" t="s">
        <v>810</v>
      </c>
      <c r="F6" s="8" t="s">
        <v>674</v>
      </c>
      <c r="G6" s="21" t="s">
        <v>8</v>
      </c>
      <c r="H6" s="7" t="s">
        <v>106</v>
      </c>
      <c r="I6" s="8" t="s">
        <v>207</v>
      </c>
    </row>
    <row r="7" customFormat="false" ht="15" hidden="false" customHeight="false" outlineLevel="0" collapsed="false">
      <c r="A7" s="20" t="s">
        <v>811</v>
      </c>
      <c r="B7" s="8" t="s">
        <v>796</v>
      </c>
      <c r="C7" s="8" t="s">
        <v>812</v>
      </c>
      <c r="D7" s="8" t="s">
        <v>813</v>
      </c>
      <c r="E7" s="8" t="s">
        <v>814</v>
      </c>
      <c r="F7" s="8" t="s">
        <v>113</v>
      </c>
      <c r="G7" s="21" t="s">
        <v>8</v>
      </c>
      <c r="H7" s="7" t="s">
        <v>106</v>
      </c>
      <c r="I7" s="8" t="s">
        <v>100</v>
      </c>
    </row>
    <row r="8" customFormat="false" ht="23.85" hidden="false" customHeight="false" outlineLevel="0" collapsed="false">
      <c r="A8" s="20" t="s">
        <v>815</v>
      </c>
      <c r="B8" s="8" t="s">
        <v>485</v>
      </c>
      <c r="C8" s="8" t="s">
        <v>816</v>
      </c>
      <c r="D8" s="8" t="s">
        <v>817</v>
      </c>
      <c r="E8" s="8" t="s">
        <v>818</v>
      </c>
      <c r="F8" s="8" t="s">
        <v>819</v>
      </c>
      <c r="G8" s="21" t="s">
        <v>8</v>
      </c>
      <c r="H8" s="7" t="s">
        <v>820</v>
      </c>
      <c r="I8" s="8" t="s">
        <v>124</v>
      </c>
    </row>
    <row r="9" customFormat="false" ht="23.85" hidden="false" customHeight="false" outlineLevel="0" collapsed="false">
      <c r="A9" s="20" t="s">
        <v>821</v>
      </c>
      <c r="B9" s="8" t="s">
        <v>485</v>
      </c>
      <c r="C9" s="8" t="s">
        <v>822</v>
      </c>
      <c r="D9" s="8" t="s">
        <v>823</v>
      </c>
      <c r="E9" s="8" t="s">
        <v>824</v>
      </c>
      <c r="F9" s="8" t="s">
        <v>800</v>
      </c>
      <c r="G9" s="21" t="s">
        <v>8</v>
      </c>
      <c r="H9" s="7" t="s">
        <v>106</v>
      </c>
      <c r="I9" s="8" t="s">
        <v>124</v>
      </c>
    </row>
    <row r="10" customFormat="false" ht="15" hidden="false" customHeight="false" outlineLevel="0" collapsed="false">
      <c r="A10" s="20" t="s">
        <v>825</v>
      </c>
      <c r="B10" s="8" t="s">
        <v>826</v>
      </c>
      <c r="C10" s="8" t="s">
        <v>827</v>
      </c>
      <c r="D10" s="8" t="s">
        <v>828</v>
      </c>
      <c r="E10" s="8" t="s">
        <v>829</v>
      </c>
      <c r="F10" s="8" t="s">
        <v>800</v>
      </c>
      <c r="G10" s="21" t="s">
        <v>8</v>
      </c>
      <c r="H10" s="7" t="s">
        <v>830</v>
      </c>
      <c r="I10" s="8" t="s">
        <v>124</v>
      </c>
    </row>
    <row r="11" customFormat="false" ht="15" hidden="false" customHeight="false" outlineLevel="0" collapsed="false">
      <c r="A11" s="20" t="s">
        <v>831</v>
      </c>
      <c r="B11" s="8" t="s">
        <v>826</v>
      </c>
      <c r="C11" s="8" t="s">
        <v>832</v>
      </c>
      <c r="D11" s="8" t="s">
        <v>833</v>
      </c>
      <c r="E11" s="8" t="s">
        <v>834</v>
      </c>
      <c r="F11" s="8" t="s">
        <v>835</v>
      </c>
      <c r="G11" s="21" t="s">
        <v>8</v>
      </c>
      <c r="H11" s="7" t="s">
        <v>106</v>
      </c>
      <c r="I11" s="8" t="s">
        <v>370</v>
      </c>
    </row>
    <row r="12" customFormat="false" ht="23.85" hidden="false" customHeight="false" outlineLevel="0" collapsed="false">
      <c r="A12" s="20" t="s">
        <v>836</v>
      </c>
      <c r="B12" s="8" t="s">
        <v>826</v>
      </c>
      <c r="C12" s="8" t="s">
        <v>837</v>
      </c>
      <c r="D12" s="8" t="s">
        <v>838</v>
      </c>
      <c r="E12" s="8" t="s">
        <v>839</v>
      </c>
      <c r="F12" s="8" t="s">
        <v>819</v>
      </c>
      <c r="G12" s="21" t="s">
        <v>8</v>
      </c>
      <c r="H12" s="7" t="s">
        <v>840</v>
      </c>
      <c r="I12" s="8" t="s">
        <v>263</v>
      </c>
    </row>
    <row r="13" customFormat="false" ht="15" hidden="false" customHeight="false" outlineLevel="0" collapsed="false">
      <c r="A13" s="20" t="s">
        <v>841</v>
      </c>
      <c r="B13" s="8" t="s">
        <v>826</v>
      </c>
      <c r="C13" s="8" t="s">
        <v>842</v>
      </c>
      <c r="D13" s="8" t="s">
        <v>843</v>
      </c>
      <c r="E13" s="8" t="s">
        <v>844</v>
      </c>
      <c r="F13" s="8" t="s">
        <v>800</v>
      </c>
      <c r="G13" s="21" t="s">
        <v>8</v>
      </c>
      <c r="H13" s="7" t="s">
        <v>106</v>
      </c>
      <c r="I13" s="8" t="s">
        <v>207</v>
      </c>
    </row>
    <row r="14" customFormat="false" ht="15" hidden="false" customHeight="false" outlineLevel="0" collapsed="false">
      <c r="A14" s="20" t="s">
        <v>845</v>
      </c>
      <c r="B14" s="8" t="s">
        <v>846</v>
      </c>
      <c r="C14" s="8" t="s">
        <v>847</v>
      </c>
      <c r="D14" s="8" t="s">
        <v>848</v>
      </c>
      <c r="E14" s="8" t="s">
        <v>849</v>
      </c>
      <c r="F14" s="8" t="s">
        <v>113</v>
      </c>
      <c r="G14" s="22" t="s">
        <v>9</v>
      </c>
      <c r="H14" s="7" t="s">
        <v>106</v>
      </c>
      <c r="I14" s="8" t="s">
        <v>124</v>
      </c>
    </row>
    <row r="15" customFormat="false" ht="15" hidden="false" customHeight="false" outlineLevel="0" collapsed="false">
      <c r="A15" s="20" t="s">
        <v>850</v>
      </c>
      <c r="B15" s="8" t="s">
        <v>846</v>
      </c>
      <c r="C15" s="8" t="s">
        <v>851</v>
      </c>
      <c r="D15" s="8" t="s">
        <v>852</v>
      </c>
      <c r="E15" s="8" t="s">
        <v>853</v>
      </c>
      <c r="F15" s="8" t="s">
        <v>800</v>
      </c>
      <c r="G15" s="21" t="s">
        <v>8</v>
      </c>
      <c r="H15" s="7" t="s">
        <v>106</v>
      </c>
      <c r="I15" s="8" t="s">
        <v>124</v>
      </c>
    </row>
    <row r="16" customFormat="false" ht="15" hidden="false" customHeight="false" outlineLevel="0" collapsed="false">
      <c r="A16" s="20" t="s">
        <v>854</v>
      </c>
      <c r="B16" s="8" t="s">
        <v>156</v>
      </c>
      <c r="C16" s="8" t="s">
        <v>855</v>
      </c>
      <c r="D16" s="8" t="s">
        <v>856</v>
      </c>
      <c r="E16" s="8" t="s">
        <v>857</v>
      </c>
      <c r="F16" s="8" t="s">
        <v>113</v>
      </c>
      <c r="G16" s="21" t="s">
        <v>8</v>
      </c>
      <c r="H16" s="7" t="s">
        <v>106</v>
      </c>
      <c r="I16" s="8" t="s">
        <v>100</v>
      </c>
    </row>
    <row r="17" customFormat="false" ht="15" hidden="false" customHeight="false" outlineLevel="0" collapsed="false">
      <c r="A17" s="20" t="s">
        <v>858</v>
      </c>
      <c r="B17" s="8" t="s">
        <v>156</v>
      </c>
      <c r="C17" s="8" t="s">
        <v>859</v>
      </c>
      <c r="D17" s="8" t="s">
        <v>860</v>
      </c>
      <c r="E17" s="8" t="s">
        <v>861</v>
      </c>
      <c r="F17" s="8" t="s">
        <v>113</v>
      </c>
      <c r="G17" s="22" t="s">
        <v>9</v>
      </c>
      <c r="H17" s="7" t="s">
        <v>106</v>
      </c>
      <c r="I17" s="8" t="s">
        <v>100</v>
      </c>
    </row>
    <row r="18" customFormat="false" ht="15" hidden="false" customHeight="false" outlineLevel="0" collapsed="false">
      <c r="A18" s="20" t="s">
        <v>862</v>
      </c>
      <c r="B18" s="8" t="s">
        <v>156</v>
      </c>
      <c r="C18" s="8" t="s">
        <v>863</v>
      </c>
      <c r="D18" s="8" t="s">
        <v>864</v>
      </c>
      <c r="E18" s="8" t="s">
        <v>865</v>
      </c>
      <c r="F18" s="8" t="s">
        <v>130</v>
      </c>
      <c r="G18" s="22" t="s">
        <v>9</v>
      </c>
      <c r="H18" s="7" t="s">
        <v>106</v>
      </c>
      <c r="I18" s="8" t="s">
        <v>207</v>
      </c>
    </row>
    <row r="19" customFormat="false" ht="15" hidden="false" customHeight="false" outlineLevel="0" collapsed="false">
      <c r="A19" s="20" t="s">
        <v>866</v>
      </c>
      <c r="B19" s="8" t="s">
        <v>867</v>
      </c>
      <c r="C19" s="8" t="s">
        <v>868</v>
      </c>
      <c r="D19" s="8" t="s">
        <v>869</v>
      </c>
      <c r="E19" s="8" t="s">
        <v>870</v>
      </c>
      <c r="F19" s="8" t="s">
        <v>113</v>
      </c>
      <c r="G19" s="23" t="s">
        <v>10</v>
      </c>
      <c r="H19" s="7" t="s">
        <v>871</v>
      </c>
      <c r="I19" s="8" t="s">
        <v>370</v>
      </c>
    </row>
    <row r="20" customFormat="false" ht="15" hidden="false" customHeight="false" outlineLevel="0" collapsed="false">
      <c r="A20" s="20" t="s">
        <v>872</v>
      </c>
      <c r="B20" s="8" t="s">
        <v>188</v>
      </c>
      <c r="C20" s="8" t="s">
        <v>873</v>
      </c>
      <c r="D20" s="8" t="s">
        <v>874</v>
      </c>
      <c r="E20" s="8" t="s">
        <v>875</v>
      </c>
      <c r="F20" s="8" t="s">
        <v>185</v>
      </c>
      <c r="G20" s="23" t="s">
        <v>10</v>
      </c>
      <c r="H20" s="7" t="s">
        <v>106</v>
      </c>
      <c r="I20" s="8" t="s">
        <v>124</v>
      </c>
    </row>
  </sheetData>
  <autoFilter ref="A3:I20"/>
  <mergeCells count="1">
    <mergeCell ref="A1:I1"/>
  </mergeCells>
  <dataValidations count="1">
    <dataValidation allowBlank="false" errorStyle="stop" operator="between" showDropDown="false" showErrorMessage="false" showInputMessage="false" sqref="G4:G20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876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877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15" hidden="false" customHeight="false" outlineLevel="0" collapsed="false">
      <c r="A4" s="20" t="s">
        <v>878</v>
      </c>
      <c r="B4" s="8" t="s">
        <v>437</v>
      </c>
      <c r="C4" s="8" t="s">
        <v>879</v>
      </c>
      <c r="D4" s="8" t="s">
        <v>880</v>
      </c>
      <c r="E4" s="8" t="s">
        <v>881</v>
      </c>
      <c r="F4" s="8" t="s">
        <v>625</v>
      </c>
      <c r="G4" s="21" t="s">
        <v>8</v>
      </c>
      <c r="H4" s="7" t="s">
        <v>566</v>
      </c>
      <c r="I4" s="8" t="s">
        <v>882</v>
      </c>
    </row>
    <row r="5" customFormat="false" ht="15" hidden="false" customHeight="false" outlineLevel="0" collapsed="false">
      <c r="A5" s="20" t="s">
        <v>883</v>
      </c>
      <c r="B5" s="8" t="s">
        <v>437</v>
      </c>
      <c r="C5" s="8" t="s">
        <v>884</v>
      </c>
      <c r="D5" s="8" t="s">
        <v>885</v>
      </c>
      <c r="E5" s="8" t="s">
        <v>886</v>
      </c>
      <c r="F5" s="8" t="s">
        <v>625</v>
      </c>
      <c r="G5" s="21" t="s">
        <v>8</v>
      </c>
      <c r="H5" s="7" t="s">
        <v>106</v>
      </c>
      <c r="I5" s="8" t="s">
        <v>882</v>
      </c>
    </row>
    <row r="6" customFormat="false" ht="35.05" hidden="false" customHeight="false" outlineLevel="0" collapsed="false">
      <c r="A6" s="20" t="s">
        <v>887</v>
      </c>
      <c r="B6" s="8" t="s">
        <v>572</v>
      </c>
      <c r="C6" s="8" t="s">
        <v>573</v>
      </c>
      <c r="D6" s="8" t="s">
        <v>574</v>
      </c>
      <c r="E6" s="8" t="s">
        <v>888</v>
      </c>
      <c r="F6" s="8" t="s">
        <v>889</v>
      </c>
      <c r="G6" s="21" t="s">
        <v>8</v>
      </c>
      <c r="H6" s="7" t="s">
        <v>106</v>
      </c>
      <c r="I6" s="8" t="s">
        <v>370</v>
      </c>
    </row>
    <row r="7" customFormat="false" ht="15" hidden="false" customHeight="false" outlineLevel="0" collapsed="false">
      <c r="A7" s="20" t="s">
        <v>890</v>
      </c>
      <c r="B7" s="8" t="s">
        <v>572</v>
      </c>
      <c r="C7" s="8" t="s">
        <v>891</v>
      </c>
      <c r="D7" s="8" t="s">
        <v>892</v>
      </c>
      <c r="E7" s="8" t="s">
        <v>893</v>
      </c>
      <c r="F7" s="8" t="s">
        <v>625</v>
      </c>
      <c r="G7" s="21" t="s">
        <v>8</v>
      </c>
      <c r="H7" s="7" t="s">
        <v>106</v>
      </c>
      <c r="I7" s="8" t="s">
        <v>107</v>
      </c>
    </row>
    <row r="8" customFormat="false" ht="15" hidden="false" customHeight="false" outlineLevel="0" collapsed="false">
      <c r="A8" s="20" t="s">
        <v>894</v>
      </c>
      <c r="B8" s="8" t="s">
        <v>572</v>
      </c>
      <c r="C8" s="8" t="s">
        <v>895</v>
      </c>
      <c r="D8" s="8" t="s">
        <v>896</v>
      </c>
      <c r="E8" s="8" t="s">
        <v>897</v>
      </c>
      <c r="F8" s="8" t="s">
        <v>898</v>
      </c>
      <c r="G8" s="22" t="s">
        <v>9</v>
      </c>
      <c r="H8" s="7" t="s">
        <v>106</v>
      </c>
      <c r="I8" s="8" t="s">
        <v>370</v>
      </c>
    </row>
    <row r="9" customFormat="false" ht="15" hidden="false" customHeight="false" outlineLevel="0" collapsed="false">
      <c r="A9" s="20" t="s">
        <v>899</v>
      </c>
      <c r="B9" s="8" t="s">
        <v>572</v>
      </c>
      <c r="C9" s="8" t="s">
        <v>900</v>
      </c>
      <c r="D9" s="8" t="s">
        <v>901</v>
      </c>
      <c r="E9" s="8" t="s">
        <v>902</v>
      </c>
      <c r="F9" s="8" t="s">
        <v>113</v>
      </c>
      <c r="G9" s="22" t="s">
        <v>9</v>
      </c>
      <c r="H9" s="7" t="s">
        <v>106</v>
      </c>
      <c r="I9" s="8" t="s">
        <v>107</v>
      </c>
    </row>
    <row r="10" customFormat="false" ht="15" hidden="false" customHeight="false" outlineLevel="0" collapsed="false">
      <c r="A10" s="20" t="s">
        <v>903</v>
      </c>
      <c r="B10" s="8" t="s">
        <v>465</v>
      </c>
      <c r="C10" s="8" t="s">
        <v>586</v>
      </c>
      <c r="D10" s="8" t="s">
        <v>587</v>
      </c>
      <c r="E10" s="8" t="s">
        <v>904</v>
      </c>
      <c r="F10" s="8" t="s">
        <v>113</v>
      </c>
      <c r="G10" s="22" t="s">
        <v>9</v>
      </c>
      <c r="H10" s="7" t="s">
        <v>106</v>
      </c>
      <c r="I10" s="8" t="s">
        <v>370</v>
      </c>
    </row>
    <row r="11" customFormat="false" ht="15" hidden="false" customHeight="false" outlineLevel="0" collapsed="false">
      <c r="A11" s="20" t="s">
        <v>905</v>
      </c>
      <c r="B11" s="8" t="s">
        <v>465</v>
      </c>
      <c r="C11" s="8" t="s">
        <v>906</v>
      </c>
      <c r="D11" s="8" t="s">
        <v>907</v>
      </c>
      <c r="E11" s="8" t="s">
        <v>908</v>
      </c>
      <c r="F11" s="8" t="s">
        <v>113</v>
      </c>
      <c r="G11" s="22" t="s">
        <v>9</v>
      </c>
      <c r="H11" s="7" t="s">
        <v>106</v>
      </c>
      <c r="I11" s="8" t="s">
        <v>107</v>
      </c>
    </row>
    <row r="12" customFormat="false" ht="15" hidden="false" customHeight="false" outlineLevel="0" collapsed="false">
      <c r="A12" s="20" t="s">
        <v>909</v>
      </c>
      <c r="B12" s="8" t="s">
        <v>594</v>
      </c>
      <c r="C12" s="8" t="s">
        <v>595</v>
      </c>
      <c r="D12" s="8" t="s">
        <v>596</v>
      </c>
      <c r="E12" s="8" t="s">
        <v>910</v>
      </c>
      <c r="F12" s="8" t="s">
        <v>598</v>
      </c>
      <c r="G12" s="22" t="s">
        <v>9</v>
      </c>
      <c r="H12" s="7" t="s">
        <v>106</v>
      </c>
      <c r="I12" s="8" t="s">
        <v>154</v>
      </c>
    </row>
    <row r="13" customFormat="false" ht="15" hidden="false" customHeight="false" outlineLevel="0" collapsed="false">
      <c r="A13" s="20" t="s">
        <v>911</v>
      </c>
      <c r="B13" s="8" t="s">
        <v>156</v>
      </c>
      <c r="C13" s="8" t="s">
        <v>912</v>
      </c>
      <c r="D13" s="8" t="s">
        <v>913</v>
      </c>
      <c r="E13" s="8" t="s">
        <v>914</v>
      </c>
      <c r="F13" s="8" t="s">
        <v>625</v>
      </c>
      <c r="G13" s="21" t="s">
        <v>8</v>
      </c>
      <c r="H13" s="7" t="s">
        <v>106</v>
      </c>
      <c r="I13" s="8" t="s">
        <v>207</v>
      </c>
    </row>
    <row r="14" customFormat="false" ht="15" hidden="false" customHeight="false" outlineLevel="0" collapsed="false">
      <c r="A14" s="20" t="s">
        <v>915</v>
      </c>
      <c r="B14" s="8" t="s">
        <v>156</v>
      </c>
      <c r="C14" s="8" t="s">
        <v>916</v>
      </c>
      <c r="D14" s="8" t="s">
        <v>917</v>
      </c>
      <c r="E14" s="8" t="s">
        <v>918</v>
      </c>
      <c r="F14" s="8" t="s">
        <v>625</v>
      </c>
      <c r="G14" s="21" t="s">
        <v>8</v>
      </c>
      <c r="H14" s="7" t="s">
        <v>106</v>
      </c>
      <c r="I14" s="8" t="s">
        <v>207</v>
      </c>
    </row>
    <row r="15" customFormat="false" ht="15" hidden="false" customHeight="false" outlineLevel="0" collapsed="false">
      <c r="A15" s="20" t="s">
        <v>919</v>
      </c>
      <c r="B15" s="8" t="s">
        <v>156</v>
      </c>
      <c r="C15" s="8" t="s">
        <v>920</v>
      </c>
      <c r="D15" s="8" t="s">
        <v>921</v>
      </c>
      <c r="E15" s="8" t="s">
        <v>922</v>
      </c>
      <c r="F15" s="8" t="s">
        <v>625</v>
      </c>
      <c r="G15" s="22" t="s">
        <v>9</v>
      </c>
      <c r="H15" s="7" t="s">
        <v>106</v>
      </c>
      <c r="I15" s="8" t="s">
        <v>370</v>
      </c>
    </row>
    <row r="16" customFormat="false" ht="15" hidden="false" customHeight="false" outlineLevel="0" collapsed="false">
      <c r="A16" s="20" t="s">
        <v>923</v>
      </c>
      <c r="B16" s="8" t="s">
        <v>156</v>
      </c>
      <c r="C16" s="8" t="s">
        <v>924</v>
      </c>
      <c r="D16" s="8" t="s">
        <v>925</v>
      </c>
      <c r="E16" s="8" t="s">
        <v>926</v>
      </c>
      <c r="F16" s="8" t="s">
        <v>684</v>
      </c>
      <c r="G16" s="22" t="s">
        <v>9</v>
      </c>
      <c r="H16" s="7" t="s">
        <v>106</v>
      </c>
      <c r="I16" s="8" t="s">
        <v>370</v>
      </c>
    </row>
    <row r="17" customFormat="false" ht="15" hidden="false" customHeight="false" outlineLevel="0" collapsed="false">
      <c r="A17" s="20" t="s">
        <v>927</v>
      </c>
      <c r="B17" s="8" t="s">
        <v>928</v>
      </c>
      <c r="C17" s="8" t="s">
        <v>929</v>
      </c>
      <c r="D17" s="8" t="s">
        <v>930</v>
      </c>
      <c r="E17" s="8" t="s">
        <v>931</v>
      </c>
      <c r="F17" s="8" t="s">
        <v>625</v>
      </c>
      <c r="G17" s="23" t="s">
        <v>10</v>
      </c>
      <c r="H17" s="7" t="s">
        <v>106</v>
      </c>
      <c r="I17" s="8" t="s">
        <v>370</v>
      </c>
    </row>
  </sheetData>
  <autoFilter ref="A3:I17"/>
  <mergeCells count="1">
    <mergeCell ref="A1:I1"/>
  </mergeCells>
  <dataValidations count="1">
    <dataValidation allowBlank="false" errorStyle="stop" operator="between" showDropDown="false" showErrorMessage="false" showInputMessage="false" sqref="G4:G17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932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933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23.85" hidden="false" customHeight="false" outlineLevel="0" collapsed="false">
      <c r="A4" s="20" t="s">
        <v>934</v>
      </c>
      <c r="B4" s="8" t="s">
        <v>935</v>
      </c>
      <c r="C4" s="8" t="s">
        <v>936</v>
      </c>
      <c r="D4" s="8" t="s">
        <v>937</v>
      </c>
      <c r="E4" s="8" t="s">
        <v>938</v>
      </c>
      <c r="F4" s="8" t="s">
        <v>939</v>
      </c>
      <c r="G4" s="21" t="s">
        <v>8</v>
      </c>
      <c r="H4" s="7" t="s">
        <v>940</v>
      </c>
      <c r="I4" s="8" t="s">
        <v>246</v>
      </c>
    </row>
    <row r="5" customFormat="false" ht="23.85" hidden="false" customHeight="false" outlineLevel="0" collapsed="false">
      <c r="A5" s="20" t="s">
        <v>941</v>
      </c>
      <c r="B5" s="8" t="s">
        <v>935</v>
      </c>
      <c r="C5" s="8" t="s">
        <v>942</v>
      </c>
      <c r="D5" s="8" t="s">
        <v>943</v>
      </c>
      <c r="E5" s="8" t="s">
        <v>944</v>
      </c>
      <c r="F5" s="8" t="s">
        <v>945</v>
      </c>
      <c r="G5" s="21" t="s">
        <v>8</v>
      </c>
      <c r="H5" s="7" t="s">
        <v>946</v>
      </c>
      <c r="I5" s="8" t="s">
        <v>214</v>
      </c>
    </row>
    <row r="6" customFormat="false" ht="23.85" hidden="false" customHeight="false" outlineLevel="0" collapsed="false">
      <c r="A6" s="20" t="s">
        <v>947</v>
      </c>
      <c r="B6" s="8" t="s">
        <v>935</v>
      </c>
      <c r="C6" s="8" t="s">
        <v>948</v>
      </c>
      <c r="D6" s="8" t="s">
        <v>949</v>
      </c>
      <c r="E6" s="8" t="s">
        <v>950</v>
      </c>
      <c r="F6" s="8" t="s">
        <v>945</v>
      </c>
      <c r="G6" s="21" t="s">
        <v>8</v>
      </c>
      <c r="H6" s="7" t="s">
        <v>951</v>
      </c>
      <c r="I6" s="8" t="s">
        <v>737</v>
      </c>
    </row>
    <row r="7" customFormat="false" ht="15" hidden="false" customHeight="false" outlineLevel="0" collapsed="false">
      <c r="A7" s="20" t="s">
        <v>952</v>
      </c>
      <c r="B7" s="8" t="s">
        <v>935</v>
      </c>
      <c r="C7" s="8" t="s">
        <v>953</v>
      </c>
      <c r="D7" s="8" t="s">
        <v>954</v>
      </c>
      <c r="E7" s="8" t="s">
        <v>955</v>
      </c>
      <c r="F7" s="8" t="s">
        <v>956</v>
      </c>
      <c r="G7" s="22" t="s">
        <v>9</v>
      </c>
      <c r="H7" s="7" t="s">
        <v>957</v>
      </c>
      <c r="I7" s="8" t="s">
        <v>226</v>
      </c>
    </row>
    <row r="8" customFormat="false" ht="15" hidden="false" customHeight="false" outlineLevel="0" collapsed="false">
      <c r="A8" s="20" t="s">
        <v>958</v>
      </c>
      <c r="B8" s="8" t="s">
        <v>935</v>
      </c>
      <c r="C8" s="8" t="s">
        <v>959</v>
      </c>
      <c r="D8" s="8" t="s">
        <v>960</v>
      </c>
      <c r="E8" s="8" t="s">
        <v>961</v>
      </c>
      <c r="F8" s="8" t="s">
        <v>956</v>
      </c>
      <c r="G8" s="22" t="s">
        <v>9</v>
      </c>
      <c r="H8" s="7" t="s">
        <v>962</v>
      </c>
      <c r="I8" s="8" t="s">
        <v>124</v>
      </c>
    </row>
    <row r="9" customFormat="false" ht="23.85" hidden="false" customHeight="false" outlineLevel="0" collapsed="false">
      <c r="A9" s="20" t="s">
        <v>963</v>
      </c>
      <c r="B9" s="8" t="s">
        <v>935</v>
      </c>
      <c r="C9" s="8" t="s">
        <v>964</v>
      </c>
      <c r="D9" s="8" t="s">
        <v>965</v>
      </c>
      <c r="E9" s="8" t="s">
        <v>966</v>
      </c>
      <c r="F9" s="8" t="s">
        <v>113</v>
      </c>
      <c r="G9" s="22" t="s">
        <v>9</v>
      </c>
      <c r="H9" s="7" t="s">
        <v>967</v>
      </c>
      <c r="I9" s="8" t="s">
        <v>398</v>
      </c>
    </row>
    <row r="10" customFormat="false" ht="23.85" hidden="false" customHeight="false" outlineLevel="0" collapsed="false">
      <c r="A10" s="20" t="s">
        <v>968</v>
      </c>
      <c r="B10" s="8" t="s">
        <v>935</v>
      </c>
      <c r="C10" s="8" t="s">
        <v>969</v>
      </c>
      <c r="D10" s="8" t="s">
        <v>970</v>
      </c>
      <c r="E10" s="8" t="s">
        <v>971</v>
      </c>
      <c r="F10" s="8" t="s">
        <v>972</v>
      </c>
      <c r="G10" s="22" t="s">
        <v>9</v>
      </c>
      <c r="H10" s="7" t="s">
        <v>973</v>
      </c>
      <c r="I10" s="8" t="s">
        <v>350</v>
      </c>
    </row>
    <row r="11" customFormat="false" ht="15" hidden="false" customHeight="false" outlineLevel="0" collapsed="false">
      <c r="A11" s="20" t="s">
        <v>974</v>
      </c>
      <c r="B11" s="8" t="s">
        <v>935</v>
      </c>
      <c r="C11" s="8" t="s">
        <v>975</v>
      </c>
      <c r="D11" s="8" t="s">
        <v>976</v>
      </c>
      <c r="E11" s="8" t="s">
        <v>977</v>
      </c>
      <c r="F11" s="8" t="s">
        <v>185</v>
      </c>
      <c r="G11" s="23" t="s">
        <v>10</v>
      </c>
      <c r="H11" s="7" t="s">
        <v>106</v>
      </c>
      <c r="I11" s="8" t="s">
        <v>124</v>
      </c>
    </row>
    <row r="12" customFormat="false" ht="23.85" hidden="false" customHeight="false" outlineLevel="0" collapsed="false">
      <c r="A12" s="20" t="s">
        <v>978</v>
      </c>
      <c r="B12" s="8" t="s">
        <v>979</v>
      </c>
      <c r="C12" s="8" t="s">
        <v>980</v>
      </c>
      <c r="D12" s="8" t="s">
        <v>981</v>
      </c>
      <c r="E12" s="8" t="s">
        <v>982</v>
      </c>
      <c r="F12" s="8" t="s">
        <v>983</v>
      </c>
      <c r="G12" s="21" t="s">
        <v>8</v>
      </c>
      <c r="H12" s="7" t="s">
        <v>984</v>
      </c>
      <c r="I12" s="8" t="s">
        <v>246</v>
      </c>
    </row>
    <row r="13" customFormat="false" ht="15" hidden="false" customHeight="false" outlineLevel="0" collapsed="false">
      <c r="A13" s="20" t="s">
        <v>985</v>
      </c>
      <c r="B13" s="8" t="s">
        <v>979</v>
      </c>
      <c r="C13" s="8" t="s">
        <v>986</v>
      </c>
      <c r="D13" s="8" t="s">
        <v>987</v>
      </c>
      <c r="E13" s="8" t="s">
        <v>988</v>
      </c>
      <c r="F13" s="8" t="s">
        <v>989</v>
      </c>
      <c r="G13" s="21" t="s">
        <v>8</v>
      </c>
      <c r="H13" s="7" t="s">
        <v>990</v>
      </c>
      <c r="I13" s="8" t="s">
        <v>778</v>
      </c>
    </row>
    <row r="14" customFormat="false" ht="15" hidden="false" customHeight="false" outlineLevel="0" collapsed="false">
      <c r="A14" s="20" t="s">
        <v>991</v>
      </c>
      <c r="B14" s="8" t="s">
        <v>979</v>
      </c>
      <c r="C14" s="8" t="s">
        <v>992</v>
      </c>
      <c r="D14" s="8" t="s">
        <v>993</v>
      </c>
      <c r="E14" s="8" t="s">
        <v>994</v>
      </c>
      <c r="F14" s="8" t="s">
        <v>219</v>
      </c>
      <c r="G14" s="21" t="s">
        <v>8</v>
      </c>
      <c r="H14" s="7" t="s">
        <v>995</v>
      </c>
      <c r="I14" s="8" t="s">
        <v>124</v>
      </c>
    </row>
    <row r="15" customFormat="false" ht="15" hidden="false" customHeight="false" outlineLevel="0" collapsed="false">
      <c r="A15" s="20" t="s">
        <v>996</v>
      </c>
      <c r="B15" s="8" t="s">
        <v>979</v>
      </c>
      <c r="C15" s="8" t="s">
        <v>997</v>
      </c>
      <c r="D15" s="8" t="s">
        <v>998</v>
      </c>
      <c r="E15" s="8" t="s">
        <v>999</v>
      </c>
      <c r="F15" s="8" t="s">
        <v>1000</v>
      </c>
      <c r="G15" s="21" t="s">
        <v>8</v>
      </c>
      <c r="H15" s="7" t="s">
        <v>1001</v>
      </c>
      <c r="I15" s="8" t="s">
        <v>737</v>
      </c>
    </row>
    <row r="16" customFormat="false" ht="23.85" hidden="false" customHeight="false" outlineLevel="0" collapsed="false">
      <c r="A16" s="20" t="s">
        <v>1002</v>
      </c>
      <c r="B16" s="8" t="s">
        <v>979</v>
      </c>
      <c r="C16" s="8" t="s">
        <v>1003</v>
      </c>
      <c r="D16" s="8" t="s">
        <v>1004</v>
      </c>
      <c r="E16" s="8" t="s">
        <v>1005</v>
      </c>
      <c r="F16" s="8" t="s">
        <v>1006</v>
      </c>
      <c r="G16" s="21" t="s">
        <v>8</v>
      </c>
      <c r="H16" s="7" t="s">
        <v>1007</v>
      </c>
      <c r="I16" s="8" t="s">
        <v>201</v>
      </c>
    </row>
    <row r="17" customFormat="false" ht="23.85" hidden="false" customHeight="false" outlineLevel="0" collapsed="false">
      <c r="A17" s="20" t="s">
        <v>1008</v>
      </c>
      <c r="B17" s="8" t="s">
        <v>979</v>
      </c>
      <c r="C17" s="8" t="s">
        <v>1009</v>
      </c>
      <c r="D17" s="8" t="s">
        <v>1010</v>
      </c>
      <c r="E17" s="8" t="s">
        <v>1011</v>
      </c>
      <c r="F17" s="8" t="s">
        <v>945</v>
      </c>
      <c r="G17" s="21" t="s">
        <v>8</v>
      </c>
      <c r="H17" s="7" t="s">
        <v>1012</v>
      </c>
      <c r="I17" s="8" t="s">
        <v>1013</v>
      </c>
    </row>
    <row r="18" customFormat="false" ht="23.85" hidden="false" customHeight="false" outlineLevel="0" collapsed="false">
      <c r="A18" s="20" t="s">
        <v>1014</v>
      </c>
      <c r="B18" s="8" t="s">
        <v>979</v>
      </c>
      <c r="C18" s="8" t="s">
        <v>1015</v>
      </c>
      <c r="D18" s="8" t="s">
        <v>1016</v>
      </c>
      <c r="E18" s="8" t="s">
        <v>1017</v>
      </c>
      <c r="F18" s="8" t="s">
        <v>945</v>
      </c>
      <c r="G18" s="21" t="s">
        <v>8</v>
      </c>
      <c r="H18" s="7" t="s">
        <v>1018</v>
      </c>
      <c r="I18" s="8" t="s">
        <v>246</v>
      </c>
    </row>
    <row r="19" customFormat="false" ht="23.85" hidden="false" customHeight="false" outlineLevel="0" collapsed="false">
      <c r="A19" s="20" t="s">
        <v>1019</v>
      </c>
      <c r="B19" s="8" t="s">
        <v>979</v>
      </c>
      <c r="C19" s="8" t="s">
        <v>1020</v>
      </c>
      <c r="D19" s="8" t="s">
        <v>1021</v>
      </c>
      <c r="E19" s="8" t="s">
        <v>1022</v>
      </c>
      <c r="F19" s="8" t="s">
        <v>113</v>
      </c>
      <c r="G19" s="21" t="s">
        <v>8</v>
      </c>
      <c r="H19" s="7" t="s">
        <v>1023</v>
      </c>
      <c r="I19" s="8" t="s">
        <v>737</v>
      </c>
    </row>
    <row r="20" customFormat="false" ht="23.85" hidden="false" customHeight="false" outlineLevel="0" collapsed="false">
      <c r="A20" s="20" t="s">
        <v>1024</v>
      </c>
      <c r="B20" s="8" t="s">
        <v>979</v>
      </c>
      <c r="C20" s="8" t="s">
        <v>1025</v>
      </c>
      <c r="D20" s="8" t="s">
        <v>1026</v>
      </c>
      <c r="E20" s="8" t="s">
        <v>1027</v>
      </c>
      <c r="F20" s="8" t="s">
        <v>736</v>
      </c>
      <c r="G20" s="21" t="s">
        <v>8</v>
      </c>
      <c r="H20" s="7" t="s">
        <v>791</v>
      </c>
      <c r="I20" s="8" t="s">
        <v>1013</v>
      </c>
    </row>
    <row r="21" customFormat="false" ht="23.85" hidden="false" customHeight="false" outlineLevel="0" collapsed="false">
      <c r="A21" s="20" t="s">
        <v>1028</v>
      </c>
      <c r="B21" s="8" t="s">
        <v>979</v>
      </c>
      <c r="C21" s="8" t="s">
        <v>1029</v>
      </c>
      <c r="D21" s="8" t="s">
        <v>1030</v>
      </c>
      <c r="E21" s="8" t="s">
        <v>1031</v>
      </c>
      <c r="F21" s="8" t="s">
        <v>945</v>
      </c>
      <c r="G21" s="22" t="s">
        <v>9</v>
      </c>
      <c r="H21" s="7" t="s">
        <v>1032</v>
      </c>
      <c r="I21" s="8" t="s">
        <v>214</v>
      </c>
    </row>
    <row r="22" customFormat="false" ht="15" hidden="false" customHeight="false" outlineLevel="0" collapsed="false">
      <c r="A22" s="20" t="s">
        <v>1033</v>
      </c>
      <c r="B22" s="8" t="s">
        <v>979</v>
      </c>
      <c r="C22" s="8" t="s">
        <v>1034</v>
      </c>
      <c r="D22" s="8" t="s">
        <v>230</v>
      </c>
      <c r="E22" s="8" t="s">
        <v>1035</v>
      </c>
      <c r="F22" s="8" t="s">
        <v>113</v>
      </c>
      <c r="G22" s="22" t="s">
        <v>9</v>
      </c>
      <c r="H22" s="7" t="s">
        <v>1036</v>
      </c>
      <c r="I22" s="8" t="s">
        <v>1037</v>
      </c>
    </row>
    <row r="23" customFormat="false" ht="15" hidden="false" customHeight="false" outlineLevel="0" collapsed="false">
      <c r="A23" s="20" t="s">
        <v>1038</v>
      </c>
      <c r="B23" s="8" t="s">
        <v>979</v>
      </c>
      <c r="C23" s="8" t="s">
        <v>1039</v>
      </c>
      <c r="D23" s="8" t="s">
        <v>1040</v>
      </c>
      <c r="E23" s="8" t="s">
        <v>1041</v>
      </c>
      <c r="F23" s="8" t="s">
        <v>113</v>
      </c>
      <c r="G23" s="22" t="s">
        <v>9</v>
      </c>
      <c r="H23" s="7" t="s">
        <v>1042</v>
      </c>
      <c r="I23" s="8" t="s">
        <v>737</v>
      </c>
    </row>
    <row r="24" customFormat="false" ht="23.85" hidden="false" customHeight="false" outlineLevel="0" collapsed="false">
      <c r="A24" s="20" t="s">
        <v>1043</v>
      </c>
      <c r="B24" s="8" t="s">
        <v>979</v>
      </c>
      <c r="C24" s="8" t="s">
        <v>1044</v>
      </c>
      <c r="D24" s="8" t="s">
        <v>1045</v>
      </c>
      <c r="E24" s="8" t="s">
        <v>1046</v>
      </c>
      <c r="F24" s="8" t="s">
        <v>118</v>
      </c>
      <c r="G24" s="22" t="s">
        <v>9</v>
      </c>
      <c r="H24" s="7" t="s">
        <v>1047</v>
      </c>
      <c r="I24" s="8" t="s">
        <v>246</v>
      </c>
    </row>
    <row r="25" customFormat="false" ht="15" hidden="false" customHeight="false" outlineLevel="0" collapsed="false">
      <c r="A25" s="20" t="s">
        <v>1048</v>
      </c>
      <c r="B25" s="8" t="s">
        <v>979</v>
      </c>
      <c r="C25" s="8" t="s">
        <v>1049</v>
      </c>
      <c r="D25" s="8" t="s">
        <v>406</v>
      </c>
      <c r="E25" s="8" t="s">
        <v>1050</v>
      </c>
      <c r="F25" s="8" t="s">
        <v>113</v>
      </c>
      <c r="G25" s="22" t="s">
        <v>9</v>
      </c>
      <c r="H25" s="7" t="s">
        <v>1051</v>
      </c>
      <c r="I25" s="8" t="s">
        <v>1052</v>
      </c>
    </row>
    <row r="26" customFormat="false" ht="15" hidden="false" customHeight="false" outlineLevel="0" collapsed="false">
      <c r="A26" s="20" t="s">
        <v>1053</v>
      </c>
      <c r="B26" s="8" t="s">
        <v>979</v>
      </c>
      <c r="C26" s="8" t="s">
        <v>1054</v>
      </c>
      <c r="D26" s="8" t="s">
        <v>1055</v>
      </c>
      <c r="E26" s="8" t="s">
        <v>1056</v>
      </c>
      <c r="F26" s="8" t="s">
        <v>113</v>
      </c>
      <c r="G26" s="22" t="s">
        <v>9</v>
      </c>
      <c r="H26" s="7" t="s">
        <v>106</v>
      </c>
      <c r="I26" s="8" t="s">
        <v>124</v>
      </c>
    </row>
    <row r="27" customFormat="false" ht="15" hidden="false" customHeight="false" outlineLevel="0" collapsed="false">
      <c r="A27" s="20" t="s">
        <v>1057</v>
      </c>
      <c r="B27" s="8" t="s">
        <v>979</v>
      </c>
      <c r="C27" s="8" t="s">
        <v>1058</v>
      </c>
      <c r="D27" s="8" t="s">
        <v>1059</v>
      </c>
      <c r="E27" s="8" t="s">
        <v>1060</v>
      </c>
      <c r="F27" s="8" t="s">
        <v>113</v>
      </c>
      <c r="G27" s="22" t="s">
        <v>9</v>
      </c>
      <c r="H27" s="7" t="s">
        <v>106</v>
      </c>
      <c r="I27" s="8" t="s">
        <v>792</v>
      </c>
    </row>
  </sheetData>
  <autoFilter ref="A3:I27"/>
  <mergeCells count="1">
    <mergeCell ref="A1:I1"/>
  </mergeCells>
  <dataValidations count="1">
    <dataValidation allowBlank="false" errorStyle="stop" operator="between" showDropDown="false" showErrorMessage="false" showInputMessage="false" sqref="G4:G27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1061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1062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23.85" hidden="false" customHeight="false" outlineLevel="0" collapsed="false">
      <c r="A4" s="20" t="s">
        <v>1063</v>
      </c>
      <c r="B4" s="8" t="s">
        <v>1064</v>
      </c>
      <c r="C4" s="8" t="s">
        <v>1065</v>
      </c>
      <c r="D4" s="8" t="s">
        <v>1066</v>
      </c>
      <c r="E4" s="8" t="s">
        <v>1067</v>
      </c>
      <c r="F4" s="8" t="s">
        <v>118</v>
      </c>
      <c r="G4" s="21" t="s">
        <v>8</v>
      </c>
      <c r="H4" s="7" t="s">
        <v>1068</v>
      </c>
      <c r="I4" s="8" t="s">
        <v>246</v>
      </c>
    </row>
    <row r="5" customFormat="false" ht="15" hidden="false" customHeight="false" outlineLevel="0" collapsed="false">
      <c r="A5" s="20" t="s">
        <v>1069</v>
      </c>
      <c r="B5" s="8" t="s">
        <v>1064</v>
      </c>
      <c r="C5" s="8" t="s">
        <v>1070</v>
      </c>
      <c r="D5" s="8" t="s">
        <v>1071</v>
      </c>
      <c r="E5" s="8" t="s">
        <v>1072</v>
      </c>
      <c r="F5" s="8" t="s">
        <v>118</v>
      </c>
      <c r="G5" s="21" t="s">
        <v>8</v>
      </c>
      <c r="H5" s="7" t="s">
        <v>106</v>
      </c>
      <c r="I5" s="8" t="s">
        <v>107</v>
      </c>
    </row>
    <row r="6" customFormat="false" ht="23.85" hidden="false" customHeight="false" outlineLevel="0" collapsed="false">
      <c r="A6" s="20" t="s">
        <v>1073</v>
      </c>
      <c r="B6" s="8" t="s">
        <v>1064</v>
      </c>
      <c r="C6" s="8" t="s">
        <v>1074</v>
      </c>
      <c r="D6" s="8" t="s">
        <v>1075</v>
      </c>
      <c r="E6" s="8" t="s">
        <v>1076</v>
      </c>
      <c r="F6" s="8" t="s">
        <v>1077</v>
      </c>
      <c r="G6" s="21" t="s">
        <v>8</v>
      </c>
      <c r="H6" s="7" t="s">
        <v>1078</v>
      </c>
      <c r="I6" s="8" t="s">
        <v>124</v>
      </c>
    </row>
    <row r="7" customFormat="false" ht="23.85" hidden="false" customHeight="false" outlineLevel="0" collapsed="false">
      <c r="A7" s="20" t="s">
        <v>1079</v>
      </c>
      <c r="B7" s="8" t="s">
        <v>1064</v>
      </c>
      <c r="C7" s="8" t="s">
        <v>1080</v>
      </c>
      <c r="D7" s="8" t="s">
        <v>1081</v>
      </c>
      <c r="E7" s="8" t="s">
        <v>1082</v>
      </c>
      <c r="F7" s="8" t="s">
        <v>625</v>
      </c>
      <c r="G7" s="21" t="s">
        <v>8</v>
      </c>
      <c r="H7" s="7" t="s">
        <v>1083</v>
      </c>
      <c r="I7" s="8" t="s">
        <v>214</v>
      </c>
    </row>
    <row r="8" customFormat="false" ht="15" hidden="false" customHeight="false" outlineLevel="0" collapsed="false">
      <c r="A8" s="20" t="s">
        <v>1084</v>
      </c>
      <c r="B8" s="8" t="s">
        <v>1085</v>
      </c>
      <c r="C8" s="8" t="s">
        <v>1086</v>
      </c>
      <c r="D8" s="8" t="s">
        <v>1087</v>
      </c>
      <c r="E8" s="8" t="s">
        <v>1088</v>
      </c>
      <c r="F8" s="8" t="s">
        <v>113</v>
      </c>
      <c r="G8" s="22" t="s">
        <v>9</v>
      </c>
      <c r="H8" s="7" t="s">
        <v>1089</v>
      </c>
      <c r="I8" s="8" t="s">
        <v>1090</v>
      </c>
    </row>
    <row r="9" customFormat="false" ht="23.85" hidden="false" customHeight="false" outlineLevel="0" collapsed="false">
      <c r="A9" s="20" t="s">
        <v>1091</v>
      </c>
      <c r="B9" s="8" t="s">
        <v>1085</v>
      </c>
      <c r="C9" s="8" t="s">
        <v>1092</v>
      </c>
      <c r="D9" s="8" t="s">
        <v>1093</v>
      </c>
      <c r="E9" s="8" t="s">
        <v>1094</v>
      </c>
      <c r="F9" s="8" t="s">
        <v>113</v>
      </c>
      <c r="G9" s="22" t="s">
        <v>9</v>
      </c>
      <c r="H9" s="7" t="s">
        <v>1095</v>
      </c>
      <c r="I9" s="8" t="s">
        <v>214</v>
      </c>
    </row>
    <row r="10" customFormat="false" ht="15" hidden="false" customHeight="false" outlineLevel="0" collapsed="false">
      <c r="A10" s="20" t="s">
        <v>1096</v>
      </c>
      <c r="B10" s="8" t="s">
        <v>1085</v>
      </c>
      <c r="C10" s="8" t="s">
        <v>1097</v>
      </c>
      <c r="D10" s="8" t="s">
        <v>1098</v>
      </c>
      <c r="E10" s="8" t="s">
        <v>1099</v>
      </c>
      <c r="F10" s="8" t="s">
        <v>113</v>
      </c>
      <c r="G10" s="22" t="s">
        <v>9</v>
      </c>
      <c r="H10" s="7" t="s">
        <v>106</v>
      </c>
      <c r="I10" s="8" t="s">
        <v>107</v>
      </c>
    </row>
    <row r="11" customFormat="false" ht="23.85" hidden="false" customHeight="false" outlineLevel="0" collapsed="false">
      <c r="A11" s="20" t="s">
        <v>1100</v>
      </c>
      <c r="B11" s="8" t="s">
        <v>474</v>
      </c>
      <c r="C11" s="8" t="s">
        <v>1101</v>
      </c>
      <c r="D11" s="8" t="s">
        <v>1102</v>
      </c>
      <c r="E11" s="8" t="s">
        <v>1103</v>
      </c>
      <c r="F11" s="8" t="s">
        <v>118</v>
      </c>
      <c r="G11" s="21" t="s">
        <v>8</v>
      </c>
      <c r="H11" s="7" t="s">
        <v>397</v>
      </c>
      <c r="I11" s="8" t="s">
        <v>398</v>
      </c>
    </row>
    <row r="12" customFormat="false" ht="23.85" hidden="false" customHeight="false" outlineLevel="0" collapsed="false">
      <c r="A12" s="20" t="s">
        <v>1104</v>
      </c>
      <c r="B12" s="8" t="s">
        <v>1105</v>
      </c>
      <c r="C12" s="8" t="s">
        <v>1106</v>
      </c>
      <c r="D12" s="8" t="s">
        <v>1107</v>
      </c>
      <c r="E12" s="8" t="s">
        <v>1108</v>
      </c>
      <c r="F12" s="8" t="s">
        <v>130</v>
      </c>
      <c r="G12" s="22" t="s">
        <v>9</v>
      </c>
      <c r="H12" s="7" t="s">
        <v>1109</v>
      </c>
      <c r="I12" s="8" t="s">
        <v>207</v>
      </c>
    </row>
    <row r="13" customFormat="false" ht="15" hidden="false" customHeight="false" outlineLevel="0" collapsed="false">
      <c r="A13" s="20" t="s">
        <v>1110</v>
      </c>
      <c r="B13" s="8" t="s">
        <v>1105</v>
      </c>
      <c r="C13" s="8" t="s">
        <v>1111</v>
      </c>
      <c r="D13" s="8" t="s">
        <v>1112</v>
      </c>
      <c r="E13" s="8" t="s">
        <v>1113</v>
      </c>
      <c r="F13" s="8" t="s">
        <v>185</v>
      </c>
      <c r="G13" s="23" t="s">
        <v>10</v>
      </c>
      <c r="H13" s="7" t="s">
        <v>106</v>
      </c>
      <c r="I13" s="8" t="s">
        <v>124</v>
      </c>
    </row>
    <row r="14" customFormat="false" ht="15" hidden="false" customHeight="false" outlineLevel="0" collapsed="false">
      <c r="A14" s="20" t="s">
        <v>1114</v>
      </c>
      <c r="B14" s="8" t="s">
        <v>1105</v>
      </c>
      <c r="C14" s="8" t="s">
        <v>1115</v>
      </c>
      <c r="D14" s="8" t="s">
        <v>1116</v>
      </c>
      <c r="E14" s="8" t="s">
        <v>1117</v>
      </c>
      <c r="F14" s="8" t="s">
        <v>185</v>
      </c>
      <c r="G14" s="23" t="s">
        <v>10</v>
      </c>
      <c r="H14" s="7" t="s">
        <v>106</v>
      </c>
      <c r="I14" s="8" t="s">
        <v>124</v>
      </c>
    </row>
  </sheetData>
  <autoFilter ref="A3:I14"/>
  <mergeCells count="1">
    <mergeCell ref="A1:I1"/>
  </mergeCells>
  <dataValidations count="1">
    <dataValidation allowBlank="false" errorStyle="stop" operator="between" showDropDown="false" showErrorMessage="false" showInputMessage="false" sqref="G4:G14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1118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1119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23.85" hidden="false" customHeight="false" outlineLevel="0" collapsed="false">
      <c r="A4" s="20" t="s">
        <v>1120</v>
      </c>
      <c r="B4" s="8" t="s">
        <v>437</v>
      </c>
      <c r="C4" s="8" t="s">
        <v>1121</v>
      </c>
      <c r="D4" s="8" t="s">
        <v>1122</v>
      </c>
      <c r="E4" s="8" t="s">
        <v>1123</v>
      </c>
      <c r="F4" s="8" t="s">
        <v>956</v>
      </c>
      <c r="G4" s="21" t="s">
        <v>8</v>
      </c>
      <c r="H4" s="7" t="s">
        <v>1124</v>
      </c>
      <c r="I4" s="8" t="s">
        <v>1090</v>
      </c>
    </row>
    <row r="5" customFormat="false" ht="23.85" hidden="false" customHeight="false" outlineLevel="0" collapsed="false">
      <c r="A5" s="20" t="s">
        <v>1125</v>
      </c>
      <c r="B5" s="8" t="s">
        <v>437</v>
      </c>
      <c r="C5" s="8" t="s">
        <v>1126</v>
      </c>
      <c r="D5" s="8" t="s">
        <v>1127</v>
      </c>
      <c r="E5" s="8" t="s">
        <v>1128</v>
      </c>
      <c r="F5" s="8" t="s">
        <v>1129</v>
      </c>
      <c r="G5" s="21" t="s">
        <v>8</v>
      </c>
      <c r="H5" s="7" t="s">
        <v>1130</v>
      </c>
      <c r="I5" s="8" t="s">
        <v>154</v>
      </c>
    </row>
    <row r="6" customFormat="false" ht="15" hidden="false" customHeight="false" outlineLevel="0" collapsed="false">
      <c r="A6" s="20" t="s">
        <v>1131</v>
      </c>
      <c r="B6" s="8" t="s">
        <v>437</v>
      </c>
      <c r="C6" s="8" t="s">
        <v>1132</v>
      </c>
      <c r="D6" s="8" t="s">
        <v>1133</v>
      </c>
      <c r="E6" s="8" t="s">
        <v>1134</v>
      </c>
      <c r="F6" s="8" t="s">
        <v>972</v>
      </c>
      <c r="G6" s="21" t="s">
        <v>8</v>
      </c>
      <c r="H6" s="7" t="s">
        <v>1135</v>
      </c>
      <c r="I6" s="8" t="s">
        <v>1090</v>
      </c>
    </row>
    <row r="7" customFormat="false" ht="15" hidden="false" customHeight="false" outlineLevel="0" collapsed="false">
      <c r="A7" s="20" t="s">
        <v>1136</v>
      </c>
      <c r="B7" s="8" t="s">
        <v>437</v>
      </c>
      <c r="C7" s="8" t="s">
        <v>1137</v>
      </c>
      <c r="D7" s="8" t="s">
        <v>1138</v>
      </c>
      <c r="E7" s="8" t="s">
        <v>1139</v>
      </c>
      <c r="F7" s="8" t="s">
        <v>1140</v>
      </c>
      <c r="G7" s="21" t="s">
        <v>8</v>
      </c>
      <c r="H7" s="7" t="s">
        <v>1141</v>
      </c>
      <c r="I7" s="8" t="s">
        <v>370</v>
      </c>
    </row>
    <row r="8" customFormat="false" ht="23.85" hidden="false" customHeight="false" outlineLevel="0" collapsed="false">
      <c r="A8" s="20" t="s">
        <v>1142</v>
      </c>
      <c r="B8" s="8" t="s">
        <v>437</v>
      </c>
      <c r="C8" s="8" t="s">
        <v>1143</v>
      </c>
      <c r="D8" s="8" t="s">
        <v>1144</v>
      </c>
      <c r="E8" s="8" t="s">
        <v>1145</v>
      </c>
      <c r="F8" s="8" t="s">
        <v>956</v>
      </c>
      <c r="G8" s="21" t="s">
        <v>8</v>
      </c>
      <c r="H8" s="7" t="s">
        <v>1146</v>
      </c>
      <c r="I8" s="8" t="s">
        <v>350</v>
      </c>
    </row>
    <row r="9" customFormat="false" ht="23.85" hidden="false" customHeight="false" outlineLevel="0" collapsed="false">
      <c r="A9" s="20" t="s">
        <v>1147</v>
      </c>
      <c r="B9" s="8" t="s">
        <v>1148</v>
      </c>
      <c r="C9" s="8" t="s">
        <v>1149</v>
      </c>
      <c r="D9" s="8" t="s">
        <v>1150</v>
      </c>
      <c r="E9" s="8" t="s">
        <v>1151</v>
      </c>
      <c r="F9" s="8" t="s">
        <v>956</v>
      </c>
      <c r="G9" s="21" t="s">
        <v>8</v>
      </c>
      <c r="H9" s="7" t="s">
        <v>1152</v>
      </c>
      <c r="I9" s="8" t="s">
        <v>398</v>
      </c>
    </row>
    <row r="10" customFormat="false" ht="15" hidden="false" customHeight="false" outlineLevel="0" collapsed="false">
      <c r="A10" s="20" t="s">
        <v>1153</v>
      </c>
      <c r="B10" s="8" t="s">
        <v>1148</v>
      </c>
      <c r="C10" s="8" t="s">
        <v>1154</v>
      </c>
      <c r="D10" s="8" t="s">
        <v>1155</v>
      </c>
      <c r="E10" s="8" t="s">
        <v>1156</v>
      </c>
      <c r="F10" s="8" t="s">
        <v>1157</v>
      </c>
      <c r="G10" s="21" t="s">
        <v>8</v>
      </c>
      <c r="H10" s="7" t="s">
        <v>1158</v>
      </c>
      <c r="I10" s="8" t="s">
        <v>207</v>
      </c>
    </row>
    <row r="11" customFormat="false" ht="23.85" hidden="false" customHeight="false" outlineLevel="0" collapsed="false">
      <c r="A11" s="20" t="s">
        <v>1159</v>
      </c>
      <c r="B11" s="8" t="s">
        <v>1148</v>
      </c>
      <c r="C11" s="8" t="s">
        <v>1160</v>
      </c>
      <c r="D11" s="8" t="s">
        <v>1161</v>
      </c>
      <c r="E11" s="8" t="s">
        <v>1162</v>
      </c>
      <c r="F11" s="8" t="s">
        <v>113</v>
      </c>
      <c r="G11" s="22" t="s">
        <v>9</v>
      </c>
      <c r="H11" s="7" t="s">
        <v>1163</v>
      </c>
      <c r="I11" s="8" t="s">
        <v>246</v>
      </c>
    </row>
    <row r="12" customFormat="false" ht="15" hidden="false" customHeight="false" outlineLevel="0" collapsed="false">
      <c r="A12" s="20" t="s">
        <v>1164</v>
      </c>
      <c r="B12" s="8" t="s">
        <v>1148</v>
      </c>
      <c r="C12" s="8" t="s">
        <v>1165</v>
      </c>
      <c r="D12" s="8" t="s">
        <v>1166</v>
      </c>
      <c r="E12" s="8" t="s">
        <v>1167</v>
      </c>
      <c r="F12" s="8" t="s">
        <v>956</v>
      </c>
      <c r="G12" s="22" t="s">
        <v>9</v>
      </c>
      <c r="H12" s="7" t="s">
        <v>1168</v>
      </c>
      <c r="I12" s="8" t="s">
        <v>737</v>
      </c>
    </row>
    <row r="13" customFormat="false" ht="15" hidden="false" customHeight="false" outlineLevel="0" collapsed="false">
      <c r="A13" s="20" t="s">
        <v>1169</v>
      </c>
      <c r="B13" s="8" t="s">
        <v>1170</v>
      </c>
      <c r="C13" s="8" t="s">
        <v>1171</v>
      </c>
      <c r="D13" s="8" t="s">
        <v>1172</v>
      </c>
      <c r="E13" s="8" t="s">
        <v>1173</v>
      </c>
      <c r="F13" s="8" t="s">
        <v>1174</v>
      </c>
      <c r="G13" s="22" t="s">
        <v>9</v>
      </c>
      <c r="H13" s="7" t="s">
        <v>1175</v>
      </c>
      <c r="I13" s="8" t="s">
        <v>1090</v>
      </c>
    </row>
    <row r="14" customFormat="false" ht="15" hidden="false" customHeight="false" outlineLevel="0" collapsed="false">
      <c r="A14" s="20" t="s">
        <v>1176</v>
      </c>
      <c r="B14" s="8" t="s">
        <v>1170</v>
      </c>
      <c r="C14" s="8" t="s">
        <v>1177</v>
      </c>
      <c r="D14" s="8" t="s">
        <v>429</v>
      </c>
      <c r="E14" s="8" t="s">
        <v>1178</v>
      </c>
      <c r="F14" s="8" t="s">
        <v>972</v>
      </c>
      <c r="G14" s="22" t="s">
        <v>9</v>
      </c>
      <c r="H14" s="7" t="s">
        <v>1179</v>
      </c>
      <c r="I14" s="8" t="s">
        <v>370</v>
      </c>
    </row>
    <row r="15" customFormat="false" ht="15" hidden="false" customHeight="false" outlineLevel="0" collapsed="false">
      <c r="A15" s="20" t="s">
        <v>1180</v>
      </c>
      <c r="B15" s="8" t="s">
        <v>1170</v>
      </c>
      <c r="C15" s="8" t="s">
        <v>1181</v>
      </c>
      <c r="D15" s="8" t="s">
        <v>1182</v>
      </c>
      <c r="E15" s="8" t="s">
        <v>1183</v>
      </c>
      <c r="F15" s="8" t="s">
        <v>113</v>
      </c>
      <c r="G15" s="22" t="s">
        <v>9</v>
      </c>
      <c r="H15" s="7" t="s">
        <v>1184</v>
      </c>
      <c r="I15" s="8" t="s">
        <v>778</v>
      </c>
    </row>
    <row r="16" customFormat="false" ht="23.85" hidden="false" customHeight="false" outlineLevel="0" collapsed="false">
      <c r="A16" s="20" t="s">
        <v>1185</v>
      </c>
      <c r="B16" s="8" t="s">
        <v>1170</v>
      </c>
      <c r="C16" s="8" t="s">
        <v>1186</v>
      </c>
      <c r="D16" s="8" t="s">
        <v>1187</v>
      </c>
      <c r="E16" s="8" t="s">
        <v>1188</v>
      </c>
      <c r="F16" s="8" t="s">
        <v>113</v>
      </c>
      <c r="G16" s="23" t="s">
        <v>10</v>
      </c>
      <c r="H16" s="7" t="s">
        <v>106</v>
      </c>
      <c r="I16" s="8" t="s">
        <v>107</v>
      </c>
    </row>
    <row r="17" customFormat="false" ht="15" hidden="false" customHeight="false" outlineLevel="0" collapsed="false">
      <c r="A17" s="20" t="s">
        <v>1189</v>
      </c>
      <c r="B17" s="8" t="s">
        <v>465</v>
      </c>
      <c r="C17" s="8" t="s">
        <v>1190</v>
      </c>
      <c r="D17" s="8" t="s">
        <v>587</v>
      </c>
      <c r="E17" s="8" t="s">
        <v>1191</v>
      </c>
      <c r="F17" s="8" t="s">
        <v>113</v>
      </c>
      <c r="G17" s="22" t="s">
        <v>9</v>
      </c>
      <c r="H17" s="7" t="s">
        <v>1192</v>
      </c>
      <c r="I17" s="8" t="s">
        <v>124</v>
      </c>
    </row>
    <row r="18" customFormat="false" ht="15" hidden="false" customHeight="false" outlineLevel="0" collapsed="false">
      <c r="A18" s="20" t="s">
        <v>1193</v>
      </c>
      <c r="B18" s="8" t="s">
        <v>465</v>
      </c>
      <c r="C18" s="8" t="s">
        <v>1194</v>
      </c>
      <c r="D18" s="8" t="s">
        <v>391</v>
      </c>
      <c r="E18" s="8" t="s">
        <v>1195</v>
      </c>
      <c r="F18" s="8" t="s">
        <v>956</v>
      </c>
      <c r="G18" s="22" t="s">
        <v>9</v>
      </c>
      <c r="H18" s="7" t="s">
        <v>1196</v>
      </c>
      <c r="I18" s="8" t="s">
        <v>207</v>
      </c>
    </row>
    <row r="19" customFormat="false" ht="23.85" hidden="false" customHeight="false" outlineLevel="0" collapsed="false">
      <c r="A19" s="20" t="s">
        <v>1197</v>
      </c>
      <c r="B19" s="8" t="s">
        <v>1198</v>
      </c>
      <c r="C19" s="8" t="s">
        <v>1199</v>
      </c>
      <c r="D19" s="8" t="s">
        <v>1200</v>
      </c>
      <c r="E19" s="8" t="s">
        <v>1201</v>
      </c>
      <c r="F19" s="8" t="s">
        <v>956</v>
      </c>
      <c r="G19" s="22" t="s">
        <v>9</v>
      </c>
      <c r="H19" s="7" t="s">
        <v>566</v>
      </c>
      <c r="I19" s="8" t="s">
        <v>350</v>
      </c>
    </row>
  </sheetData>
  <autoFilter ref="A3:I19"/>
  <mergeCells count="1">
    <mergeCell ref="A1:I1"/>
  </mergeCells>
  <dataValidations count="1">
    <dataValidation allowBlank="false" errorStyle="stop" operator="between" showDropDown="false" showErrorMessage="false" showInputMessage="false" sqref="G4:G19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1202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1203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15" hidden="false" customHeight="false" outlineLevel="0" collapsed="false">
      <c r="A4" s="20" t="s">
        <v>1204</v>
      </c>
      <c r="B4" s="8" t="s">
        <v>1205</v>
      </c>
      <c r="C4" s="8" t="s">
        <v>1206</v>
      </c>
      <c r="D4" s="8" t="s">
        <v>1207</v>
      </c>
      <c r="E4" s="8" t="s">
        <v>1208</v>
      </c>
      <c r="F4" s="8" t="s">
        <v>1209</v>
      </c>
      <c r="G4" s="21" t="s">
        <v>8</v>
      </c>
      <c r="H4" s="7" t="s">
        <v>1210</v>
      </c>
      <c r="I4" s="8" t="s">
        <v>207</v>
      </c>
    </row>
    <row r="5" customFormat="false" ht="23.85" hidden="false" customHeight="false" outlineLevel="0" collapsed="false">
      <c r="A5" s="20" t="s">
        <v>1211</v>
      </c>
      <c r="B5" s="8" t="s">
        <v>1205</v>
      </c>
      <c r="C5" s="8" t="s">
        <v>1212</v>
      </c>
      <c r="D5" s="8" t="s">
        <v>1213</v>
      </c>
      <c r="E5" s="8" t="s">
        <v>1214</v>
      </c>
      <c r="F5" s="8" t="s">
        <v>1215</v>
      </c>
      <c r="G5" s="22" t="s">
        <v>9</v>
      </c>
      <c r="H5" s="7" t="s">
        <v>106</v>
      </c>
      <c r="I5" s="8" t="s">
        <v>370</v>
      </c>
    </row>
    <row r="6" customFormat="false" ht="15" hidden="false" customHeight="false" outlineLevel="0" collapsed="false">
      <c r="A6" s="20" t="s">
        <v>1216</v>
      </c>
      <c r="B6" s="8" t="s">
        <v>1205</v>
      </c>
      <c r="C6" s="8" t="s">
        <v>1217</v>
      </c>
      <c r="D6" s="8" t="s">
        <v>1218</v>
      </c>
      <c r="E6" s="8" t="s">
        <v>1219</v>
      </c>
      <c r="F6" s="8" t="s">
        <v>224</v>
      </c>
      <c r="G6" s="23" t="s">
        <v>10</v>
      </c>
      <c r="H6" s="7" t="s">
        <v>106</v>
      </c>
      <c r="I6" s="8" t="s">
        <v>370</v>
      </c>
    </row>
    <row r="7" customFormat="false" ht="23.85" hidden="false" customHeight="false" outlineLevel="0" collapsed="false">
      <c r="A7" s="20" t="s">
        <v>1220</v>
      </c>
      <c r="B7" s="8" t="s">
        <v>1221</v>
      </c>
      <c r="C7" s="8" t="s">
        <v>1222</v>
      </c>
      <c r="D7" s="8" t="s">
        <v>1223</v>
      </c>
      <c r="E7" s="8" t="s">
        <v>1224</v>
      </c>
      <c r="F7" s="8" t="s">
        <v>224</v>
      </c>
      <c r="G7" s="22" t="s">
        <v>9</v>
      </c>
      <c r="H7" s="7" t="s">
        <v>1225</v>
      </c>
      <c r="I7" s="8" t="s">
        <v>246</v>
      </c>
    </row>
    <row r="8" customFormat="false" ht="23.85" hidden="false" customHeight="false" outlineLevel="0" collapsed="false">
      <c r="A8" s="20" t="s">
        <v>1226</v>
      </c>
      <c r="B8" s="8" t="s">
        <v>1221</v>
      </c>
      <c r="C8" s="8" t="s">
        <v>1227</v>
      </c>
      <c r="D8" s="8" t="s">
        <v>1228</v>
      </c>
      <c r="E8" s="8" t="s">
        <v>1229</v>
      </c>
      <c r="F8" s="8" t="s">
        <v>224</v>
      </c>
      <c r="G8" s="21" t="s">
        <v>8</v>
      </c>
      <c r="H8" s="7" t="s">
        <v>106</v>
      </c>
      <c r="I8" s="8" t="s">
        <v>154</v>
      </c>
    </row>
    <row r="9" customFormat="false" ht="23.85" hidden="false" customHeight="false" outlineLevel="0" collapsed="false">
      <c r="A9" s="20" t="s">
        <v>1230</v>
      </c>
      <c r="B9" s="8" t="s">
        <v>1221</v>
      </c>
      <c r="C9" s="8" t="s">
        <v>1231</v>
      </c>
      <c r="D9" s="8" t="s">
        <v>1232</v>
      </c>
      <c r="E9" s="8" t="s">
        <v>1233</v>
      </c>
      <c r="F9" s="8" t="s">
        <v>113</v>
      </c>
      <c r="G9" s="22" t="s">
        <v>9</v>
      </c>
      <c r="H9" s="7" t="s">
        <v>106</v>
      </c>
      <c r="I9" s="8" t="s">
        <v>100</v>
      </c>
    </row>
    <row r="10" customFormat="false" ht="15" hidden="false" customHeight="false" outlineLevel="0" collapsed="false">
      <c r="A10" s="20" t="s">
        <v>1234</v>
      </c>
      <c r="B10" s="8" t="s">
        <v>1221</v>
      </c>
      <c r="C10" s="8" t="s">
        <v>1235</v>
      </c>
      <c r="D10" s="8" t="s">
        <v>1236</v>
      </c>
      <c r="E10" s="8" t="s">
        <v>1237</v>
      </c>
      <c r="F10" s="8" t="s">
        <v>1238</v>
      </c>
      <c r="G10" s="22" t="s">
        <v>9</v>
      </c>
      <c r="H10" s="7" t="s">
        <v>106</v>
      </c>
      <c r="I10" s="8" t="s">
        <v>154</v>
      </c>
    </row>
    <row r="11" customFormat="false" ht="15" hidden="false" customHeight="false" outlineLevel="0" collapsed="false">
      <c r="A11" s="20" t="s">
        <v>1239</v>
      </c>
      <c r="B11" s="8" t="s">
        <v>1221</v>
      </c>
      <c r="C11" s="8" t="s">
        <v>1240</v>
      </c>
      <c r="D11" s="8" t="s">
        <v>1241</v>
      </c>
      <c r="E11" s="8" t="s">
        <v>1242</v>
      </c>
      <c r="F11" s="8" t="s">
        <v>1243</v>
      </c>
      <c r="G11" s="22" t="s">
        <v>9</v>
      </c>
      <c r="H11" s="7" t="s">
        <v>106</v>
      </c>
      <c r="I11" s="8" t="s">
        <v>370</v>
      </c>
    </row>
    <row r="12" customFormat="false" ht="23.85" hidden="false" customHeight="false" outlineLevel="0" collapsed="false">
      <c r="A12" s="20" t="s">
        <v>1244</v>
      </c>
      <c r="B12" s="8" t="s">
        <v>485</v>
      </c>
      <c r="C12" s="8" t="s">
        <v>1245</v>
      </c>
      <c r="D12" s="8" t="s">
        <v>1246</v>
      </c>
      <c r="E12" s="8" t="s">
        <v>1247</v>
      </c>
      <c r="F12" s="8" t="s">
        <v>736</v>
      </c>
      <c r="G12" s="21" t="s">
        <v>8</v>
      </c>
      <c r="H12" s="7" t="s">
        <v>1248</v>
      </c>
      <c r="I12" s="8" t="s">
        <v>207</v>
      </c>
    </row>
    <row r="13" customFormat="false" ht="15" hidden="false" customHeight="false" outlineLevel="0" collapsed="false">
      <c r="A13" s="20" t="s">
        <v>1249</v>
      </c>
      <c r="B13" s="8" t="s">
        <v>485</v>
      </c>
      <c r="C13" s="8" t="s">
        <v>541</v>
      </c>
      <c r="D13" s="8" t="s">
        <v>1250</v>
      </c>
      <c r="E13" s="8" t="s">
        <v>1251</v>
      </c>
      <c r="F13" s="8" t="s">
        <v>113</v>
      </c>
      <c r="G13" s="22" t="s">
        <v>9</v>
      </c>
      <c r="H13" s="7" t="s">
        <v>106</v>
      </c>
      <c r="I13" s="8" t="s">
        <v>370</v>
      </c>
    </row>
    <row r="14" customFormat="false" ht="23.85" hidden="false" customHeight="false" outlineLevel="0" collapsed="false">
      <c r="A14" s="20" t="s">
        <v>1252</v>
      </c>
      <c r="B14" s="8" t="s">
        <v>170</v>
      </c>
      <c r="C14" s="8" t="s">
        <v>1253</v>
      </c>
      <c r="D14" s="8" t="s">
        <v>1254</v>
      </c>
      <c r="E14" s="8" t="s">
        <v>1255</v>
      </c>
      <c r="F14" s="8" t="s">
        <v>224</v>
      </c>
      <c r="G14" s="22" t="s">
        <v>9</v>
      </c>
      <c r="H14" s="7" t="s">
        <v>1256</v>
      </c>
      <c r="I14" s="8" t="s">
        <v>398</v>
      </c>
    </row>
    <row r="15" customFormat="false" ht="15" hidden="false" customHeight="false" outlineLevel="0" collapsed="false">
      <c r="A15" s="20" t="s">
        <v>1257</v>
      </c>
      <c r="B15" s="8" t="s">
        <v>1258</v>
      </c>
      <c r="C15" s="8" t="s">
        <v>1259</v>
      </c>
      <c r="D15" s="8" t="s">
        <v>1260</v>
      </c>
      <c r="E15" s="8" t="s">
        <v>1261</v>
      </c>
      <c r="F15" s="8" t="s">
        <v>113</v>
      </c>
      <c r="G15" s="22" t="s">
        <v>9</v>
      </c>
      <c r="H15" s="7" t="s">
        <v>106</v>
      </c>
      <c r="I15" s="8" t="s">
        <v>1262</v>
      </c>
    </row>
  </sheetData>
  <autoFilter ref="A3:I15"/>
  <mergeCells count="1">
    <mergeCell ref="A1:I1"/>
  </mergeCells>
  <dataValidations count="1">
    <dataValidation allowBlank="false" errorStyle="stop" operator="between" showDropDown="false" showErrorMessage="false" showInputMessage="false" sqref="G4:G15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8" min="7" style="0" width="13"/>
    <col collapsed="false" customWidth="true" hidden="false" outlineLevel="0" max="9" min="9" style="0" width="22"/>
  </cols>
  <sheetData>
    <row r="1" customFormat="false" ht="17.15" hidden="false" customHeight="false" outlineLevel="0" collapsed="false">
      <c r="A1" s="19" t="s">
        <v>1263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" t="s">
        <v>1264</v>
      </c>
    </row>
    <row r="3" customFormat="false" ht="33.75" hidden="false" customHeight="true" outlineLevel="0" collapsed="false">
      <c r="A3" s="3" t="s">
        <v>2</v>
      </c>
      <c r="B3" s="3" t="s">
        <v>85</v>
      </c>
      <c r="C3" s="3" t="s">
        <v>86</v>
      </c>
      <c r="D3" s="3" t="s">
        <v>87</v>
      </c>
      <c r="E3" s="3" t="s">
        <v>88</v>
      </c>
      <c r="F3" s="3" t="s">
        <v>89</v>
      </c>
      <c r="G3" s="3" t="s">
        <v>90</v>
      </c>
      <c r="H3" s="3" t="s">
        <v>91</v>
      </c>
      <c r="I3" s="3" t="s">
        <v>92</v>
      </c>
    </row>
    <row r="4" customFormat="false" ht="23.85" hidden="false" customHeight="false" outlineLevel="0" collapsed="false">
      <c r="A4" s="20" t="s">
        <v>1265</v>
      </c>
      <c r="B4" s="8" t="s">
        <v>1266</v>
      </c>
      <c r="C4" s="8" t="s">
        <v>1267</v>
      </c>
      <c r="D4" s="8" t="s">
        <v>1268</v>
      </c>
      <c r="E4" s="8" t="s">
        <v>1269</v>
      </c>
      <c r="F4" s="8" t="s">
        <v>1270</v>
      </c>
      <c r="G4" s="22" t="s">
        <v>9</v>
      </c>
      <c r="H4" s="7" t="s">
        <v>1271</v>
      </c>
      <c r="I4" s="8" t="s">
        <v>370</v>
      </c>
    </row>
    <row r="5" customFormat="false" ht="15" hidden="false" customHeight="false" outlineLevel="0" collapsed="false">
      <c r="A5" s="20" t="s">
        <v>1272</v>
      </c>
      <c r="B5" s="8" t="s">
        <v>1266</v>
      </c>
      <c r="C5" s="8" t="s">
        <v>1273</v>
      </c>
      <c r="D5" s="8" t="s">
        <v>1274</v>
      </c>
      <c r="E5" s="8" t="s">
        <v>1275</v>
      </c>
      <c r="F5" s="8" t="s">
        <v>113</v>
      </c>
      <c r="G5" s="22" t="s">
        <v>9</v>
      </c>
      <c r="H5" s="7" t="s">
        <v>1276</v>
      </c>
      <c r="I5" s="8" t="s">
        <v>207</v>
      </c>
    </row>
    <row r="6" customFormat="false" ht="15" hidden="false" customHeight="false" outlineLevel="0" collapsed="false">
      <c r="A6" s="20" t="s">
        <v>1277</v>
      </c>
      <c r="B6" s="8" t="s">
        <v>1278</v>
      </c>
      <c r="C6" s="8" t="s">
        <v>1279</v>
      </c>
      <c r="D6" s="8" t="s">
        <v>1280</v>
      </c>
      <c r="E6" s="8" t="s">
        <v>1281</v>
      </c>
      <c r="F6" s="8" t="s">
        <v>130</v>
      </c>
      <c r="G6" s="22" t="s">
        <v>9</v>
      </c>
      <c r="H6" s="7" t="s">
        <v>503</v>
      </c>
      <c r="I6" s="8" t="s">
        <v>124</v>
      </c>
    </row>
    <row r="7" customFormat="false" ht="15" hidden="false" customHeight="false" outlineLevel="0" collapsed="false">
      <c r="A7" s="20" t="s">
        <v>1282</v>
      </c>
      <c r="B7" s="8" t="s">
        <v>1278</v>
      </c>
      <c r="C7" s="8" t="s">
        <v>1283</v>
      </c>
      <c r="D7" s="8" t="s">
        <v>1284</v>
      </c>
      <c r="E7" s="8" t="s">
        <v>1285</v>
      </c>
      <c r="F7" s="8" t="s">
        <v>113</v>
      </c>
      <c r="G7" s="22" t="s">
        <v>9</v>
      </c>
      <c r="H7" s="7" t="s">
        <v>106</v>
      </c>
      <c r="I7" s="8" t="s">
        <v>124</v>
      </c>
    </row>
    <row r="8" customFormat="false" ht="23.85" hidden="false" customHeight="false" outlineLevel="0" collapsed="false">
      <c r="A8" s="20" t="s">
        <v>1286</v>
      </c>
      <c r="B8" s="8" t="s">
        <v>1287</v>
      </c>
      <c r="C8" s="8" t="s">
        <v>1288</v>
      </c>
      <c r="D8" s="8" t="s">
        <v>1289</v>
      </c>
      <c r="E8" s="8" t="s">
        <v>1290</v>
      </c>
      <c r="F8" s="8" t="s">
        <v>1291</v>
      </c>
      <c r="G8" s="21" t="s">
        <v>8</v>
      </c>
      <c r="H8" s="7" t="s">
        <v>1292</v>
      </c>
      <c r="I8" s="8" t="s">
        <v>263</v>
      </c>
    </row>
    <row r="9" customFormat="false" ht="23.85" hidden="false" customHeight="false" outlineLevel="0" collapsed="false">
      <c r="A9" s="20" t="s">
        <v>1293</v>
      </c>
      <c r="B9" s="8" t="s">
        <v>1287</v>
      </c>
      <c r="C9" s="8" t="s">
        <v>1294</v>
      </c>
      <c r="D9" s="8" t="s">
        <v>1295</v>
      </c>
      <c r="E9" s="8" t="s">
        <v>1296</v>
      </c>
      <c r="F9" s="8" t="s">
        <v>1077</v>
      </c>
      <c r="G9" s="21" t="s">
        <v>8</v>
      </c>
      <c r="H9" s="7" t="s">
        <v>1297</v>
      </c>
      <c r="I9" s="8" t="s">
        <v>124</v>
      </c>
    </row>
    <row r="10" customFormat="false" ht="15" hidden="false" customHeight="false" outlineLevel="0" collapsed="false">
      <c r="A10" s="20" t="s">
        <v>1298</v>
      </c>
      <c r="B10" s="8" t="s">
        <v>1287</v>
      </c>
      <c r="C10" s="8" t="s">
        <v>1299</v>
      </c>
      <c r="D10" s="8" t="s">
        <v>1300</v>
      </c>
      <c r="E10" s="8" t="s">
        <v>1301</v>
      </c>
      <c r="F10" s="8" t="s">
        <v>1302</v>
      </c>
      <c r="G10" s="23" t="s">
        <v>10</v>
      </c>
      <c r="H10" s="7" t="s">
        <v>1303</v>
      </c>
      <c r="I10" s="8" t="s">
        <v>207</v>
      </c>
    </row>
    <row r="11" customFormat="false" ht="15" hidden="false" customHeight="false" outlineLevel="0" collapsed="false">
      <c r="A11" s="20" t="s">
        <v>1304</v>
      </c>
      <c r="B11" s="8" t="s">
        <v>465</v>
      </c>
      <c r="C11" s="8" t="s">
        <v>1305</v>
      </c>
      <c r="D11" s="8" t="s">
        <v>1306</v>
      </c>
      <c r="E11" s="8" t="s">
        <v>1307</v>
      </c>
      <c r="F11" s="8" t="s">
        <v>1308</v>
      </c>
      <c r="G11" s="22" t="s">
        <v>9</v>
      </c>
      <c r="H11" s="7" t="s">
        <v>1309</v>
      </c>
      <c r="I11" s="8" t="s">
        <v>207</v>
      </c>
    </row>
    <row r="12" customFormat="false" ht="15" hidden="false" customHeight="false" outlineLevel="0" collapsed="false">
      <c r="A12" s="20" t="s">
        <v>1310</v>
      </c>
      <c r="B12" s="8" t="s">
        <v>465</v>
      </c>
      <c r="C12" s="8" t="s">
        <v>1311</v>
      </c>
      <c r="D12" s="8" t="s">
        <v>1312</v>
      </c>
      <c r="E12" s="8" t="s">
        <v>1313</v>
      </c>
      <c r="F12" s="8" t="s">
        <v>113</v>
      </c>
      <c r="G12" s="23" t="s">
        <v>10</v>
      </c>
      <c r="H12" s="7" t="s">
        <v>1314</v>
      </c>
      <c r="I12" s="8" t="s">
        <v>124</v>
      </c>
    </row>
    <row r="13" customFormat="false" ht="23.85" hidden="false" customHeight="false" outlineLevel="0" collapsed="false">
      <c r="A13" s="20" t="s">
        <v>1315</v>
      </c>
      <c r="B13" s="8" t="s">
        <v>465</v>
      </c>
      <c r="C13" s="8" t="s">
        <v>1316</v>
      </c>
      <c r="D13" s="8" t="s">
        <v>1317</v>
      </c>
      <c r="E13" s="8" t="s">
        <v>1318</v>
      </c>
      <c r="F13" s="8" t="s">
        <v>972</v>
      </c>
      <c r="G13" s="23" t="s">
        <v>10</v>
      </c>
      <c r="H13" s="7" t="s">
        <v>1319</v>
      </c>
      <c r="I13" s="8" t="s">
        <v>207</v>
      </c>
    </row>
    <row r="14" customFormat="false" ht="15" hidden="false" customHeight="false" outlineLevel="0" collapsed="false">
      <c r="A14" s="20" t="s">
        <v>1320</v>
      </c>
      <c r="B14" s="8" t="s">
        <v>188</v>
      </c>
      <c r="C14" s="8" t="s">
        <v>1321</v>
      </c>
      <c r="D14" s="8" t="s">
        <v>1322</v>
      </c>
      <c r="E14" s="8" t="s">
        <v>1323</v>
      </c>
      <c r="F14" s="8" t="s">
        <v>185</v>
      </c>
      <c r="G14" s="23" t="s">
        <v>10</v>
      </c>
      <c r="H14" s="7" t="s">
        <v>1324</v>
      </c>
      <c r="I14" s="8" t="s">
        <v>124</v>
      </c>
    </row>
    <row r="15" customFormat="false" ht="15" hidden="false" customHeight="false" outlineLevel="0" collapsed="false">
      <c r="A15" s="20" t="s">
        <v>1325</v>
      </c>
      <c r="B15" s="8" t="s">
        <v>188</v>
      </c>
      <c r="C15" s="8" t="s">
        <v>1326</v>
      </c>
      <c r="D15" s="8" t="s">
        <v>1327</v>
      </c>
      <c r="E15" s="8" t="s">
        <v>1328</v>
      </c>
      <c r="F15" s="8" t="s">
        <v>185</v>
      </c>
      <c r="G15" s="23" t="s">
        <v>10</v>
      </c>
      <c r="H15" s="7" t="s">
        <v>186</v>
      </c>
      <c r="I15" s="8" t="s">
        <v>124</v>
      </c>
    </row>
    <row r="16" customFormat="false" ht="15" hidden="false" customHeight="false" outlineLevel="0" collapsed="false">
      <c r="A16" s="20" t="s">
        <v>1329</v>
      </c>
      <c r="B16" s="8" t="s">
        <v>308</v>
      </c>
      <c r="C16" s="8" t="s">
        <v>1330</v>
      </c>
      <c r="D16" s="8" t="s">
        <v>1331</v>
      </c>
      <c r="E16" s="8" t="s">
        <v>1332</v>
      </c>
      <c r="F16" s="8" t="s">
        <v>113</v>
      </c>
      <c r="G16" s="22" t="s">
        <v>9</v>
      </c>
      <c r="H16" s="7" t="s">
        <v>764</v>
      </c>
      <c r="I16" s="8" t="s">
        <v>124</v>
      </c>
    </row>
  </sheetData>
  <autoFilter ref="A3:I16"/>
  <mergeCells count="1">
    <mergeCell ref="A1:I1"/>
  </mergeCells>
  <dataValidations count="1">
    <dataValidation allowBlank="false" errorStyle="stop" operator="between" showDropDown="false" showErrorMessage="false" showInputMessage="false" sqref="G4:G16" type="list">
      <formula1>"Must,Should,Nice-to-have"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46"/>
  </cols>
  <sheetData>
    <row r="1" customFormat="false" ht="17.15" hidden="false" customHeight="false" outlineLevel="0" collapsed="false">
      <c r="A1" s="19" t="s">
        <v>1333</v>
      </c>
      <c r="B1" s="19"/>
      <c r="C1" s="19"/>
      <c r="D1" s="19"/>
      <c r="E1" s="19"/>
    </row>
    <row r="3" customFormat="false" ht="33.75" hidden="false" customHeight="true" outlineLevel="0" collapsed="false">
      <c r="A3" s="3" t="s">
        <v>1334</v>
      </c>
      <c r="B3" s="3" t="s">
        <v>1335</v>
      </c>
      <c r="C3" s="3" t="s">
        <v>1336</v>
      </c>
      <c r="D3" s="3" t="s">
        <v>1337</v>
      </c>
      <c r="E3" s="3" t="s">
        <v>1338</v>
      </c>
    </row>
    <row r="4" customFormat="false" ht="15" hidden="false" customHeight="false" outlineLevel="0" collapsed="false">
      <c r="A4" s="20" t="s">
        <v>940</v>
      </c>
      <c r="B4" s="8" t="s">
        <v>936</v>
      </c>
      <c r="C4" s="21" t="s">
        <v>8</v>
      </c>
      <c r="D4" s="7" t="s">
        <v>934</v>
      </c>
      <c r="E4" s="8" t="s">
        <v>1339</v>
      </c>
    </row>
    <row r="5" customFormat="false" ht="15" hidden="false" customHeight="false" outlineLevel="0" collapsed="false">
      <c r="A5" s="20" t="s">
        <v>946</v>
      </c>
      <c r="B5" s="8" t="s">
        <v>942</v>
      </c>
      <c r="C5" s="21" t="s">
        <v>8</v>
      </c>
      <c r="D5" s="7" t="s">
        <v>941</v>
      </c>
      <c r="E5" s="8" t="s">
        <v>1339</v>
      </c>
    </row>
    <row r="6" customFormat="false" ht="15" hidden="false" customHeight="false" outlineLevel="0" collapsed="false">
      <c r="A6" s="20" t="s">
        <v>951</v>
      </c>
      <c r="B6" s="8" t="s">
        <v>948</v>
      </c>
      <c r="C6" s="21" t="s">
        <v>8</v>
      </c>
      <c r="D6" s="7" t="s">
        <v>947</v>
      </c>
      <c r="E6" s="8" t="s">
        <v>1339</v>
      </c>
    </row>
    <row r="7" customFormat="false" ht="15" hidden="false" customHeight="false" outlineLevel="0" collapsed="false">
      <c r="A7" s="20" t="s">
        <v>957</v>
      </c>
      <c r="B7" s="8" t="s">
        <v>953</v>
      </c>
      <c r="C7" s="22" t="s">
        <v>9</v>
      </c>
      <c r="D7" s="7" t="s">
        <v>952</v>
      </c>
      <c r="E7" s="8" t="s">
        <v>1339</v>
      </c>
    </row>
    <row r="8" customFormat="false" ht="15" hidden="false" customHeight="false" outlineLevel="0" collapsed="false">
      <c r="A8" s="20" t="s">
        <v>962</v>
      </c>
      <c r="B8" s="8" t="s">
        <v>959</v>
      </c>
      <c r="C8" s="22" t="s">
        <v>9</v>
      </c>
      <c r="D8" s="7" t="s">
        <v>958</v>
      </c>
      <c r="E8" s="8" t="s">
        <v>1339</v>
      </c>
    </row>
    <row r="9" customFormat="false" ht="15" hidden="false" customHeight="false" outlineLevel="0" collapsed="false">
      <c r="A9" s="20" t="s">
        <v>967</v>
      </c>
      <c r="B9" s="8" t="s">
        <v>964</v>
      </c>
      <c r="C9" s="22" t="s">
        <v>9</v>
      </c>
      <c r="D9" s="7" t="s">
        <v>963</v>
      </c>
      <c r="E9" s="8" t="s">
        <v>1339</v>
      </c>
    </row>
    <row r="10" customFormat="false" ht="15" hidden="false" customHeight="false" outlineLevel="0" collapsed="false">
      <c r="A10" s="20" t="s">
        <v>973</v>
      </c>
      <c r="B10" s="8" t="s">
        <v>1340</v>
      </c>
      <c r="C10" s="22" t="s">
        <v>9</v>
      </c>
      <c r="D10" s="7" t="s">
        <v>968</v>
      </c>
      <c r="E10" s="8" t="s">
        <v>1339</v>
      </c>
    </row>
    <row r="11" customFormat="false" ht="15" hidden="false" customHeight="false" outlineLevel="0" collapsed="false">
      <c r="A11" s="20" t="s">
        <v>984</v>
      </c>
      <c r="B11" s="8" t="s">
        <v>1341</v>
      </c>
      <c r="C11" s="21" t="s">
        <v>8</v>
      </c>
      <c r="D11" s="7" t="s">
        <v>978</v>
      </c>
      <c r="E11" s="8" t="s">
        <v>1339</v>
      </c>
    </row>
    <row r="12" customFormat="false" ht="15" hidden="false" customHeight="false" outlineLevel="0" collapsed="false">
      <c r="A12" s="20" t="s">
        <v>990</v>
      </c>
      <c r="B12" s="8" t="s">
        <v>1342</v>
      </c>
      <c r="C12" s="21" t="s">
        <v>8</v>
      </c>
      <c r="D12" s="7" t="s">
        <v>985</v>
      </c>
      <c r="E12" s="8" t="s">
        <v>1339</v>
      </c>
    </row>
    <row r="13" customFormat="false" ht="15" hidden="false" customHeight="false" outlineLevel="0" collapsed="false">
      <c r="A13" s="20" t="s">
        <v>995</v>
      </c>
      <c r="B13" s="8" t="s">
        <v>1343</v>
      </c>
      <c r="C13" s="21" t="s">
        <v>8</v>
      </c>
      <c r="D13" s="7" t="s">
        <v>991</v>
      </c>
      <c r="E13" s="8" t="s">
        <v>1339</v>
      </c>
    </row>
    <row r="14" customFormat="false" ht="15" hidden="false" customHeight="false" outlineLevel="0" collapsed="false">
      <c r="A14" s="20" t="s">
        <v>1001</v>
      </c>
      <c r="B14" s="8" t="s">
        <v>1344</v>
      </c>
      <c r="C14" s="21" t="s">
        <v>8</v>
      </c>
      <c r="D14" s="7" t="s">
        <v>996</v>
      </c>
      <c r="E14" s="8" t="s">
        <v>1339</v>
      </c>
    </row>
    <row r="15" customFormat="false" ht="15" hidden="false" customHeight="false" outlineLevel="0" collapsed="false">
      <c r="A15" s="20" t="s">
        <v>1007</v>
      </c>
      <c r="B15" s="8" t="s">
        <v>1345</v>
      </c>
      <c r="C15" s="21" t="s">
        <v>8</v>
      </c>
      <c r="D15" s="7" t="s">
        <v>1002</v>
      </c>
      <c r="E15" s="8" t="s">
        <v>1339</v>
      </c>
    </row>
    <row r="16" customFormat="false" ht="15" hidden="false" customHeight="false" outlineLevel="0" collapsed="false">
      <c r="A16" s="20" t="s">
        <v>1032</v>
      </c>
      <c r="B16" s="8" t="s">
        <v>1029</v>
      </c>
      <c r="C16" s="22" t="s">
        <v>9</v>
      </c>
      <c r="D16" s="7" t="s">
        <v>1028</v>
      </c>
      <c r="E16" s="8" t="s">
        <v>1339</v>
      </c>
    </row>
    <row r="17" customFormat="false" ht="15" hidden="false" customHeight="false" outlineLevel="0" collapsed="false">
      <c r="A17" s="20" t="s">
        <v>1036</v>
      </c>
      <c r="B17" s="8" t="s">
        <v>1034</v>
      </c>
      <c r="C17" s="22" t="s">
        <v>9</v>
      </c>
      <c r="D17" s="7" t="s">
        <v>1033</v>
      </c>
      <c r="E17" s="8" t="s">
        <v>1339</v>
      </c>
    </row>
    <row r="18" customFormat="false" ht="15" hidden="false" customHeight="false" outlineLevel="0" collapsed="false">
      <c r="A18" s="20" t="s">
        <v>1012</v>
      </c>
      <c r="B18" s="8" t="s">
        <v>1009</v>
      </c>
      <c r="C18" s="21" t="s">
        <v>8</v>
      </c>
      <c r="D18" s="7" t="s">
        <v>1008</v>
      </c>
      <c r="E18" s="8" t="s">
        <v>1339</v>
      </c>
    </row>
    <row r="19" customFormat="false" ht="15" hidden="false" customHeight="false" outlineLevel="0" collapsed="false">
      <c r="A19" s="20" t="s">
        <v>1018</v>
      </c>
      <c r="B19" s="8" t="s">
        <v>1346</v>
      </c>
      <c r="C19" s="21" t="s">
        <v>8</v>
      </c>
      <c r="D19" s="7" t="s">
        <v>1014</v>
      </c>
      <c r="E19" s="8" t="s">
        <v>1339</v>
      </c>
    </row>
    <row r="20" customFormat="false" ht="15" hidden="false" customHeight="false" outlineLevel="0" collapsed="false">
      <c r="A20" s="20" t="s">
        <v>1042</v>
      </c>
      <c r="B20" s="8" t="s">
        <v>1347</v>
      </c>
      <c r="C20" s="22" t="s">
        <v>9</v>
      </c>
      <c r="D20" s="7" t="s">
        <v>1038</v>
      </c>
      <c r="E20" s="8" t="s">
        <v>1339</v>
      </c>
    </row>
    <row r="21" customFormat="false" ht="15" hidden="false" customHeight="false" outlineLevel="0" collapsed="false">
      <c r="A21" s="20" t="s">
        <v>1047</v>
      </c>
      <c r="B21" s="8" t="s">
        <v>1348</v>
      </c>
      <c r="C21" s="22" t="s">
        <v>9</v>
      </c>
      <c r="D21" s="7" t="s">
        <v>1043</v>
      </c>
      <c r="E21" s="8" t="s">
        <v>1339</v>
      </c>
    </row>
    <row r="22" customFormat="false" ht="15" hidden="false" customHeight="false" outlineLevel="0" collapsed="false">
      <c r="A22" s="20" t="s">
        <v>1023</v>
      </c>
      <c r="B22" s="8" t="s">
        <v>1349</v>
      </c>
      <c r="C22" s="21" t="s">
        <v>8</v>
      </c>
      <c r="D22" s="7" t="s">
        <v>1019</v>
      </c>
      <c r="E22" s="8" t="s">
        <v>1339</v>
      </c>
    </row>
    <row r="23" customFormat="false" ht="15" hidden="false" customHeight="false" outlineLevel="0" collapsed="false">
      <c r="A23" s="20" t="s">
        <v>1051</v>
      </c>
      <c r="B23" s="8" t="s">
        <v>1350</v>
      </c>
      <c r="C23" s="22" t="s">
        <v>9</v>
      </c>
      <c r="D23" s="7" t="s">
        <v>1048</v>
      </c>
      <c r="E23" s="8" t="s">
        <v>1339</v>
      </c>
    </row>
    <row r="24" customFormat="false" ht="23.85" hidden="false" customHeight="false" outlineLevel="0" collapsed="false">
      <c r="A24" s="20" t="s">
        <v>791</v>
      </c>
      <c r="B24" s="8" t="s">
        <v>1351</v>
      </c>
      <c r="C24" s="21" t="s">
        <v>8</v>
      </c>
      <c r="D24" s="7" t="s">
        <v>1352</v>
      </c>
      <c r="E24" s="8" t="s">
        <v>1353</v>
      </c>
    </row>
    <row r="25" customFormat="false" ht="15" hidden="false" customHeight="false" outlineLevel="0" collapsed="false">
      <c r="A25" s="20" t="s">
        <v>320</v>
      </c>
      <c r="B25" s="8" t="s">
        <v>317</v>
      </c>
      <c r="C25" s="21" t="s">
        <v>8</v>
      </c>
      <c r="D25" s="7" t="s">
        <v>315</v>
      </c>
      <c r="E25" s="8" t="s">
        <v>1354</v>
      </c>
    </row>
    <row r="26" customFormat="false" ht="15" hidden="false" customHeight="false" outlineLevel="0" collapsed="false">
      <c r="A26" s="20" t="s">
        <v>1109</v>
      </c>
      <c r="B26" s="8" t="s">
        <v>1355</v>
      </c>
      <c r="C26" s="22" t="s">
        <v>9</v>
      </c>
      <c r="D26" s="7" t="s">
        <v>1104</v>
      </c>
      <c r="E26" s="8" t="s">
        <v>1356</v>
      </c>
    </row>
    <row r="27" customFormat="false" ht="15" hidden="false" customHeight="false" outlineLevel="0" collapsed="false">
      <c r="A27" s="20" t="s">
        <v>326</v>
      </c>
      <c r="B27" s="8" t="s">
        <v>322</v>
      </c>
      <c r="C27" s="21" t="s">
        <v>8</v>
      </c>
      <c r="D27" s="7" t="s">
        <v>321</v>
      </c>
      <c r="E27" s="8" t="s">
        <v>1354</v>
      </c>
    </row>
    <row r="28" customFormat="false" ht="15" hidden="false" customHeight="false" outlineLevel="0" collapsed="false">
      <c r="A28" s="20" t="s">
        <v>1068</v>
      </c>
      <c r="B28" s="8" t="s">
        <v>1357</v>
      </c>
      <c r="C28" s="21" t="s">
        <v>8</v>
      </c>
      <c r="D28" s="7" t="s">
        <v>1063</v>
      </c>
      <c r="E28" s="8" t="s">
        <v>1356</v>
      </c>
    </row>
    <row r="29" customFormat="false" ht="15" hidden="false" customHeight="false" outlineLevel="0" collapsed="false">
      <c r="A29" s="20" t="s">
        <v>1089</v>
      </c>
      <c r="B29" s="8" t="s">
        <v>1086</v>
      </c>
      <c r="C29" s="22" t="s">
        <v>9</v>
      </c>
      <c r="D29" s="7" t="s">
        <v>1084</v>
      </c>
      <c r="E29" s="8" t="s">
        <v>1356</v>
      </c>
    </row>
    <row r="30" customFormat="false" ht="15" hidden="false" customHeight="false" outlineLevel="0" collapsed="false">
      <c r="A30" s="20" t="s">
        <v>1078</v>
      </c>
      <c r="B30" s="8" t="s">
        <v>1074</v>
      </c>
      <c r="C30" s="21" t="s">
        <v>8</v>
      </c>
      <c r="D30" s="7" t="s">
        <v>1073</v>
      </c>
      <c r="E30" s="8" t="s">
        <v>1356</v>
      </c>
    </row>
    <row r="31" customFormat="false" ht="15" hidden="false" customHeight="false" outlineLevel="0" collapsed="false">
      <c r="A31" s="20" t="s">
        <v>1083</v>
      </c>
      <c r="B31" s="8" t="s">
        <v>1358</v>
      </c>
      <c r="C31" s="21" t="s">
        <v>8</v>
      </c>
      <c r="D31" s="7" t="s">
        <v>1079</v>
      </c>
      <c r="E31" s="8" t="s">
        <v>1356</v>
      </c>
    </row>
    <row r="32" customFormat="false" ht="15" hidden="false" customHeight="false" outlineLevel="0" collapsed="false">
      <c r="A32" s="20" t="s">
        <v>1095</v>
      </c>
      <c r="B32" s="8" t="s">
        <v>1359</v>
      </c>
      <c r="C32" s="22" t="s">
        <v>9</v>
      </c>
      <c r="D32" s="7" t="s">
        <v>1091</v>
      </c>
      <c r="E32" s="8" t="s">
        <v>1356</v>
      </c>
    </row>
    <row r="33" customFormat="false" ht="15" hidden="false" customHeight="false" outlineLevel="0" collapsed="false">
      <c r="A33" s="20" t="s">
        <v>535</v>
      </c>
      <c r="B33" s="8" t="s">
        <v>1360</v>
      </c>
      <c r="C33" s="22" t="s">
        <v>9</v>
      </c>
      <c r="D33" s="7" t="s">
        <v>531</v>
      </c>
      <c r="E33" s="8" t="s">
        <v>1361</v>
      </c>
    </row>
    <row r="34" customFormat="false" ht="15" hidden="false" customHeight="false" outlineLevel="0" collapsed="false">
      <c r="A34" s="20" t="s">
        <v>332</v>
      </c>
      <c r="B34" s="8" t="s">
        <v>1362</v>
      </c>
      <c r="C34" s="21" t="s">
        <v>8</v>
      </c>
      <c r="D34" s="7" t="s">
        <v>327</v>
      </c>
      <c r="E34" s="8" t="s">
        <v>1354</v>
      </c>
    </row>
    <row r="35" customFormat="false" ht="15" hidden="false" customHeight="false" outlineLevel="0" collapsed="false">
      <c r="A35" s="20" t="s">
        <v>338</v>
      </c>
      <c r="B35" s="8" t="s">
        <v>1363</v>
      </c>
      <c r="C35" s="21" t="s">
        <v>8</v>
      </c>
      <c r="D35" s="7" t="s">
        <v>333</v>
      </c>
      <c r="E35" s="8" t="s">
        <v>1354</v>
      </c>
    </row>
    <row r="36" customFormat="false" ht="15" hidden="false" customHeight="false" outlineLevel="0" collapsed="false">
      <c r="A36" s="20" t="s">
        <v>419</v>
      </c>
      <c r="B36" s="8" t="s">
        <v>1364</v>
      </c>
      <c r="C36" s="23" t="s">
        <v>10</v>
      </c>
      <c r="D36" s="7" t="s">
        <v>413</v>
      </c>
      <c r="E36" s="8" t="s">
        <v>1354</v>
      </c>
    </row>
    <row r="37" customFormat="false" ht="15" hidden="false" customHeight="false" outlineLevel="0" collapsed="false">
      <c r="A37" s="20" t="s">
        <v>375</v>
      </c>
      <c r="B37" s="8" t="s">
        <v>372</v>
      </c>
      <c r="C37" s="22" t="s">
        <v>9</v>
      </c>
      <c r="D37" s="7" t="s">
        <v>371</v>
      </c>
      <c r="E37" s="8" t="s">
        <v>1354</v>
      </c>
    </row>
    <row r="38" customFormat="false" ht="15" hidden="false" customHeight="false" outlineLevel="0" collapsed="false">
      <c r="A38" s="20" t="s">
        <v>349</v>
      </c>
      <c r="B38" s="8" t="s">
        <v>1365</v>
      </c>
      <c r="C38" s="21" t="s">
        <v>8</v>
      </c>
      <c r="D38" s="7" t="s">
        <v>343</v>
      </c>
      <c r="E38" s="8" t="s">
        <v>1354</v>
      </c>
    </row>
    <row r="39" customFormat="false" ht="15" hidden="false" customHeight="false" outlineLevel="0" collapsed="false">
      <c r="A39" s="20" t="s">
        <v>384</v>
      </c>
      <c r="B39" s="8" t="s">
        <v>1366</v>
      </c>
      <c r="C39" s="22" t="s">
        <v>9</v>
      </c>
      <c r="D39" s="7" t="s">
        <v>380</v>
      </c>
      <c r="E39" s="8" t="s">
        <v>1354</v>
      </c>
    </row>
    <row r="40" customFormat="false" ht="23.85" hidden="false" customHeight="false" outlineLevel="0" collapsed="false">
      <c r="A40" s="20" t="s">
        <v>397</v>
      </c>
      <c r="B40" s="8" t="s">
        <v>1367</v>
      </c>
      <c r="C40" s="21" t="s">
        <v>8</v>
      </c>
      <c r="D40" s="7" t="s">
        <v>1368</v>
      </c>
      <c r="E40" s="8" t="s">
        <v>1369</v>
      </c>
    </row>
    <row r="41" customFormat="false" ht="15" hidden="false" customHeight="false" outlineLevel="0" collapsed="false">
      <c r="A41" s="20" t="s">
        <v>412</v>
      </c>
      <c r="B41" s="8" t="s">
        <v>1370</v>
      </c>
      <c r="C41" s="22" t="s">
        <v>9</v>
      </c>
      <c r="D41" s="7" t="s">
        <v>408</v>
      </c>
      <c r="E41" s="8" t="s">
        <v>1354</v>
      </c>
    </row>
    <row r="42" customFormat="false" ht="15" hidden="false" customHeight="false" outlineLevel="0" collapsed="false">
      <c r="A42" s="20" t="s">
        <v>1124</v>
      </c>
      <c r="B42" s="8" t="s">
        <v>1371</v>
      </c>
      <c r="C42" s="21" t="s">
        <v>8</v>
      </c>
      <c r="D42" s="7" t="s">
        <v>1120</v>
      </c>
      <c r="E42" s="8" t="s">
        <v>1372</v>
      </c>
    </row>
    <row r="43" customFormat="false" ht="15" hidden="false" customHeight="false" outlineLevel="0" collapsed="false">
      <c r="A43" s="20" t="s">
        <v>1130</v>
      </c>
      <c r="B43" s="8" t="s">
        <v>1373</v>
      </c>
      <c r="C43" s="21" t="s">
        <v>8</v>
      </c>
      <c r="D43" s="7" t="s">
        <v>1125</v>
      </c>
      <c r="E43" s="8" t="s">
        <v>1372</v>
      </c>
    </row>
    <row r="44" customFormat="false" ht="15" hidden="false" customHeight="false" outlineLevel="0" collapsed="false">
      <c r="A44" s="20" t="s">
        <v>1175</v>
      </c>
      <c r="B44" s="8" t="s">
        <v>1374</v>
      </c>
      <c r="C44" s="22" t="s">
        <v>9</v>
      </c>
      <c r="D44" s="7" t="s">
        <v>1169</v>
      </c>
      <c r="E44" s="8" t="s">
        <v>1372</v>
      </c>
    </row>
    <row r="45" customFormat="false" ht="15" hidden="false" customHeight="false" outlineLevel="0" collapsed="false">
      <c r="A45" s="20" t="s">
        <v>1135</v>
      </c>
      <c r="B45" s="8" t="s">
        <v>1132</v>
      </c>
      <c r="C45" s="21" t="s">
        <v>8</v>
      </c>
      <c r="D45" s="7" t="s">
        <v>1131</v>
      </c>
      <c r="E45" s="8" t="s">
        <v>1372</v>
      </c>
    </row>
    <row r="46" customFormat="false" ht="15" hidden="false" customHeight="false" outlineLevel="0" collapsed="false">
      <c r="A46" s="20" t="s">
        <v>1179</v>
      </c>
      <c r="B46" s="8" t="s">
        <v>1177</v>
      </c>
      <c r="C46" s="22" t="s">
        <v>9</v>
      </c>
      <c r="D46" s="7" t="s">
        <v>1176</v>
      </c>
      <c r="E46" s="8" t="s">
        <v>1372</v>
      </c>
    </row>
    <row r="47" customFormat="false" ht="15" hidden="false" customHeight="false" outlineLevel="0" collapsed="false">
      <c r="A47" s="20" t="s">
        <v>1141</v>
      </c>
      <c r="B47" s="8" t="s">
        <v>1137</v>
      </c>
      <c r="C47" s="21" t="s">
        <v>8</v>
      </c>
      <c r="D47" s="7" t="s">
        <v>1136</v>
      </c>
      <c r="E47" s="8" t="s">
        <v>1372</v>
      </c>
    </row>
    <row r="48" customFormat="false" ht="15" hidden="false" customHeight="false" outlineLevel="0" collapsed="false">
      <c r="A48" s="20" t="s">
        <v>1146</v>
      </c>
      <c r="B48" s="8" t="s">
        <v>1375</v>
      </c>
      <c r="C48" s="21" t="s">
        <v>8</v>
      </c>
      <c r="D48" s="7" t="s">
        <v>1142</v>
      </c>
      <c r="E48" s="8" t="s">
        <v>1372</v>
      </c>
    </row>
    <row r="49" customFormat="false" ht="15" hidden="false" customHeight="false" outlineLevel="0" collapsed="false">
      <c r="A49" s="20" t="s">
        <v>1184</v>
      </c>
      <c r="B49" s="8" t="s">
        <v>1376</v>
      </c>
      <c r="C49" s="22" t="s">
        <v>9</v>
      </c>
      <c r="D49" s="7" t="s">
        <v>1180</v>
      </c>
      <c r="E49" s="8" t="s">
        <v>1372</v>
      </c>
    </row>
    <row r="50" customFormat="false" ht="15" hidden="false" customHeight="false" outlineLevel="0" collapsed="false">
      <c r="A50" s="20" t="s">
        <v>1163</v>
      </c>
      <c r="B50" s="8" t="s">
        <v>1160</v>
      </c>
      <c r="C50" s="22" t="s">
        <v>9</v>
      </c>
      <c r="D50" s="7" t="s">
        <v>1159</v>
      </c>
      <c r="E50" s="8" t="s">
        <v>1372</v>
      </c>
    </row>
    <row r="51" customFormat="false" ht="15" hidden="false" customHeight="false" outlineLevel="0" collapsed="false">
      <c r="A51" s="20" t="s">
        <v>1152</v>
      </c>
      <c r="B51" s="8" t="s">
        <v>1149</v>
      </c>
      <c r="C51" s="21" t="s">
        <v>8</v>
      </c>
      <c r="D51" s="7" t="s">
        <v>1147</v>
      </c>
      <c r="E51" s="8" t="s">
        <v>1372</v>
      </c>
    </row>
    <row r="52" customFormat="false" ht="15" hidden="false" customHeight="false" outlineLevel="0" collapsed="false">
      <c r="A52" s="20" t="s">
        <v>1158</v>
      </c>
      <c r="B52" s="8" t="s">
        <v>1377</v>
      </c>
      <c r="C52" s="21" t="s">
        <v>8</v>
      </c>
      <c r="D52" s="7" t="s">
        <v>1153</v>
      </c>
      <c r="E52" s="8" t="s">
        <v>1372</v>
      </c>
    </row>
    <row r="53" customFormat="false" ht="15" hidden="false" customHeight="false" outlineLevel="0" collapsed="false">
      <c r="A53" s="20" t="s">
        <v>1168</v>
      </c>
      <c r="B53" s="8" t="s">
        <v>1165</v>
      </c>
      <c r="C53" s="22" t="s">
        <v>9</v>
      </c>
      <c r="D53" s="7" t="s">
        <v>1164</v>
      </c>
      <c r="E53" s="8" t="s">
        <v>1372</v>
      </c>
    </row>
    <row r="54" customFormat="false" ht="15" hidden="false" customHeight="false" outlineLevel="0" collapsed="false">
      <c r="A54" s="20" t="s">
        <v>1192</v>
      </c>
      <c r="B54" s="8" t="s">
        <v>1378</v>
      </c>
      <c r="C54" s="22" t="s">
        <v>9</v>
      </c>
      <c r="D54" s="7" t="s">
        <v>1189</v>
      </c>
      <c r="E54" s="8" t="s">
        <v>1372</v>
      </c>
    </row>
    <row r="55" customFormat="false" ht="15" hidden="false" customHeight="false" outlineLevel="0" collapsed="false">
      <c r="A55" s="20" t="s">
        <v>1196</v>
      </c>
      <c r="B55" s="8" t="s">
        <v>1194</v>
      </c>
      <c r="C55" s="22" t="s">
        <v>9</v>
      </c>
      <c r="D55" s="7" t="s">
        <v>1193</v>
      </c>
      <c r="E55" s="8" t="s">
        <v>1372</v>
      </c>
    </row>
    <row r="56" customFormat="false" ht="23.85" hidden="false" customHeight="false" outlineLevel="0" collapsed="false">
      <c r="A56" s="20" t="s">
        <v>566</v>
      </c>
      <c r="B56" s="8" t="s">
        <v>1379</v>
      </c>
      <c r="C56" s="23" t="s">
        <v>10</v>
      </c>
      <c r="D56" s="7" t="s">
        <v>1380</v>
      </c>
      <c r="E56" s="8" t="s">
        <v>1381</v>
      </c>
    </row>
    <row r="57" customFormat="false" ht="15" hidden="false" customHeight="false" outlineLevel="0" collapsed="false">
      <c r="A57" s="20" t="s">
        <v>200</v>
      </c>
      <c r="B57" s="8" t="s">
        <v>1382</v>
      </c>
      <c r="C57" s="21" t="s">
        <v>8</v>
      </c>
      <c r="D57" s="7" t="s">
        <v>194</v>
      </c>
      <c r="E57" s="8" t="s">
        <v>1383</v>
      </c>
    </row>
    <row r="58" customFormat="false" ht="15" hidden="false" customHeight="false" outlineLevel="0" collapsed="false">
      <c r="A58" s="20" t="s">
        <v>213</v>
      </c>
      <c r="B58" s="8" t="s">
        <v>1384</v>
      </c>
      <c r="C58" s="21" t="s">
        <v>8</v>
      </c>
      <c r="D58" s="7" t="s">
        <v>208</v>
      </c>
      <c r="E58" s="8" t="s">
        <v>1383</v>
      </c>
    </row>
    <row r="59" customFormat="false" ht="15" hidden="false" customHeight="false" outlineLevel="0" collapsed="false">
      <c r="A59" s="20" t="s">
        <v>232</v>
      </c>
      <c r="B59" s="8" t="s">
        <v>229</v>
      </c>
      <c r="C59" s="21" t="s">
        <v>8</v>
      </c>
      <c r="D59" s="7" t="s">
        <v>227</v>
      </c>
      <c r="E59" s="8" t="s">
        <v>1383</v>
      </c>
    </row>
    <row r="60" customFormat="false" ht="15" hidden="false" customHeight="false" outlineLevel="0" collapsed="false">
      <c r="A60" s="20" t="s">
        <v>240</v>
      </c>
      <c r="B60" s="8" t="s">
        <v>236</v>
      </c>
      <c r="C60" s="21" t="s">
        <v>8</v>
      </c>
      <c r="D60" s="7" t="s">
        <v>234</v>
      </c>
      <c r="E60" s="8" t="s">
        <v>1383</v>
      </c>
    </row>
    <row r="61" customFormat="false" ht="15" hidden="false" customHeight="false" outlineLevel="0" collapsed="false">
      <c r="A61" s="20" t="s">
        <v>245</v>
      </c>
      <c r="B61" s="8" t="s">
        <v>1385</v>
      </c>
      <c r="C61" s="21" t="s">
        <v>8</v>
      </c>
      <c r="D61" s="7" t="s">
        <v>241</v>
      </c>
      <c r="E61" s="8" t="s">
        <v>1383</v>
      </c>
    </row>
    <row r="62" customFormat="false" ht="15" hidden="false" customHeight="false" outlineLevel="0" collapsed="false">
      <c r="A62" s="20" t="s">
        <v>262</v>
      </c>
      <c r="B62" s="8" t="s">
        <v>258</v>
      </c>
      <c r="C62" s="21" t="s">
        <v>8</v>
      </c>
      <c r="D62" s="7" t="s">
        <v>257</v>
      </c>
      <c r="E62" s="8" t="s">
        <v>1383</v>
      </c>
    </row>
    <row r="63" customFormat="false" ht="15" hidden="false" customHeight="false" outlineLevel="0" collapsed="false">
      <c r="A63" s="20" t="s">
        <v>251</v>
      </c>
      <c r="B63" s="8" t="s">
        <v>1386</v>
      </c>
      <c r="C63" s="22" t="s">
        <v>9</v>
      </c>
      <c r="D63" s="7" t="s">
        <v>247</v>
      </c>
      <c r="E63" s="8" t="s">
        <v>1383</v>
      </c>
    </row>
    <row r="64" customFormat="false" ht="15" hidden="false" customHeight="false" outlineLevel="0" collapsed="false">
      <c r="A64" s="20" t="s">
        <v>278</v>
      </c>
      <c r="B64" s="8" t="s">
        <v>1387</v>
      </c>
      <c r="C64" s="21" t="s">
        <v>8</v>
      </c>
      <c r="D64" s="7" t="s">
        <v>274</v>
      </c>
      <c r="E64" s="8" t="s">
        <v>1383</v>
      </c>
    </row>
    <row r="65" customFormat="false" ht="15" hidden="false" customHeight="false" outlineLevel="0" collapsed="false">
      <c r="A65" s="20" t="s">
        <v>806</v>
      </c>
      <c r="B65" s="8" t="s">
        <v>1388</v>
      </c>
      <c r="C65" s="21" t="s">
        <v>8</v>
      </c>
      <c r="D65" s="7" t="s">
        <v>801</v>
      </c>
      <c r="E65" s="8" t="s">
        <v>1389</v>
      </c>
    </row>
    <row r="66" customFormat="false" ht="15" hidden="false" customHeight="false" outlineLevel="0" collapsed="false">
      <c r="A66" s="20" t="s">
        <v>830</v>
      </c>
      <c r="B66" s="8" t="s">
        <v>827</v>
      </c>
      <c r="C66" s="21" t="s">
        <v>8</v>
      </c>
      <c r="D66" s="7" t="s">
        <v>825</v>
      </c>
      <c r="E66" s="8" t="s">
        <v>1389</v>
      </c>
    </row>
    <row r="67" customFormat="false" ht="15" hidden="false" customHeight="false" outlineLevel="0" collapsed="false">
      <c r="A67" s="20" t="s">
        <v>820</v>
      </c>
      <c r="B67" s="8" t="s">
        <v>1390</v>
      </c>
      <c r="C67" s="21" t="s">
        <v>8</v>
      </c>
      <c r="D67" s="7" t="s">
        <v>815</v>
      </c>
      <c r="E67" s="8" t="s">
        <v>1389</v>
      </c>
    </row>
    <row r="68" customFormat="false" ht="15" hidden="false" customHeight="false" outlineLevel="0" collapsed="false">
      <c r="A68" s="20" t="s">
        <v>840</v>
      </c>
      <c r="B68" s="8" t="s">
        <v>1391</v>
      </c>
      <c r="C68" s="21" t="s">
        <v>8</v>
      </c>
      <c r="D68" s="7" t="s">
        <v>836</v>
      </c>
      <c r="E68" s="8" t="s">
        <v>1389</v>
      </c>
    </row>
    <row r="69" customFormat="false" ht="15" hidden="false" customHeight="false" outlineLevel="0" collapsed="false">
      <c r="A69" s="20" t="s">
        <v>99</v>
      </c>
      <c r="B69" s="8" t="s">
        <v>1392</v>
      </c>
      <c r="C69" s="21" t="s">
        <v>8</v>
      </c>
      <c r="D69" s="7" t="s">
        <v>93</v>
      </c>
      <c r="E69" s="8" t="s">
        <v>1393</v>
      </c>
    </row>
    <row r="70" customFormat="false" ht="15" hidden="false" customHeight="false" outlineLevel="0" collapsed="false">
      <c r="A70" s="20" t="s">
        <v>180</v>
      </c>
      <c r="B70" s="8" t="s">
        <v>1394</v>
      </c>
      <c r="C70" s="22" t="s">
        <v>9</v>
      </c>
      <c r="D70" s="7" t="s">
        <v>174</v>
      </c>
      <c r="E70" s="8" t="s">
        <v>1393</v>
      </c>
    </row>
    <row r="71" customFormat="false" ht="15" hidden="false" customHeight="false" outlineLevel="0" collapsed="false">
      <c r="A71" s="20" t="s">
        <v>626</v>
      </c>
      <c r="B71" s="8" t="s">
        <v>1395</v>
      </c>
      <c r="C71" s="21" t="s">
        <v>8</v>
      </c>
      <c r="D71" s="7" t="s">
        <v>621</v>
      </c>
      <c r="E71" s="8" t="s">
        <v>1396</v>
      </c>
    </row>
    <row r="72" customFormat="false" ht="15" hidden="false" customHeight="false" outlineLevel="0" collapsed="false">
      <c r="A72" s="20" t="s">
        <v>1248</v>
      </c>
      <c r="B72" s="8" t="s">
        <v>1245</v>
      </c>
      <c r="C72" s="21" t="s">
        <v>8</v>
      </c>
      <c r="D72" s="7" t="s">
        <v>1244</v>
      </c>
      <c r="E72" s="8" t="s">
        <v>1397</v>
      </c>
    </row>
    <row r="73" customFormat="false" ht="15" hidden="false" customHeight="false" outlineLevel="0" collapsed="false">
      <c r="A73" s="20" t="s">
        <v>1210</v>
      </c>
      <c r="B73" s="8" t="s">
        <v>1398</v>
      </c>
      <c r="C73" s="21" t="s">
        <v>8</v>
      </c>
      <c r="D73" s="7" t="s">
        <v>1204</v>
      </c>
      <c r="E73" s="8" t="s">
        <v>1397</v>
      </c>
    </row>
    <row r="74" customFormat="false" ht="15" hidden="false" customHeight="false" outlineLevel="0" collapsed="false">
      <c r="A74" s="20" t="s">
        <v>1225</v>
      </c>
      <c r="B74" s="8" t="s">
        <v>1222</v>
      </c>
      <c r="C74" s="22" t="s">
        <v>9</v>
      </c>
      <c r="D74" s="7" t="s">
        <v>1220</v>
      </c>
      <c r="E74" s="8" t="s">
        <v>1397</v>
      </c>
    </row>
    <row r="75" customFormat="false" ht="15" hidden="false" customHeight="false" outlineLevel="0" collapsed="false">
      <c r="A75" s="20" t="s">
        <v>225</v>
      </c>
      <c r="B75" s="8" t="s">
        <v>1399</v>
      </c>
      <c r="C75" s="22" t="s">
        <v>9</v>
      </c>
      <c r="D75" s="7" t="s">
        <v>220</v>
      </c>
      <c r="E75" s="8" t="s">
        <v>1383</v>
      </c>
    </row>
    <row r="76" customFormat="false" ht="15" hidden="false" customHeight="false" outlineLevel="0" collapsed="false">
      <c r="A76" s="20" t="s">
        <v>782</v>
      </c>
      <c r="B76" s="8" t="s">
        <v>1400</v>
      </c>
      <c r="C76" s="21" t="s">
        <v>8</v>
      </c>
      <c r="D76" s="7" t="s">
        <v>779</v>
      </c>
      <c r="E76" s="8" t="s">
        <v>1401</v>
      </c>
    </row>
    <row r="77" customFormat="false" ht="15" hidden="false" customHeight="false" outlineLevel="0" collapsed="false">
      <c r="A77" s="20" t="s">
        <v>1256</v>
      </c>
      <c r="B77" s="8" t="s">
        <v>1402</v>
      </c>
      <c r="C77" s="22" t="s">
        <v>9</v>
      </c>
      <c r="D77" s="7" t="s">
        <v>1252</v>
      </c>
      <c r="E77" s="8" t="s">
        <v>1397</v>
      </c>
    </row>
    <row r="78" customFormat="false" ht="15" hidden="false" customHeight="false" outlineLevel="0" collapsed="false">
      <c r="A78" s="20" t="s">
        <v>1271</v>
      </c>
      <c r="B78" s="8" t="s">
        <v>1267</v>
      </c>
      <c r="C78" s="22" t="s">
        <v>9</v>
      </c>
      <c r="D78" s="7" t="s">
        <v>1265</v>
      </c>
      <c r="E78" s="8" t="s">
        <v>1403</v>
      </c>
    </row>
    <row r="79" customFormat="false" ht="15" hidden="false" customHeight="false" outlineLevel="0" collapsed="false">
      <c r="A79" s="20" t="s">
        <v>1276</v>
      </c>
      <c r="B79" s="8" t="s">
        <v>1273</v>
      </c>
      <c r="C79" s="22" t="s">
        <v>9</v>
      </c>
      <c r="D79" s="7" t="s">
        <v>1272</v>
      </c>
      <c r="E79" s="8" t="s">
        <v>1403</v>
      </c>
    </row>
    <row r="80" customFormat="false" ht="23.85" hidden="false" customHeight="false" outlineLevel="0" collapsed="false">
      <c r="A80" s="20" t="s">
        <v>503</v>
      </c>
      <c r="B80" s="8" t="s">
        <v>1404</v>
      </c>
      <c r="C80" s="22" t="s">
        <v>9</v>
      </c>
      <c r="D80" s="7" t="s">
        <v>1405</v>
      </c>
      <c r="E80" s="8" t="s">
        <v>1406</v>
      </c>
    </row>
    <row r="81" customFormat="false" ht="15" hidden="false" customHeight="false" outlineLevel="0" collapsed="false">
      <c r="A81" s="20" t="s">
        <v>517</v>
      </c>
      <c r="B81" s="8" t="s">
        <v>1407</v>
      </c>
      <c r="C81" s="22" t="s">
        <v>9</v>
      </c>
      <c r="D81" s="7" t="s">
        <v>513</v>
      </c>
      <c r="E81" s="8" t="s">
        <v>1361</v>
      </c>
    </row>
    <row r="82" customFormat="false" ht="15" hidden="false" customHeight="false" outlineLevel="0" collapsed="false">
      <c r="A82" s="20" t="s">
        <v>1292</v>
      </c>
      <c r="B82" s="8" t="s">
        <v>1408</v>
      </c>
      <c r="C82" s="21" t="s">
        <v>8</v>
      </c>
      <c r="D82" s="7" t="s">
        <v>1286</v>
      </c>
      <c r="E82" s="8" t="s">
        <v>1403</v>
      </c>
    </row>
    <row r="83" customFormat="false" ht="15" hidden="false" customHeight="false" outlineLevel="0" collapsed="false">
      <c r="A83" s="20" t="s">
        <v>1297</v>
      </c>
      <c r="B83" s="8" t="s">
        <v>1409</v>
      </c>
      <c r="C83" s="21" t="s">
        <v>8</v>
      </c>
      <c r="D83" s="7" t="s">
        <v>1293</v>
      </c>
      <c r="E83" s="8" t="s">
        <v>1403</v>
      </c>
    </row>
    <row r="84" customFormat="false" ht="15" hidden="false" customHeight="false" outlineLevel="0" collapsed="false">
      <c r="A84" s="20" t="s">
        <v>702</v>
      </c>
      <c r="B84" s="8" t="s">
        <v>1410</v>
      </c>
      <c r="C84" s="22" t="s">
        <v>9</v>
      </c>
      <c r="D84" s="7" t="s">
        <v>697</v>
      </c>
      <c r="E84" s="8" t="s">
        <v>1401</v>
      </c>
    </row>
    <row r="85" customFormat="false" ht="15" hidden="false" customHeight="false" outlineLevel="0" collapsed="false">
      <c r="A85" s="20" t="s">
        <v>526</v>
      </c>
      <c r="B85" s="8" t="s">
        <v>1411</v>
      </c>
      <c r="C85" s="22" t="s">
        <v>9</v>
      </c>
      <c r="D85" s="7" t="s">
        <v>522</v>
      </c>
      <c r="E85" s="8" t="s">
        <v>1361</v>
      </c>
    </row>
    <row r="86" customFormat="false" ht="15" hidden="false" customHeight="false" outlineLevel="0" collapsed="false">
      <c r="A86" s="20" t="s">
        <v>1309</v>
      </c>
      <c r="B86" s="8" t="s">
        <v>1305</v>
      </c>
      <c r="C86" s="22" t="s">
        <v>9</v>
      </c>
      <c r="D86" s="7" t="s">
        <v>1304</v>
      </c>
      <c r="E86" s="8" t="s">
        <v>1403</v>
      </c>
    </row>
    <row r="87" customFormat="false" ht="15" hidden="false" customHeight="false" outlineLevel="0" collapsed="false">
      <c r="A87" s="20" t="s">
        <v>1314</v>
      </c>
      <c r="B87" s="8" t="s">
        <v>1412</v>
      </c>
      <c r="C87" s="23" t="s">
        <v>10</v>
      </c>
      <c r="D87" s="7" t="s">
        <v>1310</v>
      </c>
      <c r="E87" s="8" t="s">
        <v>1403</v>
      </c>
    </row>
    <row r="88" customFormat="false" ht="15" hidden="false" customHeight="false" outlineLevel="0" collapsed="false">
      <c r="A88" s="20" t="s">
        <v>1319</v>
      </c>
      <c r="B88" s="8" t="s">
        <v>1316</v>
      </c>
      <c r="C88" s="23" t="s">
        <v>10</v>
      </c>
      <c r="D88" s="7" t="s">
        <v>1315</v>
      </c>
      <c r="E88" s="8" t="s">
        <v>1403</v>
      </c>
    </row>
    <row r="89" customFormat="false" ht="15" hidden="false" customHeight="false" outlineLevel="0" collapsed="false">
      <c r="A89" s="20" t="s">
        <v>1303</v>
      </c>
      <c r="B89" s="8" t="s">
        <v>1413</v>
      </c>
      <c r="C89" s="23" t="s">
        <v>10</v>
      </c>
      <c r="D89" s="7" t="s">
        <v>1298</v>
      </c>
      <c r="E89" s="8" t="s">
        <v>1403</v>
      </c>
    </row>
    <row r="90" customFormat="false" ht="15" hidden="false" customHeight="false" outlineLevel="0" collapsed="false">
      <c r="A90" s="20" t="s">
        <v>777</v>
      </c>
      <c r="B90" s="8" t="s">
        <v>1414</v>
      </c>
      <c r="C90" s="22" t="s">
        <v>9</v>
      </c>
      <c r="D90" s="7" t="s">
        <v>773</v>
      </c>
      <c r="E90" s="8" t="s">
        <v>1401</v>
      </c>
    </row>
    <row r="91" customFormat="false" ht="15" hidden="false" customHeight="false" outlineLevel="0" collapsed="false">
      <c r="A91" s="20" t="s">
        <v>871</v>
      </c>
      <c r="B91" s="8" t="s">
        <v>868</v>
      </c>
      <c r="C91" s="23" t="s">
        <v>10</v>
      </c>
      <c r="D91" s="7" t="s">
        <v>866</v>
      </c>
      <c r="E91" s="8" t="s">
        <v>1389</v>
      </c>
    </row>
    <row r="92" customFormat="false" ht="15" hidden="false" customHeight="false" outlineLevel="0" collapsed="false">
      <c r="A92" s="20" t="s">
        <v>1324</v>
      </c>
      <c r="B92" s="8" t="s">
        <v>1321</v>
      </c>
      <c r="C92" s="23" t="s">
        <v>10</v>
      </c>
      <c r="D92" s="7" t="s">
        <v>1320</v>
      </c>
      <c r="E92" s="8" t="s">
        <v>1403</v>
      </c>
    </row>
    <row r="93" customFormat="false" ht="23.85" hidden="false" customHeight="false" outlineLevel="0" collapsed="false">
      <c r="A93" s="20" t="s">
        <v>186</v>
      </c>
      <c r="B93" s="8" t="s">
        <v>1415</v>
      </c>
      <c r="C93" s="23" t="s">
        <v>10</v>
      </c>
      <c r="D93" s="7" t="s">
        <v>1416</v>
      </c>
      <c r="E93" s="8" t="s">
        <v>1417</v>
      </c>
    </row>
    <row r="94" customFormat="false" ht="23.85" hidden="false" customHeight="false" outlineLevel="0" collapsed="false">
      <c r="A94" s="20" t="s">
        <v>764</v>
      </c>
      <c r="B94" s="8" t="s">
        <v>1418</v>
      </c>
      <c r="C94" s="22" t="s">
        <v>9</v>
      </c>
      <c r="D94" s="7" t="s">
        <v>1419</v>
      </c>
      <c r="E94" s="8" t="s">
        <v>1420</v>
      </c>
    </row>
  </sheetData>
  <autoFilter ref="A3:E94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6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9" t="s">
        <v>1421</v>
      </c>
      <c r="B1" s="19"/>
      <c r="C1" s="19"/>
      <c r="D1" s="19"/>
    </row>
    <row r="3" customFormat="false" ht="33.75" hidden="false" customHeight="true" outlineLevel="0" collapsed="false">
      <c r="A3" s="3" t="s">
        <v>2</v>
      </c>
      <c r="B3" s="3" t="s">
        <v>1422</v>
      </c>
      <c r="C3" s="3" t="s">
        <v>1423</v>
      </c>
      <c r="D3" s="3" t="s">
        <v>1424</v>
      </c>
    </row>
    <row r="4" customFormat="false" ht="15" hidden="false" customHeight="false" outlineLevel="0" collapsed="false">
      <c r="A4" s="7" t="n">
        <v>1</v>
      </c>
      <c r="B4" s="8" t="s">
        <v>1425</v>
      </c>
      <c r="C4" s="8" t="s">
        <v>1426</v>
      </c>
      <c r="D4" s="24" t="s">
        <v>1427</v>
      </c>
    </row>
    <row r="5" customFormat="false" ht="15" hidden="false" customHeight="false" outlineLevel="0" collapsed="false">
      <c r="A5" s="7" t="n">
        <v>2</v>
      </c>
      <c r="B5" s="8" t="s">
        <v>1428</v>
      </c>
      <c r="C5" s="8" t="s">
        <v>1429</v>
      </c>
      <c r="D5" s="24" t="s">
        <v>1430</v>
      </c>
    </row>
    <row r="6" customFormat="false" ht="15" hidden="false" customHeight="false" outlineLevel="0" collapsed="false">
      <c r="A6" s="7" t="n">
        <v>3</v>
      </c>
      <c r="B6" s="8" t="s">
        <v>1431</v>
      </c>
      <c r="C6" s="8" t="s">
        <v>1432</v>
      </c>
      <c r="D6" s="24" t="s">
        <v>1433</v>
      </c>
    </row>
    <row r="7" customFormat="false" ht="15" hidden="false" customHeight="false" outlineLevel="0" collapsed="false">
      <c r="A7" s="7" t="n">
        <v>4</v>
      </c>
      <c r="B7" s="8" t="s">
        <v>1434</v>
      </c>
      <c r="C7" s="8" t="s">
        <v>1435</v>
      </c>
      <c r="D7" s="24" t="s">
        <v>1436</v>
      </c>
    </row>
    <row r="8" customFormat="false" ht="23.85" hidden="false" customHeight="false" outlineLevel="0" collapsed="false">
      <c r="A8" s="7" t="n">
        <v>5</v>
      </c>
      <c r="B8" s="8" t="s">
        <v>1437</v>
      </c>
      <c r="C8" s="8" t="s">
        <v>1438</v>
      </c>
      <c r="D8" s="24" t="s">
        <v>1439</v>
      </c>
    </row>
    <row r="9" customFormat="false" ht="23.85" hidden="false" customHeight="false" outlineLevel="0" collapsed="false">
      <c r="A9" s="7" t="n">
        <v>6</v>
      </c>
      <c r="B9" s="8" t="s">
        <v>1440</v>
      </c>
      <c r="C9" s="8" t="s">
        <v>1441</v>
      </c>
      <c r="D9" s="24" t="s">
        <v>1442</v>
      </c>
    </row>
    <row r="10" customFormat="false" ht="23.85" hidden="false" customHeight="false" outlineLevel="0" collapsed="false">
      <c r="A10" s="7" t="n">
        <v>7</v>
      </c>
      <c r="B10" s="8" t="s">
        <v>1443</v>
      </c>
      <c r="C10" s="8" t="s">
        <v>1444</v>
      </c>
      <c r="D10" s="24" t="s">
        <v>1445</v>
      </c>
    </row>
    <row r="11" customFormat="false" ht="15" hidden="false" customHeight="false" outlineLevel="0" collapsed="false">
      <c r="A11" s="7" t="n">
        <v>8</v>
      </c>
      <c r="B11" s="8" t="s">
        <v>1446</v>
      </c>
      <c r="C11" s="8" t="s">
        <v>1447</v>
      </c>
      <c r="D11" s="24" t="s">
        <v>1448</v>
      </c>
    </row>
    <row r="12" customFormat="false" ht="23.85" hidden="false" customHeight="false" outlineLevel="0" collapsed="false">
      <c r="A12" s="7" t="n">
        <v>9</v>
      </c>
      <c r="B12" s="8" t="s">
        <v>1449</v>
      </c>
      <c r="C12" s="8" t="s">
        <v>1450</v>
      </c>
      <c r="D12" s="24" t="s">
        <v>1451</v>
      </c>
    </row>
    <row r="13" customFormat="false" ht="23.85" hidden="false" customHeight="false" outlineLevel="0" collapsed="false">
      <c r="A13" s="7" t="n">
        <v>10</v>
      </c>
      <c r="B13" s="8" t="s">
        <v>1452</v>
      </c>
      <c r="C13" s="8" t="s">
        <v>1453</v>
      </c>
      <c r="D13" s="24" t="s">
        <v>1454</v>
      </c>
    </row>
    <row r="14" customFormat="false" ht="23.85" hidden="false" customHeight="false" outlineLevel="0" collapsed="false">
      <c r="A14" s="7" t="n">
        <v>11</v>
      </c>
      <c r="B14" s="8" t="s">
        <v>1455</v>
      </c>
      <c r="C14" s="8" t="s">
        <v>1456</v>
      </c>
      <c r="D14" s="24" t="s">
        <v>1457</v>
      </c>
    </row>
    <row r="15" customFormat="false" ht="15" hidden="false" customHeight="false" outlineLevel="0" collapsed="false">
      <c r="A15" s="7" t="n">
        <v>12</v>
      </c>
      <c r="B15" s="8" t="s">
        <v>1458</v>
      </c>
      <c r="C15" s="8" t="s">
        <v>1459</v>
      </c>
      <c r="D15" s="24" t="s">
        <v>1460</v>
      </c>
    </row>
    <row r="16" customFormat="false" ht="15" hidden="false" customHeight="false" outlineLevel="0" collapsed="false">
      <c r="A16" s="7" t="n">
        <v>13</v>
      </c>
      <c r="B16" s="8" t="s">
        <v>1461</v>
      </c>
      <c r="C16" s="8" t="s">
        <v>1462</v>
      </c>
      <c r="D16" s="24" t="s">
        <v>1463</v>
      </c>
    </row>
    <row r="17" customFormat="false" ht="15" hidden="false" customHeight="false" outlineLevel="0" collapsed="false">
      <c r="A17" s="7" t="n">
        <v>14</v>
      </c>
      <c r="B17" s="8" t="s">
        <v>1464</v>
      </c>
      <c r="C17" s="8" t="s">
        <v>1465</v>
      </c>
      <c r="D17" s="24" t="s">
        <v>1466</v>
      </c>
    </row>
    <row r="18" customFormat="false" ht="15" hidden="false" customHeight="false" outlineLevel="0" collapsed="false">
      <c r="A18" s="7" t="n">
        <v>15</v>
      </c>
      <c r="B18" s="8" t="s">
        <v>1467</v>
      </c>
      <c r="C18" s="8" t="s">
        <v>1465</v>
      </c>
      <c r="D18" s="8" t="s">
        <v>370</v>
      </c>
    </row>
    <row r="19" customFormat="false" ht="15" hidden="false" customHeight="false" outlineLevel="0" collapsed="false">
      <c r="A19" s="7" t="n">
        <v>16</v>
      </c>
      <c r="B19" s="8" t="s">
        <v>598</v>
      </c>
      <c r="C19" s="8" t="s">
        <v>1468</v>
      </c>
      <c r="D19" s="8" t="s">
        <v>370</v>
      </c>
    </row>
    <row r="20" customFormat="false" ht="15" hidden="false" customHeight="false" outlineLevel="0" collapsed="false">
      <c r="A20" s="7" t="n">
        <v>17</v>
      </c>
      <c r="B20" s="8" t="s">
        <v>618</v>
      </c>
      <c r="C20" s="8" t="s">
        <v>1469</v>
      </c>
      <c r="D20" s="8" t="s">
        <v>370</v>
      </c>
    </row>
  </sheetData>
  <mergeCells count="1">
    <mergeCell ref="A1:D1"/>
  </mergeCells>
  <hyperlinks>
    <hyperlink ref="D4" r:id="rId1" display="https://www.ratchakitcha.soc.go.th/DATA/PDF/2562/A/069/T_0052.PDF"/>
    <hyperlink ref="D5" r:id="rId2" display="https://www.ratchakitcha.soc.go.th/DATA/PDF/2565/E/140/T_0028.PDF"/>
    <hyperlink ref="D6" r:id="rId3" display="https://www.mdes.go.th/law/detail/6336"/>
    <hyperlink ref="D7" r:id="rId4" display="https://privacymatters.dlapiper.com/2025/02/thailand-pdpcs-clarification-on-personal-data-breach-notification/"/>
    <hyperlink ref="D8" r:id="rId5" display="https://www.pdpc.or.th/2968/"/>
    <hyperlink ref="D9" r:id="rId6" display="https://pdpathailand.com/pdpa/content/article202.php"/>
    <hyperlink ref="D10" r:id="rId7" display="https://www.jorporhnoy.com/newlaw-jan2025/"/>
    <hyperlink ref="D11" r:id="rId8" display="https://pdpathailand.com/news-article/pdpa-mdes-41/"/>
    <hyperlink ref="D12" r:id="rId9" display="https://elaw.tsu.ac.th/laws/1401"/>
    <hyperlink ref="D13" r:id="rId10" display="https://www.pdpc.or.th/2507/"/>
    <hyperlink ref="D14" r:id="rId11" display="https://www.oa.law.chula.ac.th/tdpg-4-0/p/"/>
    <hyperlink ref="D15" r:id="rId12" display="https://www.thaipdf.com/2094-pdpa-template-v1-for-government-data-controller/"/>
    <hyperlink ref="D16" r:id="rId13" display="https://www.bangkokbiznews.com/news/news-update/1027040"/>
    <hyperlink ref="D17" r:id="rId14" display="https://gppc.pdpc.or.th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2026-09-24T17:00:29Z</dcterms:created>
  <dc:creator>openpyxl</dc:creator>
  <dc:description/>
  <dc:language>en-US</dc:language>
  <cp:lastModifiedBy/>
  <dcterms:modified xsi:type="dcterms:W3CDTF">2026-09-25T00:00:32Z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