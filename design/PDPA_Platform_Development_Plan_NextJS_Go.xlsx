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ssumptions" sheetId="2" state="visible" r:id="rId4"/>
    <sheet name="WBS" sheetId="3" state="visible" r:id="rId5"/>
    <sheet name="Task_List" sheetId="4" state="visible" r:id="rId6"/>
    <sheet name="Project_Tasks" sheetId="5" state="visible" r:id="rId7"/>
    <sheet name="Roadmap" sheetId="6" state="visible" r:id="rId8"/>
    <sheet name="Roles_Permissions" sheetId="7" state="visible" r:id="rId9"/>
    <sheet name="Traceability" sheetId="8" state="visible" r:id="rId10"/>
    <sheet name="Architecture" sheetId="9" state="visible" r:id="rId11"/>
    <sheet name="Risks" sheetId="10" state="visible" r:id="rId12"/>
  </sheets>
  <definedNames>
    <definedName function="false" hidden="false" localSheetId="4" name="_xlnm.Print_Titles" vbProcedure="false">Project_Tasks!$4:$4</definedName>
    <definedName function="false" hidden="true" localSheetId="4" name="_xlnm._FilterDatabase" vbProcedure="false">Project_Tasks!$A$4:$P$57</definedName>
    <definedName function="false" hidden="false" localSheetId="9" name="_xlnm.Print_Titles" vbProcedure="false">Risks!$4:$4</definedName>
    <definedName function="false" hidden="false" localSheetId="3" name="_xlnm.Print_Titles" vbProcedure="false">Task_List!$4:$4</definedName>
    <definedName function="false" hidden="true" localSheetId="3" name="_xlnm._FilterDatabase" vbProcedure="false">Task_List!$A$4:$L$1310</definedName>
    <definedName function="false" hidden="false" localSheetId="7" name="_xlnm.Print_Titles" vbProcedure="false">Traceability!$4:$4</definedName>
    <definedName function="false" hidden="true" localSheetId="7" name="_xlnm._FilterDatabase" vbProcedure="false">Traceability!$A$4:$J$247</definedName>
    <definedName function="false" hidden="false" localSheetId="2" name="_xlnm.Print_Titles" vbProcedure="false">WBS!$4:$4</definedName>
    <definedName function="false" hidden="true" localSheetId="2" name="_xlnm._FilterDatabase" vbProcedure="false">WBS!$A$4:$W$279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<sst xmlns="http://schemas.openxmlformats.org/spreadsheetml/2006/main" count="17537" uniqueCount="5650">
  <si>
    <t xml:space="preserve">แผนพัฒนาแพลตฟอร์ม PDPA 15 โมดูล — ภาพรวม (PM / SA) | Next.js + Go</t>
  </si>
  <si>
    <t xml:space="preserve">สร้างจากรายการฟังก์ชัน 243 ข้อ + ผลเทียบ OneTrust + ระบบจัดการผู้ใช้และสิทธิ์ | ตัวเลขทั้งหมดคำนวณจากชีตอื่น</t>
  </si>
  <si>
    <t xml:space="preserve">ตัวชี้วัด</t>
  </si>
  <si>
    <t xml:space="preserve">ค่า</t>
  </si>
  <si>
    <t xml:space="preserve">จำนวน Feature ใน WBS ทั้งหมด</t>
  </si>
  <si>
    <t xml:space="preserve">   ฟังก์ชันจากรายการ 243 ข้อที่มีงานรองรับ</t>
  </si>
  <si>
    <t xml:space="preserve">   Feature ที่ PM/SA เพิ่ม (บริการกลาง + User &amp; Permission)</t>
  </si>
  <si>
    <t xml:space="preserve">   Must / Should / Nice-to-have</t>
  </si>
  <si>
    <t xml:space="preserve">Feature ของระบบจัดการผู้ใช้และสิทธิ์ (Epic IAM)</t>
  </si>
  <si>
    <t xml:space="preserve">Feature ที่ OneTrust ไม่มี (จุดต่าง)</t>
  </si>
  <si>
    <t xml:space="preserve">จำนวน Task ทั้งหมด (Task_List)</t>
  </si>
  <si>
    <t xml:space="preserve">Effort รวม (man-day)</t>
  </si>
  <si>
    <t xml:space="preserve">Effort รวม + contingency (man-day)</t>
  </si>
  <si>
    <t xml:space="preserve">ระยะเวลารวม (sprint)</t>
  </si>
  <si>
    <t xml:space="preserve">ระยะเวลารวม (เดือน โดยประมาณ)</t>
  </si>
  <si>
    <t xml:space="preserve">วันเริ่มโครงการ</t>
  </si>
  <si>
    <t xml:space="preserve">MVP go-live (สิ้นสุด P1)</t>
  </si>
  <si>
    <t xml:space="preserve">เสร็จครบทุก Phase</t>
  </si>
  <si>
    <t xml:space="preserve">ทีมสูงสุด (คน, ไม่รวม Legal/Doc)</t>
  </si>
  <si>
    <t xml:space="preserve">งบตาม effort (บาท, รวม contingency)</t>
  </si>
  <si>
    <t xml:space="preserve">งบทีมเต็มเวลา (บาท)</t>
  </si>
  <si>
    <t xml:space="preserve">สรุปราย Phase</t>
  </si>
  <si>
    <t xml:space="preserve">Phase</t>
  </si>
  <si>
    <t xml:space="preserve">man-day (รวม contingency)</t>
  </si>
  <si>
    <t xml:space="preserve">Sprints</t>
  </si>
  <si>
    <t xml:space="preserve">เริ่ม</t>
  </si>
  <si>
    <t xml:space="preserve">สิ้นสุด</t>
  </si>
  <si>
    <t xml:space="preserve">คอขวด</t>
  </si>
  <si>
    <t xml:space="preserve">P0 – Foundation + User &amp; Permission</t>
  </si>
  <si>
    <t xml:space="preserve">P1 – MVP กฎหมายหลัก</t>
  </si>
  <si>
    <t xml:space="preserve">P2 – Governance &amp; คู่ค้า</t>
  </si>
  <si>
    <t xml:space="preserve">P3 – Should</t>
  </si>
  <si>
    <t xml:space="preserve">P4 – Nice-to-have + AI</t>
  </si>
  <si>
    <t xml:space="preserve">ข้อสังเกตของ PM / SA</t>
  </si>
  <si>
    <t xml:space="preserve">• บริการกลาง (Epic PLT) เป็นฐานของทุกโมดูล — workflow/SLA, form engine, document composer, versioning/approval และ audit ใช้ร่วม 10+ โมดูล จึงอยู่ใน P0 และต้นของ P1</t>
  </si>
  <si>
    <t xml:space="preserve">• User &amp; Permission (Epic IAM): Keycloak ดูแล login / SSO / MFA ส่วน RBAC + ขอบเขตข้อมูลตามหน่วยงานเขียนใน Go และตรวจทุก endpoint ผ่าน x-permission ใน OpenAPI; SSO/ThaID และการปกปิด PII ดึงเข้า P1</t>
  </si>
  <si>
    <t xml:space="preserve">• จุดต่างจาก OneTrust ที่ควรส่งให้ถึงมือลูกค้าเร็ว: DSA/DPA generator (agreement engine เดียว), คลัง RoPA มาตรฐานภาษาไทย, wizard ประกาศ + checklist ม.23, แจ้งเหตุล่าช้า 15 วัน, data center ในไทย</t>
  </si>
  <si>
    <t xml:space="preserve">• ความเสี่ยงที่ต้องจัดการก่อนเริ่ม: หา tech lead Go / Next.js, PoC Keycloak multi-tenant และ ThaID, ย้าย business rule ของระบบ Consent เดิม (FSD V3.2)</t>
  </si>
  <si>
    <t xml:space="preserve">• ปรับกำลังคนราย phase ที่ชีต Assumptions แล้วดูคอลัมน์ 'คอขวด' และตาราง Utilization ในชีต Roadmap เพื่อหาจุดสมดุลระหว่างเวลาและงบ</t>
  </si>
  <si>
    <t xml:space="preserve">วิธีใช้ไฟล์</t>
  </si>
  <si>
    <t xml:space="preserve">• ปรับจำนวนคนราย phase อัตราค่าแรง และสัดส่วน SA/UX/QA ที่ชีต Assumptions → ระยะเวลา งบ และ timeline คำนวณใหม่อัตโนมัติ</t>
  </si>
  <si>
    <t xml:space="preserve">• ปรับขนาดงาน (XS-XL), Priority หรือย้าย Phase ของฟีเจอร์ที่ชีต WBS (ช่องสีเหลือง); คอลัมน์ OneTrust ช่วยจัดลำดับจุดต่าง</t>
  </si>
  <si>
    <t xml:space="preserve">• ชีต Task_List แตกทุกฟีเจอร์เป็นงานราย role (SA / UX / BE-Go / FE-Next.js / QA) พร้อม dependency — ใส่ Sprint และผู้รับผิดชอบได้ แล้ว import เข้า Jira</t>
  </si>
  <si>
    <t xml:space="preserve">• ชีต Roles_Permissions คือแบบร่าง Role (16 บทบาท), Permission matrix และนโยบายความปลอดภัย สำหรับยืนยันกับลูกค้าใน T06</t>
  </si>
  <si>
    <t xml:space="preserve">• ชีต Architecture มีแผนภาพ ADR และ mapping Epic → Go package / Next.js route; ชีต Traceability ยืนยันว่าฟังก์ชันทั้ง 243 ข้อมีงานรองรับ</t>
  </si>
  <si>
    <t xml:space="preserve">สมมติฐานและพารามิเตอร์การประมาณการ</t>
  </si>
  <si>
    <t xml:space="preserve">ช่องสีเหลืองแก้ได้ — ทุกชีตคำนวณใหม่อัตโนมัติ</t>
  </si>
  <si>
    <t xml:space="preserve">พารามิเตอร์</t>
  </si>
  <si>
    <t xml:space="preserve">คำอธิบาย</t>
  </si>
  <si>
    <t xml:space="preserve">วันทำงานต่อ Sprint</t>
  </si>
  <si>
    <t xml:space="preserve">sprint ละ 2 สัปดาห์</t>
  </si>
  <si>
    <t xml:space="preserve">Focus factor</t>
  </si>
  <si>
    <t xml:space="preserve">สัดส่วนเวลาที่ใช้พัฒนาได้จริง (หักประชุม วันหยุด ลา)</t>
  </si>
  <si>
    <t xml:space="preserve">Contingency</t>
  </si>
  <si>
    <t xml:space="preserve">เผื่อความไม่แน่นอนของประมาณการ</t>
  </si>
  <si>
    <t xml:space="preserve">SA (% ของ BE+FE)</t>
  </si>
  <si>
    <t xml:space="preserve">วิเคราะห์ business rules, ERD, OpenAPI spec ต่อฟีเจอร์</t>
  </si>
  <si>
    <t xml:space="preserve">UX (% ของ FE เฉพาะฟีเจอร์ที่มีหน้าจอใหม่)</t>
  </si>
  <si>
    <t xml:space="preserve">ใช้กับฟีเจอร์ที่ช่อง UX = Y</t>
  </si>
  <si>
    <t xml:space="preserve">QA (% ของ BE+FE)</t>
  </si>
  <si>
    <t xml:space="preserve">test case, automated test (Go API / Playwright), regression</t>
  </si>
  <si>
    <t xml:space="preserve">PM: วันต่อ Sprint สำหรับงานบริหารต่อเนื่อง</t>
  </si>
  <si>
    <t xml:space="preserve">ceremonies, status report, steering, risk / issue</t>
  </si>
  <si>
    <t xml:space="preserve">วันจันทร์แรกของ sprint 1</t>
  </si>
  <si>
    <t xml:space="preserve">DevOps: วันต่อ Sprint สำหรับงานต่อเนื่อง</t>
  </si>
  <si>
    <t xml:space="preserve">ดูแล environment, release, monitoring, on-call (ไม่นำไปคำนวณระยะเวลา)</t>
  </si>
  <si>
    <t xml:space="preserve">ขนาดงาน (Size)</t>
  </si>
  <si>
    <t xml:space="preserve">Dev-days</t>
  </si>
  <si>
    <t xml:space="preserve">ตัวอย่าง</t>
  </si>
  <si>
    <t xml:space="preserve">XS</t>
  </si>
  <si>
    <t xml:space="preserve">เพิ่มฟิลด์ / ปรับเล็กน้อย / ใช้บริการกลางเกือบทั้งหมด</t>
  </si>
  <si>
    <t xml:space="preserve">S</t>
  </si>
  <si>
    <t xml:space="preserve">CRUD หน้าจอเดียว</t>
  </si>
  <si>
    <t xml:space="preserve">M</t>
  </si>
  <si>
    <t xml:space="preserve">มี logic หรือหลายหน้าจอ</t>
  </si>
  <si>
    <t xml:space="preserve">L</t>
  </si>
  <si>
    <t xml:space="preserve">ซับซ้อน มี integration หรือ engine ย่อย</t>
  </si>
  <si>
    <t xml:space="preserve">XL</t>
  </si>
  <si>
    <t xml:space="preserve">engine, SDK, scanner, diagram</t>
  </si>
  <si>
    <t xml:space="preserve">-</t>
  </si>
  <si>
    <t xml:space="preserve">ไม่มีงานส่วนนี้</t>
  </si>
  <si>
    <t xml:space="preserve">บทบาท</t>
  </si>
  <si>
    <t xml:space="preserve">คน P0</t>
  </si>
  <si>
    <t xml:space="preserve">คน P1</t>
  </si>
  <si>
    <t xml:space="preserve">คน P2</t>
  </si>
  <si>
    <t xml:space="preserve">คน P3</t>
  </si>
  <si>
    <t xml:space="preserve">คน P4</t>
  </si>
  <si>
    <t xml:space="preserve">อัตรา (บาท/วัน) — ตัวอย่าง</t>
  </si>
  <si>
    <t xml:space="preserve">ใช้คำนวณระยะเวลา</t>
  </si>
  <si>
    <t xml:space="preserve">PM</t>
  </si>
  <si>
    <t xml:space="preserve">ไม่ (ทำคู่ขนาน)</t>
  </si>
  <si>
    <t xml:space="preserve">SA</t>
  </si>
  <si>
    <t xml:space="preserve">ใช่ (คอขวด)</t>
  </si>
  <si>
    <t xml:space="preserve">UX/UI</t>
  </si>
  <si>
    <t xml:space="preserve">Backend (Go)</t>
  </si>
  <si>
    <t xml:space="preserve">Frontend (Next.js)</t>
  </si>
  <si>
    <t xml:space="preserve">QA</t>
  </si>
  <si>
    <t xml:space="preserve">DevOps</t>
  </si>
  <si>
    <t xml:space="preserve">Legal/DPO</t>
  </si>
  <si>
    <t xml:space="preserve">Technical writer</t>
  </si>
  <si>
    <t xml:space="preserve">กำลังคนปรับได้ราย phase (ramp-up / ramp-down) — PM, Legal/DPO และ Doc ไม่ใช้คำนวณระยะเวลาแต่ใช้คำนวณงบ</t>
  </si>
  <si>
    <t xml:space="preserve">สมมติฐานและนอกขอบเขต</t>
  </si>
  <si>
    <t xml:space="preserve">• Stack: Next.js (App Router, TypeScript) สำหรับ admin และ portal; Go (modular monolith) + worker สำหรับ backend; PostgreSQL; Keycloak สำหรับ login/SSO/MFA; Valkey; object storage แบบ S3 — ฐานข้อมูลและ IdP เป็นสมมติฐานที่ปรับได้</t>
  </si>
  <si>
    <t xml:space="preserve">• ระบบ Consent เดิม (.NET + Blazor) ใช้เป็นต้นแบบ domain model และ test case ตาม FSD V3.2 แต่เขียนใหม่ด้วย Go; ย้ายข้อมูลเดิมผ่าน CON-22 และ T26</t>
  </si>
  <si>
    <t xml:space="preserve">• ฟังก์ชันทั้ง 243 ข้อจากไฟล์ 15 โมดูลอยู่ใน WBS ด้วยรหัสเดิม; ฟังก์ชันผู้ใช้และสิทธิ์ ORG-09 ถึง ORG-19 ย้ายมาอยู่ Epic IAM; PLT-xx และ IAM-xx คือ feature ที่ PM/SA เพิ่มเพื่อให้สร้างได้จริง</t>
  </si>
  <si>
    <t xml:space="preserve">• หน่วยประมาณการคือ man-day; BE/FE รวม unit test แล้ว; SA, UX, QA คิดเป็นสัดส่วนของงาน dev ตามพารามิเตอร์ด้านบน</t>
  </si>
  <si>
    <t xml:space="preserve">• ระยะเวลาต่อ phase คำนวณจากบทบาทที่เป็นคอขวด (SA, UX, BE, FE, QA, DevOps) โดยไม่รวม PM, Legal, Doc ซึ่งทำงานคู่ขนาน</t>
  </si>
  <si>
    <t xml:space="preserve">• งานใน phase เดียวกันทำคู่ขนานได้ แต่ phase ถัดไปเริ่มหลัง phase ก่อนหน้าเสร็จ (แผนแบบอนุรักษ์) — ในทางปฏิบัติเริ่มวิเคราะห์ phase ถัดไปได้เร็วกว่านี้</t>
  </si>
  <si>
    <t xml:space="preserve">• เนื้อหากฎหมาย (template, คลังกิจกรรม, clause) จัดทำโดยบทบาท Legal/DPO ใน T15, T34, T40 — ระบบให้เฉพาะกลไก</t>
  </si>
  <si>
    <t xml:space="preserve">• ไม่รวม: ค่า cloud / hardware, ค่า pentest ภายนอก, ค่าที่ปรึกษากฎหมาย, ค่าบริการ e-signature / SMS / LLM, แอปมือถือเต็มรูปแบบ (มีเฉพาะ SDK), support 24x7</t>
  </si>
  <si>
    <t xml:space="preserve">• Mobile SDK (CON-07) ต้องใช้นักพัฒนา iOS / Android ซึ่งอยู่นอกทีม Next.js / Go — ประมาณการเป็นงาน FE และอาจจ้างภายนอก</t>
  </si>
  <si>
    <t xml:space="preserve">• อัตราค่าแรงเป็นตัวอย่างเพื่อคำนวณงบประมาณเท่านั้น ควรแทนด้วยอัตราจริงขององค์กร</t>
  </si>
  <si>
    <t xml:space="preserve">• Sprint ยาว 2 สัปดาห์; วันหยุดนักขัตฤกษ์สะท้อนผ่าน focus factor</t>
  </si>
  <si>
    <t xml:space="preserve">WBS — Epic / Feature พร้อมประมาณการ (man-day)</t>
  </si>
  <si>
    <t xml:space="preserve">ช่องสีเหลือง (Priority, Phase, ขนาดงาน BE/FE, UX) แก้ได้ | SA/UX/QA คำนวณจากสัดส่วนในชีต Assumptions | คอลัมน์ OneTrust มาจากไฟล์เปรียบเทียบ 15 โมดูล (สีแดง = จุดต่าง)</t>
  </si>
  <si>
    <t xml:space="preserve">ID</t>
  </si>
  <si>
    <t xml:space="preserve">Epic</t>
  </si>
  <si>
    <t xml:space="preserve">ชื่อ Epic</t>
  </si>
  <si>
    <t xml:space="preserve">ฟีเจอร์ (TH)</t>
  </si>
  <si>
    <t xml:space="preserve">Feature (EN)</t>
  </si>
  <si>
    <t xml:space="preserve">ที่มา / อ้างอิง</t>
  </si>
  <si>
    <t xml:space="preserve">Priority</t>
  </si>
  <si>
    <t xml:space="preserve">งาน Backend (Go)</t>
  </si>
  <si>
    <t xml:space="preserve">งาน Frontend (Next.js)</t>
  </si>
  <si>
    <t xml:space="preserve">เกณฑ์การยอมรับ (AC)</t>
  </si>
  <si>
    <t xml:space="preserve">ขึ้นกับ</t>
  </si>
  <si>
    <t xml:space="preserve">BE size</t>
  </si>
  <si>
    <t xml:space="preserve">FE size</t>
  </si>
  <si>
    <t xml:space="preserve">UX</t>
  </si>
  <si>
    <t xml:space="preserve">BE (วัน)</t>
  </si>
  <si>
    <t xml:space="preserve">FE (วัน)</t>
  </si>
  <si>
    <t xml:space="preserve">SA (วัน)</t>
  </si>
  <si>
    <t xml:space="preserve">UX (วัน)</t>
  </si>
  <si>
    <t xml:space="preserve">QA (วัน)</t>
  </si>
  <si>
    <t xml:space="preserve">รวม (วัน)</t>
  </si>
  <si>
    <t xml:space="preserve">OneTrust</t>
  </si>
  <si>
    <t xml:space="preserve">หมายเหตุ</t>
  </si>
  <si>
    <t xml:space="preserve">PLT-01</t>
  </si>
  <si>
    <t xml:space="preserve">PLT</t>
  </si>
  <si>
    <t xml:space="preserve">โครงสร้างพื้นฐานแพลตฟอร์ม (Platform Foundation)</t>
  </si>
  <si>
    <t xml:space="preserve">โครงระบบ Go modular monolith + Next.js monorepo</t>
  </si>
  <si>
    <t xml:space="preserve">Solution skeleton</t>
  </si>
  <si>
    <t xml:space="preserve">เพิ่มโดย PM/SA</t>
  </si>
  <si>
    <t xml:space="preserve">Must</t>
  </si>
  <si>
    <t xml:space="preserve">P0</t>
  </si>
  <si>
    <t xml:space="preserve">โครง backend/internal/&lt;module&gt;, chi router + oapi-codegen (OpenAPI-first), pgx + sqlc, goose migration, config, error model RFC 9457, health/readiness, graceful shutdown; binary api / worker / scanner</t>
  </si>
  <si>
    <t xml:space="preserve">Turborepo + pnpm: apps/admin, apps/portal (App Router, TypeScript), packages/ui (shadcn/ui + Tailwind), api-client generate จาก OpenAPI, layout และเมนูตามสิทธิ์</t>
  </si>
  <si>
    <t xml:space="preserve">สร้างโมดูลใหม่จาก template ได้ภายใน 1 วัน; แก้ OpenAPI แล้ว Go stub และ TS client generate ใน CI</t>
  </si>
  <si>
    <t xml:space="preserve">T04, T05</t>
  </si>
  <si>
    <t xml:space="preserve">N</t>
  </si>
  <si>
    <t xml:space="preserve">PLT-02</t>
  </si>
  <si>
    <t xml:space="preserve">Multi-tenant และการแยกข้อมูล</t>
  </si>
  <si>
    <t xml:space="preserve">Multi-tenancy &amp; isolation</t>
  </si>
  <si>
    <t xml:space="preserve">tenant registry, resolver จาก subdomain / custom domain / token, tenant_id ทุกตาราง + PostgreSQL RLS (SET app.tenant_id ต่อ transaction), provisioning (master data, role มาตรฐาน), โหมด DB แยกต่อ tenant</t>
  </si>
  <si>
    <t xml:space="preserve">tenant context ใน middleware ของ Next.js, custom domain ของ portal</t>
  </si>
  <si>
    <t xml:space="preserve">ผู้ใช้ tenant A เข้าถึงข้อมูล tenant B ไม่ได้แม้เรียก API ตรง (automated test ทุก endpoint)</t>
  </si>
  <si>
    <t xml:space="preserve">PLT-03</t>
  </si>
  <si>
    <t xml:space="preserve">ระบบหลายภาษา TH/EN</t>
  </si>
  <si>
    <t xml:space="preserve">Localization (i18n)</t>
  </si>
  <si>
    <t xml:space="preserve">ตาราง translation สำหรับเนื้อหาที่ผู้ใช้สร้าง (ข้อความยินยอม ประกาศ template), Accept-Language, fallback</t>
  </si>
  <si>
    <t xml:space="preserve">next-intl ข้อความ UI TH/EN, วันที่ พ.ศ. / ค.ศ., เขตเวลา Asia/Bangkok, ฟอนต์ไทย</t>
  </si>
  <si>
    <t xml:space="preserve">ทุกหน้าสลับ TH/EN ได้ และวันที่แสดง พ.ศ. ตามการตั้งค่า</t>
  </si>
  <si>
    <t xml:space="preserve">PLT-04</t>
  </si>
  <si>
    <t xml:space="preserve">บริการแจ้งเตือน Email / SMS / LINE / In-app</t>
  </si>
  <si>
    <t xml:space="preserve">Notification service</t>
  </si>
  <si>
    <t xml:space="preserve">template มีตัวแปร (TH/EN), adapter SMTP/SES, SMS gateway ไทย, LINE Messaging API, in-app ผ่าน SSE, ส่งผ่าน River + retry, delivery log, quiet hours</t>
  </si>
  <si>
    <t xml:space="preserve">หน้าจัดการ template พร้อม preview, กระดิ่งแจ้งเตือนใน admin, หน้าสถานะการส่ง</t>
  </si>
  <si>
    <t xml:space="preserve">ส่งล้มเหลวมี retry อัตโนมัติ และตรวจสถานะรายข้อความได้</t>
  </si>
  <si>
    <t xml:space="preserve">PLT-10</t>
  </si>
  <si>
    <t xml:space="preserve">Y</t>
  </si>
  <si>
    <t xml:space="preserve">PLT-05</t>
  </si>
  <si>
    <t xml:space="preserve">Workflow &amp; SLA engine</t>
  </si>
  <si>
    <t xml:space="preserve">Workflow / SLA engine</t>
  </si>
  <si>
    <t xml:space="preserve">state machine กำหนดได้ต่อ tenant (JSON definition), มอบหมายคน/กลุ่ม, SLA timer แบบวันปฏิทิน / วันทำการ / ชั่วโมง พร้อมวันหยุดไทย, reminder และ escalation ด้วย River scheduled job, comment, history</t>
  </si>
  <si>
    <t xml:space="preserve">component กระดานงาน, timeline, ป้าย SLA, หน้าตั้งค่า workflow แบบฟอร์ม</t>
  </si>
  <si>
    <t xml:space="preserve">นับ SLA ถูกต้องเมื่อข้ามวันหยุด และแจ้งเตือนก่อนครบกำหนดตามที่ตั้ง (unit test ครอบคลุมกรณีข้ามวันหยุด)</t>
  </si>
  <si>
    <t xml:space="preserve">PLT-10, ORG-20</t>
  </si>
  <si>
    <t xml:space="preserve">บริการกลางที่ DSAR, Breach, DPIA, Vendor และ Tasks ใช้</t>
  </si>
  <si>
    <t xml:space="preserve">PLT-06</t>
  </si>
  <si>
    <t xml:space="preserve">Form &amp; assessment engine</t>
  </si>
  <si>
    <t xml:space="preserve">Dynamic form &amp; assessment engine</t>
  </si>
  <si>
    <t xml:space="preserve">form schema มีเวอร์ชัน (JSON), ประเภทคำถาม, conditional logic, คะแนน/น้ำหนัก, validation ฝั่ง server, คำตอบ JSONB, มอบหมายผู้ตอบรายส่วน</t>
  </si>
  <si>
    <t xml:space="preserve">Form builder ลากวาง (dnd-kit) + renderer ใช้ร่วม admin และ portal (react-hook-form + zod), preview หลายภาษา</t>
  </si>
  <si>
    <t xml:space="preserve">สร้างแบบประเมินที่มีเงื่อนไขซ่อน/แสดงและคิดคะแนนได้โดยไม่เขียนโค้ด; ทุกโมดูลใช้ renderer เดียวกัน</t>
  </si>
  <si>
    <t xml:space="preserve">ใช้ร่วม: ฟอร์มความยินยอม, คำขอใช้สิทธิ, แจ้งเหตุ, DPIA, คู่ค้า, RoPA, checklist</t>
  </si>
  <si>
    <t xml:space="preserve">PLT-07</t>
  </si>
  <si>
    <t xml:space="preserve">ความเห็น ไฟล์แนบ และไทม์ไลน์กิจกรรม</t>
  </si>
  <si>
    <t xml:space="preserve">Collaboration components</t>
  </si>
  <si>
    <t xml:space="preserve">comment + @mention, ไฟล์แนบ, activity feed ต่อ record แบบ polymorphic, แจ้งเตือนผู้เกี่ยวข้อง</t>
  </si>
  <si>
    <t xml:space="preserve">component ความเห็น / ไฟล์แนบ / ไทม์ไลน์ ใช้ร่วมทุกโมดูล</t>
  </si>
  <si>
    <t xml:space="preserve">ทุกโมดูลใช้ component เดียวกัน และการ mention ส่งแจ้งเตือน</t>
  </si>
  <si>
    <t xml:space="preserve">PLT-09, PLT-12</t>
  </si>
  <si>
    <t xml:space="preserve">PLT-08</t>
  </si>
  <si>
    <t xml:space="preserve">เวอร์ชันและการอนุมัติ</t>
  </si>
  <si>
    <t xml:space="preserve">Versioning &amp; approval framework</t>
  </si>
  <si>
    <t xml:space="preserve">snapshot + diff ของ record, สถานะ ร่าง → รอตรวจ → อนุมัติ → เผยแพร่, ผู้อนุมัติหลายระดับ, maker-checker</t>
  </si>
  <si>
    <t xml:space="preserve">แถบสถานะเวอร์ชัน, หน้าเปรียบเทียบเวอร์ชัน, กล่องงานรออนุมัติ</t>
  </si>
  <si>
    <t xml:space="preserve">record ที่เผยแพร่แล้วแก้ไม่ได้ต้องสร้างเวอร์ชันใหม่; ผู้สร้างอนุมัติงานของตนเองไม่ได้</t>
  </si>
  <si>
    <t xml:space="preserve">PLT-05, PLT-07</t>
  </si>
  <si>
    <t xml:space="preserve">PLT-09</t>
  </si>
  <si>
    <t xml:space="preserve">จัดเก็บไฟล์และสแกนไวรัส</t>
  </si>
  <si>
    <t xml:space="preserve">File storage &amp; AV scan</t>
  </si>
  <si>
    <t xml:space="preserve">S3 API (S3 / SeaweedFS / MinIO), เข้ารหัส, ClamAV, จำกัดชนิดและขนาด, pre-signed URL หมดอายุ, อายุไฟล์</t>
  </si>
  <si>
    <t xml:space="preserve">component อัปโหลด / ดาวน์โหลด (ลากวาง, progress)</t>
  </si>
  <si>
    <t xml:space="preserve">ไฟล์ติดไวรัสถูกปฏิเสธ และลิงก์ดาวน์โหลดหมดอายุตามเวลาที่ตั้ง</t>
  </si>
  <si>
    <t xml:space="preserve">Background jobs และ scheduler</t>
  </si>
  <si>
    <t xml:space="preserve">Job queue &amp; scheduler</t>
  </si>
  <si>
    <t xml:space="preserve">River (job queue บน PostgreSQL): enqueue ใน transaction เดียวกับข้อมูล, retry/backoff, periodic job (cron), unique job, graceful shutdown ใน worker</t>
  </si>
  <si>
    <t xml:space="preserve">หน้าดูสถานะ job สำหรับผู้ดูแลระบบ</t>
  </si>
  <si>
    <t xml:space="preserve">job ที่ล้มเหลวมี retry และแจ้งเตือน; ไม่มี job ซ้ำเมื่อรันหลาย instance</t>
  </si>
  <si>
    <t xml:space="preserve">PLT-11</t>
  </si>
  <si>
    <t xml:space="preserve">Domain events และ outbox</t>
  </si>
  <si>
    <t xml:space="preserve">Domain events &amp; outbox</t>
  </si>
  <si>
    <t xml:space="preserve">transactional outbox, event catalog (consent.changed, ropa.updated, dsar.closed ฯลฯ), subscriber ภายใน, ส่งต่อ webhook / NATS</t>
  </si>
  <si>
    <t xml:space="preserve">event ไม่สูญหายเมื่อระบบล่มกลางคัน (at-least-once + idempotent consumer)</t>
  </si>
  <si>
    <t xml:space="preserve">ใช้เชื่อมโมดูลกัน เช่น ROPA-19, DSAR-21, DFG-02</t>
  </si>
  <si>
    <t xml:space="preserve">PLT-12</t>
  </si>
  <si>
    <t xml:space="preserve">โครงสร้าง Audit log</t>
  </si>
  <si>
    <t xml:space="preserve">Tamper-evident audit log</t>
  </si>
  <si>
    <t xml:space="preserve">event แบบ append-only + hash chain ต่อ tenant, before/after (JSON diff), ผู้ทำ, IP, user agent, partition รายเดือน, นโยบายระยะเวลาเก็บ</t>
  </si>
  <si>
    <t xml:space="preserve">แก้ log ย้อนหลังแล้วการตรวจ hash chain ล้มเหลว</t>
  </si>
  <si>
    <t xml:space="preserve">หน้าดู log คือ ORG-19</t>
  </si>
  <si>
    <t xml:space="preserve">PLT-13</t>
  </si>
  <si>
    <t xml:space="preserve">เข้ารหัสข้อมูลส่วนบุคคลระดับฟิลด์</t>
  </si>
  <si>
    <t xml:space="preserve">PII encryption &amp; key management</t>
  </si>
  <si>
    <t xml:space="preserve">envelope encryption (DEK ต่อ tenant, KEK ใน KMS / OpenBao Transit), blind index (HMAC) สำหรับค้นหาอีเมล / เบอร์ / เลขบัตร, key rotation</t>
  </si>
  <si>
    <t xml:space="preserve">identifier ในฐานข้อมูลอ่านไม่ออกถ้าไม่มี key แต่ยังค้นหาแบบตรงตัวได้</t>
  </si>
  <si>
    <t xml:space="preserve">PLT-14</t>
  </si>
  <si>
    <t xml:space="preserve">Import framework (Excel / CSV)</t>
  </si>
  <si>
    <t xml:space="preserve">Bulk import framework</t>
  </si>
  <si>
    <t xml:space="preserve">import แบบ async: อ่าน Excel/CSV (excelize), map คอลัมน์, validate ทีละแถว, dry-run, รายงานข้อผิดพลาด, rollback</t>
  </si>
  <si>
    <t xml:space="preserve">wizard นำเข้า: อัปโหลด → map คอลัมน์ → ตรวจ → ยืนยัน</t>
  </si>
  <si>
    <t xml:space="preserve">นำเข้า 50,000 แถวได้ และได้ไฟล์รายงานแถวที่ผิดพร้อมเหตุผล</t>
  </si>
  <si>
    <t xml:space="preserve">ใช้ร่วม ORG-08, ORG-09, ROPA-18, CON-22</t>
  </si>
  <si>
    <t xml:space="preserve">PLT-15</t>
  </si>
  <si>
    <t xml:space="preserve">Public API, webhook และ developer portal</t>
  </si>
  <si>
    <t xml:space="preserve">Public API &amp; webhooks</t>
  </si>
  <si>
    <t xml:space="preserve">versioning /v1, OpenAPI 3.1 + เอกสาร, rate limit ต่อ client (Valkey), idempotency key, webhook subscription + HMAC signature + retry / dead-letter</t>
  </si>
  <si>
    <t xml:space="preserve">หน้า developer: เอกสาร API, จัดการ webhook และดู delivery log</t>
  </si>
  <si>
    <t xml:space="preserve">client เกิน rate limit ได้ 429; webhook ที่ล้มเหลวถูกส่งซ้ำตามนโยบาย</t>
  </si>
  <si>
    <t xml:space="preserve">ORG-16, PLT-11</t>
  </si>
  <si>
    <t xml:space="preserve">PLT-16</t>
  </si>
  <si>
    <t xml:space="preserve">Document composer (template + clause + merge field)</t>
  </si>
  <si>
    <t xml:space="preserve">Document composer</t>
  </si>
  <si>
    <t xml:space="preserve">P1</t>
  </si>
  <si>
    <t xml:space="preserve">เก็บเอกสารเป็นโครงสร้าง (ProseMirror JSON) + merge field จากองค์กร / RoPA / คู่ค้า, คลัง clause มีเวอร์ชัน, render HTML → PDF ผ่าน Gotenberg (ฟอนต์ไทย) และสร้าง DOCX, diff ระหว่างเวอร์ชัน</t>
  </si>
  <si>
    <t xml:space="preserve">editor แบบ TipTap: บล็อก clause, merge field, สารบัญ, preview TH/EN, เปรียบเทียบเวอร์ชัน</t>
  </si>
  <si>
    <t xml:space="preserve">เอกสารภาษาไทยส่งออก PDF / Word ได้ตัวอักษรถูกต้อง และเปรียบเทียบสองเวอร์ชันได้</t>
  </si>
  <si>
    <t xml:space="preserve">PLT-06, PLT-08</t>
  </si>
  <si>
    <t xml:space="preserve">ต้องเสร็จใน 2 sprint แรกของ P1; ใช้ร่วมประกาศ, หนังสือตอบคำขอ, แบบแจ้ง สคส., DPA, DSA</t>
  </si>
  <si>
    <t xml:space="preserve">PLT-17</t>
  </si>
  <si>
    <t xml:space="preserve">Public portal framework</t>
  </si>
  <si>
    <t xml:space="preserve">route สาธารณะแยก, CAPTCHA, session ของเจ้าของข้อมูล (OTP / magic link), CSP และ rate limit</t>
  </si>
  <si>
    <t xml:space="preserve">apps/portal: theme ตามแบรนด์ tenant, custom domain, ISR/caching, WCAG 2.1 AA, TH/EN</t>
  </si>
  <si>
    <t xml:space="preserve">หน้า portal หลักผ่านการตรวจ accessibility ระดับ AA และโหลดเสร็จภายใน 2 วินาทีบน 4G</t>
  </si>
  <si>
    <t xml:space="preserve">PLT-02, IAM-05</t>
  </si>
  <si>
    <t xml:space="preserve">PLT-18</t>
  </si>
  <si>
    <t xml:space="preserve">Dashboard &amp; report framework</t>
  </si>
  <si>
    <t xml:space="preserve">Reporting framework</t>
  </si>
  <si>
    <t xml:space="preserve">query / aggregate API กรองตามสิทธิ์, export CSV / Excel (excelize) / PDF แบบ async + ศูนย์ดาวน์โหลด, ตั้งเวลาส่งรายงาน</t>
  </si>
  <si>
    <t xml:space="preserve">widget dashboard ปรับได้ (ECharts), ตัวกรองร่วม, data table (TanStack Table) + ปุ่ม export</t>
  </si>
  <si>
    <t xml:space="preserve">export 100,000 แถวแบบ async และแจ้งเมื่อไฟล์พร้อม; ตัวเลขตรงกับข้อมูลที่ผู้ใช้มีสิทธิ์เห็น</t>
  </si>
  <si>
    <t xml:space="preserve">PLT-10, IAM-02</t>
  </si>
  <si>
    <t xml:space="preserve">PLT-19</t>
  </si>
  <si>
    <t xml:space="preserve">Observability</t>
  </si>
  <si>
    <t xml:space="preserve">Should</t>
  </si>
  <si>
    <t xml:space="preserve">OpenTelemetry (trace / metric / log) ใน Go, Prometheus + Grafana + Loki, alert rules</t>
  </si>
  <si>
    <t xml:space="preserve">instrument Next.js (server + web vitals)</t>
  </si>
  <si>
    <t xml:space="preserve">มี dashboard สุขภาพระบบ และแจ้งเตือนเมื่อ error rate หรือ latency เกินเกณฑ์</t>
  </si>
  <si>
    <t xml:space="preserve">ดึงเข้า P1 เพื่อพร้อม go-live</t>
  </si>
  <si>
    <t xml:space="preserve">PLT-20</t>
  </si>
  <si>
    <t xml:space="preserve">Connector framework</t>
  </si>
  <si>
    <t xml:space="preserve">P3</t>
  </si>
  <si>
    <t xml:space="preserve">Connector SDK ใน Go (test, discover, search subject, update / delete), credential เข้ารหัส, ตั้งเวลา; ชุดแรก PostgreSQL, MySQL, SQL Server, REST ทั่วไป</t>
  </si>
  <si>
    <t xml:space="preserve">หน้าจัดการ connector + ปุ่มทดสอบการเชื่อมต่อ</t>
  </si>
  <si>
    <t xml:space="preserve">เพิ่ม connector ใหม่ได้โดยไม่แก้โมดูลหลัก และทดสอบการเชื่อมต่อจากหน้าจอได้</t>
  </si>
  <si>
    <t xml:space="preserve">ใช้ร่วม DSAR-09, DSAR-12, DFG-09, DPX-13</t>
  </si>
  <si>
    <t xml:space="preserve">PLT-21</t>
  </si>
  <si>
    <t xml:space="preserve">ค้นหาข้ามระบบ</t>
  </si>
  <si>
    <t xml:space="preserve">Global search</t>
  </si>
  <si>
    <t xml:space="preserve">ค้นหาข้าม entity ด้วย PostgreSQL pg_trgm (รองรับภาษาไทย) กรองตามสิทธิ์; ทางเลือก OpenSearch + Thai analyzer เมื่อข้อมูลโต</t>
  </si>
  <si>
    <t xml:space="preserve">ช่องค้นหากลาง (Cmd+K) + ผลลัพธ์แยกประเภท</t>
  </si>
  <si>
    <t xml:space="preserve">ผลค้นหาไม่แสดงข้อมูลที่ผู้ใช้ไม่มีสิทธิ์</t>
  </si>
  <si>
    <t xml:space="preserve">IAM-02</t>
  </si>
  <si>
    <t xml:space="preserve">PLT-22</t>
  </si>
  <si>
    <t xml:space="preserve">AI gateway</t>
  </si>
  <si>
    <t xml:space="preserve">Nice-to-have</t>
  </si>
  <si>
    <t xml:space="preserve">P4</t>
  </si>
  <si>
    <t xml:space="preserve">abstraction ผู้ให้บริการ LLM (API หรือ on-prem ผ่าน vLLM), ปกปิด PII ก่อนส่ง, prompt template มีเวอร์ชัน, โควตา / ค่าใช้จ่ายต่อ tenant, log เพื่อ audit, RAG ด้วย pgvector</t>
  </si>
  <si>
    <t xml:space="preserve">หน้าตั้งค่า AI ต่อ tenant (เปิด/ปิด, เลือก provider), ป้าย 'AI แนะนำ' + ปุ่มยืนยัน</t>
  </si>
  <si>
    <t xml:space="preserve">เมื่อเปิดโหมดปกปิด ไม่มีข้อมูลระบุตัวตนถูกส่งออกนอกระบบ; ผลจาก AI ต้องมีคนยืนยันก่อนบันทึก</t>
  </si>
  <si>
    <t xml:space="preserve">ใช้ร่วม DPIA-18, RTG-13, VEN-15, BRE-17, DPX-11</t>
  </si>
  <si>
    <t xml:space="preserve">IAM-01</t>
  </si>
  <si>
    <t xml:space="preserve">IAM</t>
  </si>
  <si>
    <t xml:space="preserve">ระบบจัดการผู้ใช้และสิทธิ์ (User &amp; Permission)</t>
  </si>
  <si>
    <t xml:space="preserve">Identity provider และ login flow</t>
  </si>
  <si>
    <t xml:space="preserve">Identity provider &amp; login flow</t>
  </si>
  <si>
    <t xml:space="preserve">ติดตั้ง Keycloak (HA), realm / Organizations ต่อ tenant, client ของ admin และ portal, Go middleware ตรวจ JWT (JWKS cache) + map ผู้ใช้ Keycloak ↔ ผู้ใช้ในระบบ, sync event เมื่อผู้ใช้ถูกปิด</t>
  </si>
  <si>
    <t xml:space="preserve">Auth.js (OIDC) แบบ BFF: session ใน httpOnly cookie, refresh token rotation, logout ทั้งระบบ (back-channel); theme หน้า login TH/EN ด้วย Keycloakify</t>
  </si>
  <si>
    <t xml:space="preserve">token ไม่ถูกเปิดเผยใน JavaScript ฝั่ง browser; logout แล้ว session ทุกแท็บสิ้นสุด</t>
  </si>
  <si>
    <t xml:space="preserve">PLT-01, PLT-02</t>
  </si>
  <si>
    <t xml:space="preserve">Permission engine (RBAC + data scope)</t>
  </si>
  <si>
    <t xml:space="preserve">Authorization engine</t>
  </si>
  <si>
    <t xml:space="preserve">permission code module.resource.action, ประกาศสิทธิ์ต่อ endpoint ใน OpenAPI (x-permission) → middleware ตรวจอัตโนมัติ, deny by default, cache permission set ใน Valkey + invalidate ด้วย event, rule ระดับ record (owner / assignee)</t>
  </si>
  <si>
    <t xml:space="preserve">hook และ component &lt;Can&gt; ซ่อน/แสดงเมนูและปุ่ม, route guard ใน middleware ของ Next.js</t>
  </si>
  <si>
    <t xml:space="preserve">เรียก API ที่ไม่มีสิทธิ์ได้ 403 ทุก endpoint (contract test สร้างจาก OpenAPI)</t>
  </si>
  <si>
    <t xml:space="preserve">IAM-03</t>
  </si>
  <si>
    <t xml:space="preserve">Console ผู้ให้บริการ: tenant และแพ็กเกจ</t>
  </si>
  <si>
    <t xml:space="preserve">Tenant &amp; subscription admin</t>
  </si>
  <si>
    <t xml:space="preserve">สร้าง / ระงับ tenant, แพ็กเกจและโมดูลที่เปิดใช้ (feature flag ตาม license), โควตา (ผู้ใช้ โดเมน ธุรกรรม), สร้างผู้ดูแล tenant คนแรก</t>
  </si>
  <si>
    <t xml:space="preserve">console สำหรับผู้ให้บริการแพลตฟอร์ม</t>
  </si>
  <si>
    <t xml:space="preserve">ปิดโมดูลที่ไม่ได้ซื้อแล้วเมนูและ API ของโมดูลนั้นใช้ไม่ได้</t>
  </si>
  <si>
    <t xml:space="preserve">ORG-09</t>
  </si>
  <si>
    <t xml:space="preserve">จัดการผู้ใช้</t>
  </si>
  <si>
    <t xml:space="preserve">User management</t>
  </si>
  <si>
    <t xml:space="preserve">08_Organization | ประกาศมาตรการความปลอดภัย พ.ศ. 2565</t>
  </si>
  <si>
    <t xml:space="preserve">User API: เชิญทางอีเมล (สร้างผู้ใช้ใน Keycloak ผ่าน Admin API + ลิงก์ตั้งรหัสผ่าน), เปิด/ปิดบัญชี (ปิดใน Keycloak + revoke session), ผูกบริษัท/หน่วยงาน, นำเข้าผู้ใช้จาก Excel</t>
  </si>
  <si>
    <t xml:space="preserve">หน้ารายชื่อผู้ใช้ ค้นหา/กรอง, ฟอร์มเพิ่ม/แก้ไข, ส่งคำเชิญซ้ำ, นำเข้า</t>
  </si>
  <si>
    <t xml:space="preserve">ปิดบัญชีแล้ว session ถูกตัดภายใน 1 นาที และทุกการเปลี่ยนแปลงถูกบันทึก audit</t>
  </si>
  <si>
    <t xml:space="preserve">IAM-01, PLT-14</t>
  </si>
  <si>
    <t xml:space="preserve">มี</t>
  </si>
  <si>
    <t xml:space="preserve">ORG-10</t>
  </si>
  <si>
    <t xml:space="preserve">Role และ Permission</t>
  </si>
  <si>
    <t xml:space="preserve">Roles &amp; permissions</t>
  </si>
  <si>
    <t xml:space="preserve">08_Organization | ประกาศมาตรการความปลอดภัย พ.ศ. 2565 (การควบคุมการเข้าถึง)</t>
  </si>
  <si>
    <t xml:space="preserve">role มาตรฐานตามชีต Roles_Permissions (seed ต่อ tenant), custom role, clone role, permission catalog สร้างจาก OpenAPI</t>
  </si>
  <si>
    <t xml:space="preserve">หน้า role + permission matrix แบบ checkbox แยกโมดูลและ action (C/R/U/D/A/P/E/X)</t>
  </si>
  <si>
    <t xml:space="preserve">สร้างหรือแก้ role แล้วสิทธิ์มีผลทันทีโดยไม่ต้อง deploy</t>
  </si>
  <si>
    <t xml:space="preserve">ORG-11</t>
  </si>
  <si>
    <t xml:space="preserve">ขอบเขตข้อมูลตามหน่วยงาน</t>
  </si>
  <si>
    <t xml:space="preserve">Data scope</t>
  </si>
  <si>
    <t xml:space="preserve">ผูก role assignment กับ scope (ทั้งกลุ่ม / บริษัท / ฝ่าย / แผนก / สาขา รวมหน่วยย่อย), resolver สร้าง filter ใน repository ทุก query (ltree ของโครงสร้างองค์กร), หลาย scope ต่อคน</t>
  </si>
  <si>
    <t xml:space="preserve">เลือก scope แบบ tree ขณะให้ role</t>
  </si>
  <si>
    <t xml:space="preserve">ผู้ใช้แผนก A เห็นเฉพาะข้อมูลแผนก A ทุก API (automated test)</t>
  </si>
  <si>
    <t xml:space="preserve">IAM-02, ORG-04</t>
  </si>
  <si>
    <t xml:space="preserve">ORG-14</t>
  </si>
  <si>
    <t xml:space="preserve">Login นโยบายรหัสผ่าน และ MFA</t>
  </si>
  <si>
    <t xml:space="preserve">Authentication &amp; MFA</t>
  </si>
  <si>
    <t xml:space="preserve">ตั้ง password policy, brute-force lockout, ลืมรหัสผ่าน, MFA (TOTP, WebAuthn/passkey) ใน Keycloak ต่อ tenant; บังคับ MFA ตาม role (ตรวจ claim ที่ Go middleware) และ step-up MFA</t>
  </si>
  <si>
    <t xml:space="preserve">หน้าตั้งค่านโยบายความปลอดภัยของ tenant; theme หน้า login / ลืมรหัส / ตั้ง MFA</t>
  </si>
  <si>
    <t xml:space="preserve">ผิดครบจำนวนแล้วบัญชีถูกล็อกตามเวลาที่ตั้ง; role ที่บังคับ MFA เข้าไม่ได้ถ้าไม่ผ่าน MFA</t>
  </si>
  <si>
    <t xml:space="preserve">ORG-16</t>
  </si>
  <si>
    <t xml:space="preserve">API Client และ Service account</t>
  </si>
  <si>
    <t xml:space="preserve">API credentials</t>
  </si>
  <si>
    <t xml:space="preserve">OAuth2 client credentials (Keycloak service account), scope ต่อ client, ผูก tenant/ระบบ, หมุน secret, IP allowlist ที่ middleware, ปิด client ทันที</t>
  </si>
  <si>
    <t xml:space="preserve">หน้าจัดการ API client แสดง secret ครั้งเดียว</t>
  </si>
  <si>
    <t xml:space="preserve">client เรียกได้เฉพาะ scope ที่ได้รับ และจาก IP ที่อนุญาตเท่านั้น</t>
  </si>
  <si>
    <t xml:space="preserve">ORG-19</t>
  </si>
  <si>
    <t xml:space="preserve">Audit log</t>
  </si>
  <si>
    <t xml:space="preserve">API ค้นหา / กรอง / ส่งออก audit log และตรวจ hash chain</t>
  </si>
  <si>
    <t xml:space="preserve">หน้าดู log ตามผู้ใช้ / โมดูล / ช่วงเวลา พร้อมรายละเอียด before/after</t>
  </si>
  <si>
    <t xml:space="preserve">ตรวจได้ว่าใครเปลี่ยนสิทธิ์ของใคร เมื่อไร และส่งออกได้</t>
  </si>
  <si>
    <t xml:space="preserve">IAM-04</t>
  </si>
  <si>
    <t xml:space="preserve">สิทธิ์ผู้ใช้ภายนอก (guest)</t>
  </si>
  <si>
    <t xml:space="preserve">External guest access</t>
  </si>
  <si>
    <t xml:space="preserve">token แบบ magic link ผูกงานเดียว (แบบประเมิน / เอกสาร / แจ้งเหตุ / งานย่อย) มีวันหมดอายุ, OTP ยืนยันอีเมล, สิทธิ์เฉพาะงานนั้น, เพิกถอนได้</t>
  </si>
  <si>
    <t xml:space="preserve">หน้า guest ใน portal สำหรับคู่ค้า ผู้ประมวลผล และผู้ร่วมประเมิน</t>
  </si>
  <si>
    <t xml:space="preserve">ลิงก์ใช้ได้เฉพาะงานที่เชิญ หมดอายุตามที่ตั้ง และเพิกถอนแล้วใช้ไม่ได้ทันที</t>
  </si>
  <si>
    <t xml:space="preserve">ใช้ร่วม VEN-05, DPIA-09, BRE-03, DSAR-12, DPA/DSA</t>
  </si>
  <si>
    <t xml:space="preserve">IAM-05</t>
  </si>
  <si>
    <t xml:space="preserve">บริการยืนยันตัวตนเจ้าของข้อมูล</t>
  </si>
  <si>
    <t xml:space="preserve">Data subject verification service</t>
  </si>
  <si>
    <t xml:space="preserve">OTP ทาง SMS / อีเมล, magic link, ตรวจกับข้อมูลที่มีในระบบ (match score), ระดับความมั่นใจต่อ use case, รองรับ IdP ภายนอก / ThaID ภายหลัง, rate limit กัน brute force</t>
  </si>
  <si>
    <t xml:space="preserve">ขั้นตอนยืนยันตัวตนใน portal ใช้ร่วม preference center, คำขอใช้สิทธิ และ double opt-in</t>
  </si>
  <si>
    <t xml:space="preserve">OTP หมดอายุใน 5 นาที จำกัดจำนวนครั้ง และบันทึกผลการยืนยันทุกครั้ง</t>
  </si>
  <si>
    <t xml:space="preserve">ใช้ร่วม CON-18, CON-19, CON-23, DSAR-06, DSAR-19</t>
  </si>
  <si>
    <t xml:space="preserve">ORG-12</t>
  </si>
  <si>
    <t xml:space="preserve">กลุ่มผู้ใช้และทีม</t>
  </si>
  <si>
    <t xml:space="preserve">User groups &amp; teams</t>
  </si>
  <si>
    <t xml:space="preserve">08_Organization | แนวปฏิบัติตลาด</t>
  </si>
  <si>
    <t xml:space="preserve">กลุ่มผู้ใช้สำหรับมอบหมายงานและให้สิทธิ์ทั้งกลุ่ม, ใช้เป็นผู้รับงานใน workflow</t>
  </si>
  <si>
    <t xml:space="preserve">หน้าจัดการกลุ่มและสมาชิก</t>
  </si>
  <si>
    <t xml:space="preserve">มอบหมายงานให้กลุ่มแล้วสมาชิกทุกคนเห็นงาน</t>
  </si>
  <si>
    <t xml:space="preserve">ดึงเข้า P1 เพราะ workflow ของ DSAR / Breach มอบงานให้ทีม</t>
  </si>
  <si>
    <t xml:space="preserve">ORG-13</t>
  </si>
  <si>
    <t xml:space="preserve">โปรไฟล์และการตั้งค่าส่วนตัว</t>
  </si>
  <si>
    <t xml:space="preserve">User profile</t>
  </si>
  <si>
    <t xml:space="preserve">API โปรไฟล์: ข้อมูลส่วนตัว รูป ภาษา ช่องทางรับแจ้งเตือน; ลิงก์ไปตั้งค่า MFA ใน Keycloak account</t>
  </si>
  <si>
    <t xml:space="preserve">หน้าโปรไฟล์และการตั้งค่าการแจ้งเตือน</t>
  </si>
  <si>
    <t xml:space="preserve">ผู้ใช้แก้ข้อมูลของตนได้โดยไม่ต้องขอผู้ดูแล</t>
  </si>
  <si>
    <t xml:space="preserve">ORG-15</t>
  </si>
  <si>
    <t xml:space="preserve">Single Sign-On และ ThaID</t>
  </si>
  <si>
    <t xml:space="preserve">SSO &amp; ThaID</t>
  </si>
  <si>
    <t xml:space="preserve">identity brokering ใน Keycloak: OIDC/SAML (Entra ID, Google Workspace, ADFS), LDAP/AD federation, map group → role/scope, JIT provisioning; ThaID ผ่าน OIDC หลังขึ้นทะเบียน</t>
  </si>
  <si>
    <t xml:space="preserve">หน้าตั้งค่า IdP ต่อ tenant + ปุ่ม login ด้วย SSO / ThaID</t>
  </si>
  <si>
    <t xml:space="preserve">ผู้ใช้ Entra ID เข้าระบบได้และได้ role ตาม group; login ด้วย ThaID ผูกกับบัญชีเดิมได้</t>
  </si>
  <si>
    <t xml:space="preserve">มีบางส่วน</t>
  </si>
  <si>
    <t xml:space="preserve">ดึงเข้า P1: ลูกค้าองค์กรมักบังคับ SSO; ThaID ต้องขึ้นทะเบียน (R09)</t>
  </si>
  <si>
    <t xml:space="preserve">ORG-17</t>
  </si>
  <si>
    <t xml:space="preserve">ปกปิดข้อมูลส่วนบุคคลบนหน้าจอ</t>
  </si>
  <si>
    <t xml:space="preserve">PII masking</t>
  </si>
  <si>
    <t xml:space="preserve">08_Organization | ม.37(1)</t>
  </si>
  <si>
    <t xml:space="preserve">masking policy ต่อฟิลด์ (เลขบัตร / เบอร์ / อีเมล) ใน response serializer, สิทธิ์ pii.unmask, endpoint unmask ต้องระบุเหตุผลและบันทึก audit</t>
  </si>
  <si>
    <t xml:space="preserve">component แสดงค่าปกปิด + ปุ่ม 'แสดง' พร้อมกล่องเหตุผล</t>
  </si>
  <si>
    <t xml:space="preserve">ผู้ไม่มีสิทธิ์ไม่ได้รับค่าจริงจาก API และการ unmask ทุกครั้งมี log</t>
  </si>
  <si>
    <t xml:space="preserve">IAM-02, PLT-13</t>
  </si>
  <si>
    <t xml:space="preserve">ไม่มี</t>
  </si>
  <si>
    <t xml:space="preserve">ดึงเข้า P1 ให้ทุกโมดูลใช้ตั้งแต่ต้น; OneTrust ไม่มี (จุดต่าง)</t>
  </si>
  <si>
    <t xml:space="preserve">IAM-06</t>
  </si>
  <si>
    <t xml:space="preserve">Maker-checker สำหรับงานผู้ดูแลระบบ</t>
  </si>
  <si>
    <t xml:space="preserve">Dual control for sensitive admin actions</t>
  </si>
  <si>
    <t xml:space="preserve">กำหนด action ที่ต้องอนุมัติ: เปลี่ยน role ระดับ admin, export ข้อมูลจำนวนมาก, ลบความยินยอม, ปิด MFA ของผู้อื่น</t>
  </si>
  <si>
    <t xml:space="preserve">กล่องคำขอรออนุมัติ + ประวัติ</t>
  </si>
  <si>
    <t xml:space="preserve">ผู้ขอกับผู้อนุมัติต้องต่างคน และ action ไม่มีผลจนกว่าจะอนุมัติ</t>
  </si>
  <si>
    <t xml:space="preserve">IAM-07</t>
  </si>
  <si>
    <t xml:space="preserve">Break-glass และสิทธิ์ระดับสูง</t>
  </si>
  <si>
    <t xml:space="preserve">Break-glass &amp; privileged access</t>
  </si>
  <si>
    <t xml:space="preserve">บัญชีฉุกเฉินต้องระบุเหตุผล มีเวลาจำกัด แจ้ง DPO / Security ทันที; Super Admin ของแพลตฟอร์มไม่เห็นข้อมูล tenant ถ้าไม่ใช้ break-glass</t>
  </si>
  <si>
    <t xml:space="preserve">หน้าขอใช้สิทธิ์ฉุกเฉินและประวัติการใช้</t>
  </si>
  <si>
    <t xml:space="preserve">ใช้ break-glass แล้ว DPO และ Security ได้รับแจ้งทันที และสิทธิ์หมดเมื่อครบเวลา</t>
  </si>
  <si>
    <t xml:space="preserve">IAM-08</t>
  </si>
  <si>
    <t xml:space="preserve">จัดการ session และแจ้งเตือนความปลอดภัย</t>
  </si>
  <si>
    <t xml:space="preserve">Session management &amp; security alerts</t>
  </si>
  <si>
    <t xml:space="preserve">ดู / บังคับ logout session (Keycloak Admin API), แจ้งเตือน login จากอุปกรณ์หรือประเทศใหม่, จำกัด session พร้อมกัน</t>
  </si>
  <si>
    <t xml:space="preserve">หน้ารายการ session ของตนเองและของผู้ใช้ (สำหรับผู้ดูแล)</t>
  </si>
  <si>
    <t xml:space="preserve">ผู้ดูแลบังคับ logout ผู้ใช้ได้ทันที</t>
  </si>
  <si>
    <t xml:space="preserve">IAM-09</t>
  </si>
  <si>
    <t xml:space="preserve">SCIM 2.0 provisioning</t>
  </si>
  <si>
    <t xml:space="preserve">SCIM user &amp; group provisioning</t>
  </si>
  <si>
    <t xml:space="preserve">endpoint SCIM 2.0 (Users / Groups) รับจาก Entra ID / Okta: สร้าง / แก้ / ปิดผู้ใช้และกลุ่ม → sync ไป Keycloak + role mapping</t>
  </si>
  <si>
    <t xml:space="preserve">ปิดบัญชีใน directory แล้วบัญชีในระบบถูกปิดอัตโนมัติ</t>
  </si>
  <si>
    <t xml:space="preserve">OneTrust มี SCIM — ลูกค้าองค์กรใหญ่คาดหวัง</t>
  </si>
  <si>
    <t xml:space="preserve">ORG-18</t>
  </si>
  <si>
    <t xml:space="preserve">ทบทวนสิทธิ์ตามรอบ</t>
  </si>
  <si>
    <t xml:space="preserve">Access review</t>
  </si>
  <si>
    <t xml:space="preserve">สร้างรอบทบทวนสิทธิ์ ส่งให้หัวหน้ายืนยัน/ถอน, สรุปผล, ถอนสิทธิ์อัตโนมัติเมื่อไม่ยืนยันในเวลา</t>
  </si>
  <si>
    <t xml:space="preserve">หน้ารอบทบทวน + ปุ่มยืนยัน/ถอนสิทธิ์ราย user</t>
  </si>
  <si>
    <t xml:space="preserve">สิทธิ์ที่ไม่ได้รับการยืนยันถูกถอนตามนโยบาย และมีรายงานสรุปรอบ</t>
  </si>
  <si>
    <t xml:space="preserve">PLT-05, ORG-10</t>
  </si>
  <si>
    <t xml:space="preserve">IAM-10</t>
  </si>
  <si>
    <t xml:space="preserve">สิทธิ์ชั่วคราวและมอบอำนาจ</t>
  </si>
  <si>
    <t xml:space="preserve">Delegation &amp; time-bound access</t>
  </si>
  <si>
    <t xml:space="preserve">ให้ role แบบมีวันหมดอายุ, มอบงานแทนช่วงลา</t>
  </si>
  <si>
    <t xml:space="preserve">กำหนดวันเริ่ม / สิ้นสุดสิทธิ์ และผู้รับมอบ</t>
  </si>
  <si>
    <t xml:space="preserve">สิทธิ์หมดอายุอัตโนมัติตามเวลาที่ตั้ง</t>
  </si>
  <si>
    <t xml:space="preserve">ORG-01</t>
  </si>
  <si>
    <t xml:space="preserve">ORG</t>
  </si>
  <si>
    <t xml:space="preserve">ข้อมูลหน่วยงาน (Organization)</t>
  </si>
  <si>
    <t xml:space="preserve">ข้อมูลหน่วยงาน / นิติบุคคล</t>
  </si>
  <si>
    <t xml:space="preserve">Organization profile</t>
  </si>
  <si>
    <t xml:space="preserve">08_Organization | ม.23(5), ม.39(3)</t>
  </si>
  <si>
    <t xml:space="preserve">นิติบุคคล: ชื่อ TH/EN, เลขทะเบียน 13 หลัก (ตรวจ checksum), ที่อยู่, ช่องทางติดต่อ, โลโก้; เป็น merge field ของเอกสาร</t>
  </si>
  <si>
    <t xml:space="preserve">ฟอร์มข้อมูลองค์กร + อัปโหลดโลโก้</t>
  </si>
  <si>
    <t xml:space="preserve">ข้อมูลองค์กรแสดงถูกต้องในประกาศและเอกสารที่สร้าง</t>
  </si>
  <si>
    <t xml:space="preserve">ORG-02</t>
  </si>
  <si>
    <t xml:space="preserve">หลายนิติบุคคลและบริษัทในเครือ</t>
  </si>
  <si>
    <t xml:space="preserve">Multi-entity / group</t>
  </si>
  <si>
    <t xml:space="preserve">08_Organization | ม.41 วรรคสอง</t>
  </si>
  <si>
    <t xml:space="preserve">หลายบริษัทใน tenant เดียว, scope ต่อบริษัท, DPO ร่วมของกลุ่ม</t>
  </si>
  <si>
    <t xml:space="preserve">สลับบริษัทที่กำลังทำงาน + ตัวกรองบริษัท</t>
  </si>
  <si>
    <t xml:space="preserve">ผู้ใช้ของบริษัท A ไม่เห็นข้อมูลบริษัท B ถ้าไม่ได้รับ scope</t>
  </si>
  <si>
    <t xml:space="preserve">ORG-04</t>
  </si>
  <si>
    <t xml:space="preserve">ดึงเข้า P0 เพราะกระทบ data model ทุกโมดูล</t>
  </si>
  <si>
    <t xml:space="preserve">โครงสร้างหน่วยงานแบบลำดับชั้น</t>
  </si>
  <si>
    <t xml:space="preserve">Organization hierarchy</t>
  </si>
  <si>
    <t xml:space="preserve">org tree (ltree), ย้ายหน่วยงาน, ปิดหน่วยงานโดยเก็บประวัติ, event เมื่อโครงสร้างเปลี่ยน</t>
  </si>
  <si>
    <t xml:space="preserve">tree view ลากวาง + ค้นหา</t>
  </si>
  <si>
    <t xml:space="preserve">ย้ายแผนกแล้ว scope ของผู้ใช้และข้อมูลปรับตามทันที</t>
  </si>
  <si>
    <t xml:space="preserve">ORG-07</t>
  </si>
  <si>
    <t xml:space="preserve">ข้อมูลตั้งต้นกลาง (Master data)</t>
  </si>
  <si>
    <t xml:space="preserve">Master data</t>
  </si>
  <si>
    <t xml:space="preserve">08_Organization | ม.24, ม.26</t>
  </si>
  <si>
    <t xml:space="preserve">ประเภทข้อมูล, ข้อมูลอ่อนไหว ม.26, กลุ่มเจ้าของข้อมูล, วัตถุประสงค์, ฐานกฎหมาย ม.24/26, ระยะเวลาเก็บ, ประเทศ (สถานะมาตรฐานเพียงพอ); ชุดค่าเริ่มต้นภาษาไทย</t>
  </si>
  <si>
    <t xml:space="preserve">หน้าจัดการ master data แยกหมวด</t>
  </si>
  <si>
    <t xml:space="preserve">แก้ที่เดียวมีผลทุกโมดูล และ tenant ใหม่ได้ชุดค่าเริ่มต้นครบ</t>
  </si>
  <si>
    <t xml:space="preserve">ORG-20</t>
  </si>
  <si>
    <t xml:space="preserve">ตั้งค่าองค์กร</t>
  </si>
  <si>
    <t xml:space="preserve">Organization settings</t>
  </si>
  <si>
    <t xml:space="preserve">ตั้งค่าภาษา โลโก้ ธีม template แจ้งเตือน และปฏิทินวันทำการ / วันหยุดราชการไทยต่อปี (ใช้โดย SLA engine)</t>
  </si>
  <si>
    <t xml:space="preserve">หน้าตั้งค่าองค์กร + ปฏิทินวันหยุด</t>
  </si>
  <si>
    <t xml:space="preserve">SLA ของทุกโมดูลนับตามปฏิทินของ tenant</t>
  </si>
  <si>
    <t xml:space="preserve">ดึงเข้า P0 เพราะ SLA engine ต้องใช้ปฏิทิน</t>
  </si>
  <si>
    <t xml:space="preserve">ORG-06</t>
  </si>
  <si>
    <t xml:space="preserve">ทะเบียนหน่วยงานภายนอก</t>
  </si>
  <si>
    <t xml:space="preserve">External parties directory</t>
  </si>
  <si>
    <t xml:space="preserve">08_Organization | ม.39, ม.40</t>
  </si>
  <si>
    <t xml:space="preserve">directory หน่วยงานภายนอก: ประเภท (ผู้ประมวลผล / ผู้รับข้อมูล / หน่วยงานรัฐ), ประเทศ, ผู้ติดต่อ, ตรวจรายการซ้ำ; ใช้ร่วม RoPA, DSA, DPA, Vendor</t>
  </si>
  <si>
    <t xml:space="preserve">หน้ารายการ + ฟอร์ม + รวมรายการซ้ำ</t>
  </si>
  <si>
    <t xml:space="preserve">หน่วยงานภายนอกหนึ่งรายมี record เดียวที่ทุกโมดูลอ้างถึง</t>
  </si>
  <si>
    <t xml:space="preserve">ORG-05</t>
  </si>
  <si>
    <t xml:space="preserve">ผู้ประสานงาน PDPA ประจำหน่วยงาน</t>
  </si>
  <si>
    <t xml:space="preserve">Privacy champions</t>
  </si>
  <si>
    <t xml:space="preserve">ผู้ประสานงานต่อแผนก ใช้เป็นผู้รับงานเริ่มต้นของ RoPA / คำขอ / การแจ้งเตือน</t>
  </si>
  <si>
    <t xml:space="preserve">กำหนดผู้ประสานงานในหน้าหน่วยงาน</t>
  </si>
  <si>
    <t xml:space="preserve">งานของแผนกถูกส่งถึงผู้ประสานงานอัตโนมัติ</t>
  </si>
  <si>
    <t xml:space="preserve">ORG-04, ORG-12</t>
  </si>
  <si>
    <t xml:space="preserve">ORG-08</t>
  </si>
  <si>
    <t xml:space="preserve">นำเข้าและส่งออกข้อมูลตั้งต้น</t>
  </si>
  <si>
    <t xml:space="preserve">Master data import/export</t>
  </si>
  <si>
    <t xml:space="preserve">template นำเข้า / ส่งออก master data (ใช้ PLT-14)</t>
  </si>
  <si>
    <t xml:space="preserve">ปุ่มนำเข้า / ส่งออกในหน้า master data</t>
  </si>
  <si>
    <t xml:space="preserve">นำเข้าแล้วรายการซ้ำถูกตรวจพบก่อนบันทึก</t>
  </si>
  <si>
    <t xml:space="preserve">PLT-14, ORG-07</t>
  </si>
  <si>
    <t xml:space="preserve">ORG-21</t>
  </si>
  <si>
    <t xml:space="preserve">เลือกที่เก็บข้อมูลและรูปแบบติดตั้ง</t>
  </si>
  <si>
    <t xml:space="preserve">Data residency &amp; deployment</t>
  </si>
  <si>
    <t xml:space="preserve">โหมดติดตั้ง on-prem: license key แบบ offline, ตั้งค่า region / data residency, ตรวจความพร้อมของ environment</t>
  </si>
  <si>
    <t xml:space="preserve">หน้าแสดงสถานะการติดตั้งและ license</t>
  </si>
  <si>
    <t xml:space="preserve">ติดตั้ง on-prem ด้วย Helm ได้ตามคู่มือ และข้อมูลทั้งหมดอยู่ใน environment ของลูกค้า</t>
  </si>
  <si>
    <t xml:space="preserve">T41</t>
  </si>
  <si>
    <t xml:space="preserve">SaaS บน cloud ในไทยทำใน T17 ตั้งแต่ P1</t>
  </si>
  <si>
    <t xml:space="preserve">ORG-03</t>
  </si>
  <si>
    <t xml:space="preserve">ผู้แทนในประเทศไทย</t>
  </si>
  <si>
    <t xml:space="preserve">Local representative</t>
  </si>
  <si>
    <t xml:space="preserve">08_Organization | ม.37(5)</t>
  </si>
  <si>
    <t xml:space="preserve">ฟิลด์ผู้แทนในประเทศไทย + merge field ในประกาศ</t>
  </si>
  <si>
    <t xml:space="preserve">ส่วนผู้แทนในหน้าข้อมูลองค์กร</t>
  </si>
  <si>
    <t xml:space="preserve">ประกาศแสดงข้อมูลผู้แทนเมื่อกำหนดไว้</t>
  </si>
  <si>
    <t xml:space="preserve">CON-01</t>
  </si>
  <si>
    <t xml:space="preserve">CON</t>
  </si>
  <si>
    <t xml:space="preserve">คุกกี้และความยินยอม (Cookies &amp; Consent)</t>
  </si>
  <si>
    <t xml:space="preserve">แบนเนอร์คุกกี้บนเว็บไซต์</t>
  </si>
  <si>
    <t xml:space="preserve">Cookie consent banner</t>
  </si>
  <si>
    <t xml:space="preserve">11_Consent | ม.19, ม.23</t>
  </si>
  <si>
    <t xml:space="preserve">config แบนเนอร์ต่อโดเมน publish เป็น JSON บน CDN, รับ consent event แบบ anonymous (cookie ID) + เก็บหลักฐาน, จัดการโดเมนและยืนยันความเป็นเจ้าของ</t>
  </si>
  <si>
    <t xml:space="preserve">cookie SDK (vanilla TypeScript ≤ 30 KB gzip): banner / modal ปุ่มยอมรับ-ปฏิเสธ-ตั้งค่า น้ำหนักเท่ากัน, first-party cookie, TH/EN; หน้า admin ตั้งค่าแบนเนอร์ + โค้ดติดตั้ง</t>
  </si>
  <si>
    <t xml:space="preserve">ไม่มีช่องติ๊กล่วงหน้า; ปฏิเสธทั้งหมดได้ในคลิกเดียว; ขนาด SDK ไม่เกิน 30 KB gzip</t>
  </si>
  <si>
    <t xml:space="preserve">PLT-17, PLT-11</t>
  </si>
  <si>
    <t xml:space="preserve">CON-02</t>
  </si>
  <si>
    <t xml:space="preserve">ตั้งค่าคุกกี้รายหมวด</t>
  </si>
  <si>
    <t xml:space="preserve">Granular cookie preferences</t>
  </si>
  <si>
    <t xml:space="preserve">11_Consent | ม.19</t>
  </si>
  <si>
    <t xml:space="preserve">หมวดคุกกี้ (ค่าเริ่มต้น 4 หมวด) + รายการคุกกี้ต่อหมวด, บันทึกทางเลือกรายหมวด</t>
  </si>
  <si>
    <t xml:space="preserve">preference modal ใน SDK + หน้า admin จัดหมวด</t>
  </si>
  <si>
    <t xml:space="preserve">เปิด/ปิดรายหมวดแล้วมีผลทันทีกับสคริปต์ในหมวดนั้น</t>
  </si>
  <si>
    <t xml:space="preserve">CON-03</t>
  </si>
  <si>
    <t xml:space="preserve">บล็อกสคริปต์ก่อนได้รับความยินยอม</t>
  </si>
  <si>
    <t xml:space="preserve">Prior blocking</t>
  </si>
  <si>
    <t xml:space="preserve">กฎ blocking ต่อ script / โดเมน</t>
  </si>
  <si>
    <t xml:space="preserve">auto-blocking ใน SDK (MutationObserver + rewrite type=text/plain), Google Consent Mode v2, GTM template, event สำหรับ tag manager</t>
  </si>
  <si>
    <t xml:space="preserve">ก่อนยินยอมไม่มีคุกกี้ Analytics / Marketing ถูกตั้ง (Playwright test บนเว็บตัวอย่าง)</t>
  </si>
  <si>
    <t xml:space="preserve">CON-04</t>
  </si>
  <si>
    <t xml:space="preserve">สแกนและจัดหมวดคุกกี้อัตโนมัติ</t>
  </si>
  <si>
    <t xml:space="preserve">Cookie scanner</t>
  </si>
  <si>
    <t xml:space="preserve">11_Consent | ม.23</t>
  </si>
  <si>
    <t xml:space="preserve">scanner worker (Go + chromedp): crawl sitemap / ลิงก์, เก็บคุกกี้ localStorage และ request ไปโดเมนภายนอก, จัดหมวดจากฐานข้อมูลคุกกี้ + กฎของ tenant, สแกนตามรอบ, แจ้งคุกกี้ใหม่</t>
  </si>
  <si>
    <t xml:space="preserve">หน้าเริ่มสแกน / ผลสแกน, จัดหมวดคุกกี้ที่ไม่รู้จัก, เทียบกับรอบก่อน</t>
  </si>
  <si>
    <t xml:space="preserve">สแกนเว็บ 200 หน้าเสร็จภายใน 30 นาที และคุกกี้ใหม่ถูกแจ้งเตือน</t>
  </si>
  <si>
    <t xml:space="preserve">ดึงเข้า P1: แบนเนอร์ที่ไม่มี scanner แข่งในตลาดยาก</t>
  </si>
  <si>
    <t xml:space="preserve">CON-06</t>
  </si>
  <si>
    <t xml:space="preserve">ปรับแต่งดีไซน์และหลายภาษา</t>
  </si>
  <si>
    <t xml:space="preserve">Branding &amp; multi-language</t>
  </si>
  <si>
    <t xml:space="preserve">11_Consent | แนวปฏิบัติตลาด</t>
  </si>
  <si>
    <t xml:space="preserve">theme (สี โลโก้ ตำแหน่ง layout), custom CSS แบบจำกัด, ข้อความ TH/EN + ภาษาอื่น, ตรวจภาษา browser</t>
  </si>
  <si>
    <t xml:space="preserve">editor ปรับดีไซน์ + preview หลายขนาดจอ</t>
  </si>
  <si>
    <t xml:space="preserve">เปลี่ยนดีไซน์แล้วเห็นผลใน preview และบนเว็บหลัง publish</t>
  </si>
  <si>
    <t xml:space="preserve">ดึงเข้า P1 เพราะเป็นส่วนหนึ่งของแบนเนอร์ที่ลูกค้าใช้จริง</t>
  </si>
  <si>
    <t xml:space="preserve">CON-09</t>
  </si>
  <si>
    <t xml:space="preserve">แบบฟอร์มขอความยินยอม (Collection Point)</t>
  </si>
  <si>
    <t xml:space="preserve">Consent form builder</t>
  </si>
  <si>
    <t xml:space="preserve">11_Consent | ม.19 วรรคสาม-สี่</t>
  </si>
  <si>
    <t xml:space="preserve">Purpose, Data Element, Purpose Preference, Collection Point ตาม FSD V3.2; ฟอร์มผูกหลาย Purpose, checklist ม.19 (แยกข้อความ / ไม่ผูกเงื่อนไขเกินจำเป็น) ก่อน publish</t>
  </si>
  <si>
    <t xml:space="preserve">form builder (PLT-06) + ลิงก์ / embed / QR / API endpoint</t>
  </si>
  <si>
    <t xml:space="preserve">ฟอร์มที่ publish แล้วรับความยินยอมแยกรายวัตถุประสงค์และออก receipt ทุกครั้ง</t>
  </si>
  <si>
    <t xml:space="preserve">PLT-06, CON-12</t>
  </si>
  <si>
    <t xml:space="preserve">ย้าย domain model จากระบบ Consent เดิม</t>
  </si>
  <si>
    <t xml:space="preserve">CON-10</t>
  </si>
  <si>
    <t xml:space="preserve">ความยินยอมโดยชัดแจ้งสำหรับข้อมูลอ่อนไหว</t>
  </si>
  <si>
    <t xml:space="preserve">Explicit consent for sensitive data</t>
  </si>
  <si>
    <t xml:space="preserve">11_Consent | ม.26</t>
  </si>
  <si>
    <t xml:space="preserve">Purpose ที่ใช้ข้อมูล ม.26 ต้องมีช่องยินยอมแยกและข้อความเฉพาะ ตรวจตอน publish</t>
  </si>
  <si>
    <t xml:space="preserve">ส่วนตั้งค่าข้อมูลอ่อนไหวใน Purpose</t>
  </si>
  <si>
    <t xml:space="preserve">publish ไม่ได้ถ้า Purpose ข้อมูลอ่อนไหวไม่มีช่องยินยอมแยก</t>
  </si>
  <si>
    <t xml:space="preserve">CON-09, ORG-07</t>
  </si>
  <si>
    <t xml:space="preserve">CON-11</t>
  </si>
  <si>
    <t xml:space="preserve">ความยินยอมผู้เยาว์และผู้ปกครอง</t>
  </si>
  <si>
    <t xml:space="preserve">Minor / guardian consent</t>
  </si>
  <si>
    <t xml:space="preserve">11_Consent | ม.20</t>
  </si>
  <si>
    <t xml:space="preserve">ตรวจอายุตาม ม.20 (ไม่เกิน 10 ปีผู้ปกครองให้ความยินยอม, 10-20 ปีตามเงื่อนไข), ผูกโปรไฟล์ผู้ปกครอง-ผู้เยาว์, ส่งคำขอยืนยันให้ผู้ปกครอง</t>
  </si>
  <si>
    <t xml:space="preserve">ขั้นตอนผู้เยาว์ในฟอร์ม + หน้าผู้ปกครองยืนยัน</t>
  </si>
  <si>
    <t xml:space="preserve">ความยินยอมที่ต้องได้จากผู้ปกครองมีผลเมื่อผู้ปกครองยืนยันแล้วเท่านั้น</t>
  </si>
  <si>
    <t xml:space="preserve">CON-09, IAM-05</t>
  </si>
  <si>
    <t xml:space="preserve">CON-12</t>
  </si>
  <si>
    <t xml:space="preserve">เวอร์ชันข้อความยินยอม</t>
  </si>
  <si>
    <t xml:space="preserve">Consent versioning</t>
  </si>
  <si>
    <t xml:space="preserve">11_Consent | ม.19, ม.21</t>
  </si>
  <si>
    <t xml:space="preserve">Purpose และข้อความมีเวอร์ชัน, receipt ผูกเวอร์ชัน, เปลี่ยนวัตถุประสงค์แล้วทำเครื่องหมาย re-consent</t>
  </si>
  <si>
    <t xml:space="preserve">หน้าเวอร์ชันของ Purpose + diff</t>
  </si>
  <si>
    <t xml:space="preserve">ย้อนดูได้ว่าแต่ละคนยินยอมข้อความเวอร์ชันใด</t>
  </si>
  <si>
    <t xml:space="preserve">CON-13</t>
  </si>
  <si>
    <t xml:space="preserve">ถอนความยินยอม</t>
  </si>
  <si>
    <t xml:space="preserve">Consent withdrawal</t>
  </si>
  <si>
    <t xml:space="preserve">11_Consent | ม.19 วรรคห้า</t>
  </si>
  <si>
    <t xml:space="preserve">ถอนผ่าน preference center / API / พนักงาน, เลือกเหตุผล, มีผลทันที, event consent.withdrawn → webhook ไประบบปลายทาง + ติดตามการยืนยัน</t>
  </si>
  <si>
    <t xml:space="preserve">ปุ่มถอนใน preference center และหน้าพนักงาน</t>
  </si>
  <si>
    <t xml:space="preserve">ถอนแล้วสถานะเปลี่ยนทันทีและระบบปลายทางได้รับ event ภายใน 1 นาที</t>
  </si>
  <si>
    <t xml:space="preserve">CON-15, PLT-11</t>
  </si>
  <si>
    <t xml:space="preserve">CON-14</t>
  </si>
  <si>
    <t xml:space="preserve">เก็บความยินยอมหลายช่องทาง</t>
  </si>
  <si>
    <t xml:space="preserve">Omni-channel capture</t>
  </si>
  <si>
    <t xml:space="preserve">API สำหรับ POS / Call center / Kiosk, บันทึกแทนลูกค้า (on behalf) พร้อมผู้บันทึกและสาขา, QR code ต่อ collection point, แนบไฟล์สแกนเอกสารกระดาษ</t>
  </si>
  <si>
    <t xml:space="preserve">หน้าพนักงานบันทึกความยินยอม (โหมดแท็บเล็ต), สร้าง QR, ตัวอย่าง LINE LIFF</t>
  </si>
  <si>
    <t xml:space="preserve">ทุกช่องทางได้ receipt รูปแบบเดียวกันและระบุช่องทาง / ผู้บันทึก</t>
  </si>
  <si>
    <t xml:space="preserve">CON-16, IAM-02</t>
  </si>
  <si>
    <t xml:space="preserve">CON-15</t>
  </si>
  <si>
    <t xml:space="preserve">หลักฐานความยินยอม (Receipt)</t>
  </si>
  <si>
    <t xml:space="preserve">Consent receipt &amp; log</t>
  </si>
  <si>
    <t xml:space="preserve">Consent Transaction แบบ append-only (partition รายเดือน), receipt ID, hash chain ต่อเจ้าของข้อมูล, ประเภทรายการ, IP / อุปกรณ์ / ช่องทาง / เวอร์ชัน; Data Subject Profile รวมสถานะล่าสุด; ส่ง receipt ทางอีเมล</t>
  </si>
  <si>
    <t xml:space="preserve">หน้า profile + ประวัติรายการ</t>
  </si>
  <si>
    <t xml:space="preserve">แก้หรือลบ transaction ไม่ได้ และตรวจย้อนหลังได้ว่าความยินยอมมาจากเวอร์ชันและช่องทางใด</t>
  </si>
  <si>
    <t xml:space="preserve">PLT-13, PLT-12</t>
  </si>
  <si>
    <t xml:space="preserve">Consent Transaction ตาม FSD V3.2</t>
  </si>
  <si>
    <t xml:space="preserve">CON-16</t>
  </si>
  <si>
    <t xml:space="preserve">REST API และ Webhook</t>
  </si>
  <si>
    <t xml:space="preserve">Consent API &amp; webhook</t>
  </si>
  <si>
    <t xml:space="preserve">API ตรวจสถานะความยินยอม real-time (cache ใน Valkey), สร้าง/แก้ profile, บันทึก transaction (idempotency key), bulk query; webhook consent.changed</t>
  </si>
  <si>
    <t xml:space="preserve">หน้าเอกสาร API และตัวอย่างใน developer portal</t>
  </si>
  <si>
    <t xml:space="preserve">ผ่าน load test ตามเป้า TPS ที่ตกลง (T22) และ p95 ต่ำกว่า 200 ms</t>
  </si>
  <si>
    <t xml:space="preserve">PLT-15, ORG-16</t>
  </si>
  <si>
    <t xml:space="preserve">CON-17</t>
  </si>
  <si>
    <t xml:space="preserve">ความปลอดภัยและที่เก็บข้อมูล</t>
  </si>
  <si>
    <t xml:space="preserve">Security &amp; data residency</t>
  </si>
  <si>
    <t xml:space="preserve">11_Consent | ประกาศมาตรการความปลอดภัย พ.ศ. 2565</t>
  </si>
  <si>
    <t xml:space="preserve">ใช้บริการกลาง: เข้ารหัส identifier, สิทธิ์ตาม role/scope, เก็บข้อมูลบน cloud ในไทย; งานที่เหลือคือ config และทดสอบ</t>
  </si>
  <si>
    <t xml:space="preserve">แสดงตำแหน่งที่เก็บข้อมูลในหน้าตั้งค่า</t>
  </si>
  <si>
    <t xml:space="preserve">ผลทดสอบยืนยันว่าข้อมูลความยินยอมเข้ารหัสและอยู่ใน region ที่กำหนด</t>
  </si>
  <si>
    <t xml:space="preserve">CON-18</t>
  </si>
  <si>
    <t xml:space="preserve">ศูนย์ตั้งค่าความเป็นส่วนตัว</t>
  </si>
  <si>
    <t xml:space="preserve">Preference center</t>
  </si>
  <si>
    <t xml:space="preserve">API preference center: ดู/แก้ความยินยอมและช่องทางสื่อสาร (Purpose Preference), session ของเจ้าของข้อมูล</t>
  </si>
  <si>
    <t xml:space="preserve">หน้า preference center ใน portal (magic link / OTP, TH/EN, branding)</t>
  </si>
  <si>
    <t xml:space="preserve">เจ้าของข้อมูลแก้ทางเลือกได้เองและได้ receipt ทุกครั้ง</t>
  </si>
  <si>
    <t xml:space="preserve">IAM-05, PLT-17</t>
  </si>
  <si>
    <t xml:space="preserve">ดึงเข้า P1: ต้องมีช่องทางถอนที่ง่ายเท่ากับการให้ (ม.19)</t>
  </si>
  <si>
    <t xml:space="preserve">CON-19</t>
  </si>
  <si>
    <t xml:space="preserve">ยืนยันตัวตนก่อนบันทึก</t>
  </si>
  <si>
    <t xml:space="preserve">Identity verification</t>
  </si>
  <si>
    <t xml:space="preserve">ตั้งวิธียืนยันตัวตนต่อ collection point (ไม่ต้อง / OTP / magic link / IdP ภายนอก) ผ่าน IAM-05</t>
  </si>
  <si>
    <t xml:space="preserve">ตัวเลือกวิธียืนยันในหน้าตั้งค่า collection point</t>
  </si>
  <si>
    <t xml:space="preserve">collection point ที่บังคับ OTP บันทึกได้เมื่อยืนยันผ่านเท่านั้น</t>
  </si>
  <si>
    <t xml:space="preserve">CON-21</t>
  </si>
  <si>
    <t xml:space="preserve">ค้นหา แดชบอร์ด และส่งออก</t>
  </si>
  <si>
    <t xml:space="preserve">Search, dashboard &amp; export</t>
  </si>
  <si>
    <t xml:space="preserve">11_Consent | ม.39</t>
  </si>
  <si>
    <t xml:space="preserve">ค้นหาตามบุคคล (blind index) / Purpose, สถิติอัตรายินยอม/ถอน, export แบบ async, Reconcile Report เทียบสถานะกับระบบปลายทาง</t>
  </si>
  <si>
    <t xml:space="preserve">หน้าค้นหา, dashboard และหน้า reconcile</t>
  </si>
  <si>
    <t xml:space="preserve">ค้นหาด้วยอีเมลหรือเบอร์ได้โดยไม่ต้องถอดรหัสทั้งตาราง และรายงาน reconcile แสดงรายการที่ไม่ตรง</t>
  </si>
  <si>
    <t xml:space="preserve">Reconcile Report ตาม FSD V3.2; ดึงเข้า P1</t>
  </si>
  <si>
    <t xml:space="preserve">CON-22</t>
  </si>
  <si>
    <t xml:space="preserve">นำเข้าความยินยอมเดิม</t>
  </si>
  <si>
    <t xml:space="preserve">Bulk import</t>
  </si>
  <si>
    <t xml:space="preserve">นำเข้าความยินยอมเดิมพร้อมวันที่และช่องทางเดิม, map Purpose, ตรวจซ้ำ, ทำเครื่องหมายว่าเป็นข้อมูลนำเข้า</t>
  </si>
  <si>
    <t xml:space="preserve">wizard นำเข้า (PLT-14) + รายงานผล</t>
  </si>
  <si>
    <t xml:space="preserve">ข้อมูลจากระบบ Consent เดิมนำเข้าครบและ reconcile ยอดตรง</t>
  </si>
  <si>
    <t xml:space="preserve">PLT-14, CON-15</t>
  </si>
  <si>
    <t xml:space="preserve">ดึงเข้า P1 เพื่อย้ายข้อมูลตอน go-live (T26)</t>
  </si>
  <si>
    <t xml:space="preserve">CON-05</t>
  </si>
  <si>
    <t xml:space="preserve">นโยบายคุกกี้อัตโนมัติ</t>
  </si>
  <si>
    <t xml:space="preserve">Auto cookie policy</t>
  </si>
  <si>
    <t xml:space="preserve">สร้างตารางคุกกี้ TH/EN จากผลสแกน อัปเดตเมื่อ publish</t>
  </si>
  <si>
    <t xml:space="preserve">embed script / iframe สำหรับหน้า Cookie Policy</t>
  </si>
  <si>
    <t xml:space="preserve">ตารางในหน้า Cookie Policy ตรงกับผลสแกนล่าสุด</t>
  </si>
  <si>
    <t xml:space="preserve">CON-07</t>
  </si>
  <si>
    <t xml:space="preserve">หลายโดเมนและ Mobile SDK</t>
  </si>
  <si>
    <t xml:space="preserve">Multi-domain &amp; mobile SDK</t>
  </si>
  <si>
    <t xml:space="preserve">11_Consent | แนวปฏิบัติตลาดไทย</t>
  </si>
  <si>
    <t xml:space="preserve">จัดการหลายโดเมน / แอปต่อ tenant, config แยก, API สำหรับ mobile</t>
  </si>
  <si>
    <t xml:space="preserve">Mobile SDK (iOS Swift, Android Kotlin หรือ Flutter / React Native wrapper) + ตัวอย่าง LINE LIFF ด้วย JS SDK</t>
  </si>
  <si>
    <t xml:space="preserve">แอปตัวอย่างบันทึกและอ่านสถานะความยินยอมผ่าน SDK ได้</t>
  </si>
  <si>
    <t xml:space="preserve">Mobile SDK อาจจ้างนักพัฒนา mobile ภายนอก</t>
  </si>
  <si>
    <t xml:space="preserve">CON-20</t>
  </si>
  <si>
    <t xml:space="preserve">วันหมดอายุและต่ออายุ</t>
  </si>
  <si>
    <t xml:space="preserve">Consent expiry &amp; renewal</t>
  </si>
  <si>
    <t xml:space="preserve">อายุต่อ Purpose, job ตรวจหมดอายุรายวัน → สถานะ EXPIRED + event, แจ้งเตือนต่ออายุ, transaction EXTEND</t>
  </si>
  <si>
    <t xml:space="preserve">ตั้งอายุใน Purpose + รายการที่ใกล้หมดอายุ</t>
  </si>
  <si>
    <t xml:space="preserve">ความยินยอมที่ครบอายุเปลี่ยนสถานะอัตโนมัติและระบบปลายทางได้รับ event</t>
  </si>
  <si>
    <t xml:space="preserve">CON-23</t>
  </si>
  <si>
    <t xml:space="preserve">Double Opt-In</t>
  </si>
  <si>
    <t xml:space="preserve">Double opt-in</t>
  </si>
  <si>
    <t xml:space="preserve">สถานะ PENDING → CONFIRMED / CANCELLED ผ่านลิงก์อีเมล / SMS ที่มีวันหมดอายุ</t>
  </si>
  <si>
    <t xml:space="preserve">ตั้งค่า double opt-in ต่อ collection point + หน้ายืนยัน</t>
  </si>
  <si>
    <t xml:space="preserve">ความยินยอมมีผลหลังยืนยันเท่านั้น</t>
  </si>
  <si>
    <t xml:space="preserve">CON-24</t>
  </si>
  <si>
    <t xml:space="preserve">ส่งคำขอความยินยอมแบบ Bulk</t>
  </si>
  <si>
    <t xml:space="preserve">Bulk consent request campaign</t>
  </si>
  <si>
    <t xml:space="preserve">เลือกกลุ่มเป้าหมาย, ส่งลิงก์ขอความยินยอมทางอีเมล / SMS / LINE แบบทยอย, ติดตามผู้ตอบ, ส่งซ้ำ</t>
  </si>
  <si>
    <t xml:space="preserve">หน้าสร้างแคมเปญ + สถิติการตอบ</t>
  </si>
  <si>
    <t xml:space="preserve">แคมเปญแสดงจำนวนส่ง / เปิด / ตอบ และส่งซ้ำเฉพาะผู้ยังไม่ตอบได้</t>
  </si>
  <si>
    <t xml:space="preserve">PLT-04, CON-18</t>
  </si>
  <si>
    <t xml:space="preserve">CON-08</t>
  </si>
  <si>
    <t xml:space="preserve">A/B testing และวัด consent rate</t>
  </si>
  <si>
    <t xml:space="preserve">Banner A/B testing</t>
  </si>
  <si>
    <t xml:space="preserve">11_Consent | แนวโน้มตลาด</t>
  </si>
  <si>
    <t xml:space="preserve">variant แบนเนอร์, สุ่มแบ่งผู้เข้าชม, วัด opt-in rate ต่อ variant</t>
  </si>
  <si>
    <t xml:space="preserve">หน้าสร้าง variant และรายงานผลเปรียบเทียบ</t>
  </si>
  <si>
    <t xml:space="preserve">ผลการทดลองแสดงอัตรายินยอมต่อ variant พร้อมจำนวนตัวอย่าง</t>
  </si>
  <si>
    <t xml:space="preserve">CON-01, PLT-18</t>
  </si>
  <si>
    <t xml:space="preserve">PNG-01</t>
  </si>
  <si>
    <t xml:space="preserve">PNG</t>
  </si>
  <si>
    <t xml:space="preserve">ประกาศความเป็นส่วนตัว (Privacy Notice Generator)</t>
  </si>
  <si>
    <t xml:space="preserve">สร้างประกาศแบบถาม-ตอบ</t>
  </si>
  <si>
    <t xml:space="preserve">Wizard-based generator</t>
  </si>
  <si>
    <t xml:space="preserve">13_Notice | ม.23</t>
  </si>
  <si>
    <t xml:space="preserve">wizard definition (คำถาม → ส่วนของประกาศ), ประกอบเนื้อหาจากคำตอบ + master data + ข้อมูลองค์กรด้วย document composer</t>
  </si>
  <si>
    <t xml:space="preserve">wizard ทีละขั้น + preview คู่ขนาน + แก้ข้อความใน editor</t>
  </si>
  <si>
    <t xml:space="preserve">ผู้ใช้ที่ไม่มีพื้นฐานกฎหมายสร้างร่างประกาศครบหัวข้อได้ภายใน 30 นาที</t>
  </si>
  <si>
    <t xml:space="preserve">PLT-16, ORG-07</t>
  </si>
  <si>
    <t xml:space="preserve">OneTrust ไม่มี wizard (จุดต่าง)</t>
  </si>
  <si>
    <t xml:space="preserve">PNG-02</t>
  </si>
  <si>
    <t xml:space="preserve">ตรวจเนื้อหาครบตาม ม.23</t>
  </si>
  <si>
    <t xml:space="preserve">Mandatory content checklist</t>
  </si>
  <si>
    <t xml:space="preserve">13_Notice | ม.23 (1)-(6)</t>
  </si>
  <si>
    <t xml:space="preserve">rule ตรวจ 6 หัวข้อ ม.23 ก่อน publish, บล็อก publish ถ้าขาดหัวข้อบังคับ (ตั้งค่าได้)</t>
  </si>
  <si>
    <t xml:space="preserve">แผงตรวจความครบ + ลิงก์ไปส่วนที่ขาด</t>
  </si>
  <si>
    <t xml:space="preserve">ประกาศที่ขาดหัวข้อบังคับ publish ไม่ได้</t>
  </si>
  <si>
    <t xml:space="preserve">OneTrust ไม่มี (จุดต่าง)</t>
  </si>
  <si>
    <t xml:space="preserve">PNG-03</t>
  </si>
  <si>
    <t xml:space="preserve">แม่แบบตามกลุ่มเจ้าของข้อมูล</t>
  </si>
  <si>
    <t xml:space="preserve">Templates by data subject</t>
  </si>
  <si>
    <t xml:space="preserve">13_Notice | แนวปฏิบัติตลาดไทย</t>
  </si>
  <si>
    <t xml:space="preserve">template ตั้งต้น 8 กลุ่มเจ้าของข้อมูล TH/EN (เนื้อหาจาก T15)</t>
  </si>
  <si>
    <t xml:space="preserve">หน้าเลือก template ตามกลุ่ม</t>
  </si>
  <si>
    <t xml:space="preserve">เลือก template แล้วได้ร่างประกาศของกลุ่มนั้นทันที</t>
  </si>
  <si>
    <t xml:space="preserve">PNG-01, T15</t>
  </si>
  <si>
    <t xml:space="preserve">PNG-04</t>
  </si>
  <si>
    <t xml:space="preserve">ประกาศกรณีเก็บจากแหล่งอื่น</t>
  </si>
  <si>
    <t xml:space="preserve">Indirect collection notice</t>
  </si>
  <si>
    <t xml:space="preserve">13_Notice | ม.25</t>
  </si>
  <si>
    <t xml:space="preserve">บันทึกการได้ข้อมูลจากแหล่งอื่น (แหล่ง วันที่ จำนวน), นับ 30 วัน, แจ้งเตือน, ส่งประกาศทางอีเมล / SMS หรือบันทึกวิธีแจ้ง + หลักฐาน</t>
  </si>
  <si>
    <t xml:space="preserve">หน้ารายการที่ต้องแจ้ง + ตัวนับวัน</t>
  </si>
  <si>
    <t xml:space="preserve">ระบบเตือนก่อนครบ 30 วัน และปิดรายการได้เมื่อมีหลักฐานการแจ้ง</t>
  </si>
  <si>
    <t xml:space="preserve">PLT-05, PLT-04</t>
  </si>
  <si>
    <t xml:space="preserve">PNG-05</t>
  </si>
  <si>
    <t xml:space="preserve">ประกาศสองภาษา</t>
  </si>
  <si>
    <t xml:space="preserve">TH/EN notices</t>
  </si>
  <si>
    <t xml:space="preserve">เนื้อหาคู่ขนานหลายภาษาใน composer, ตรวจว่าทุกภาษาเผยแพร่เวอร์ชันเดียวกัน, เพิ่มภาษาแรงงานต่างชาติ</t>
  </si>
  <si>
    <t xml:space="preserve">สลับภาษาใน editor และ preview</t>
  </si>
  <si>
    <t xml:space="preserve">publish ไม่ได้ถ้าฉบับแปลยังไม่อัปเดตตามเวอร์ชันล่าสุด (ตั้งค่าได้)</t>
  </si>
  <si>
    <t xml:space="preserve">PNG-06</t>
  </si>
  <si>
    <t xml:space="preserve">จัดการเวอร์ชัน</t>
  </si>
  <si>
    <t xml:space="preserve">Versioning</t>
  </si>
  <si>
    <t xml:space="preserve">เวอร์ชัน + วันมีผล + diff (PLT-08 / PLT-16)</t>
  </si>
  <si>
    <t xml:space="preserve">หน้าประวัติเวอร์ชันและเปรียบเทียบ</t>
  </si>
  <si>
    <t xml:space="preserve">หน้า public แสดงเวอร์ชันปัจจุบันและดูประวัติย้อนหลังได้</t>
  </si>
  <si>
    <t xml:space="preserve">PNG-07</t>
  </si>
  <si>
    <t xml:space="preserve">แจ้งการเปลี่ยนแปลงและขอความยินยอมใหม่</t>
  </si>
  <si>
    <t xml:space="preserve">Change notification</t>
  </si>
  <si>
    <t xml:space="preserve">13_Notice | ม.21</t>
  </si>
  <si>
    <t xml:space="preserve">เมื่อ publish เวอร์ชันใหม่: ระบุว่าเปลี่ยนสาระสำคัญหรือไม่, ส่งแจ้งเจ้าของข้อมูล, ถ้าเปลี่ยนวัตถุประสงค์ → สร้างคำขอความยินยอมใหม่ใน CON</t>
  </si>
  <si>
    <t xml:space="preserve">ขั้นตอนยืนยันการแจ้งเปลี่ยนแปลงตอน publish</t>
  </si>
  <si>
    <t xml:space="preserve">การเปลี่ยนวัตถุประสงค์สร้างงานขอความยินยอมใหม่อัตโนมัติ</t>
  </si>
  <si>
    <t xml:space="preserve">PNG-06, CON-12</t>
  </si>
  <si>
    <t xml:space="preserve">PNG-08</t>
  </si>
  <si>
    <t xml:space="preserve">เผยแพร่และฝังในระบบ</t>
  </si>
  <si>
    <t xml:space="preserve">Hosting &amp; embed</t>
  </si>
  <si>
    <t xml:space="preserve">13_Notice | แนวปฏิบัติตลาด</t>
  </si>
  <si>
    <t xml:space="preserve">URL ถาวรและต่อเวอร์ชัน, embed script / iframe, ส่งออก Word / PDF, ลิงก์สำหรับ LINE OA และแอป</t>
  </si>
  <si>
    <t xml:space="preserve">หน้า public ของประกาศใน portal + ตัวสร้างโค้ดฝัง</t>
  </si>
  <si>
    <t xml:space="preserve">ประกาศแสดงบนเว็บลูกค้าผ่าน embed และอัปเดตเองเมื่อ publish</t>
  </si>
  <si>
    <t xml:space="preserve">ดึงเข้า P1 เพราะต้องมีช่องทางเผยแพร่</t>
  </si>
  <si>
    <t xml:space="preserve">PNG-14</t>
  </si>
  <si>
    <t xml:space="preserve">อนุมัติก่อนเผยแพร่</t>
  </si>
  <si>
    <t xml:space="preserve">Review &amp; approval</t>
  </si>
  <si>
    <t xml:space="preserve">ใช้ workflow อนุมัติกลาง: DPO / กฎหมายตรวจ แสดงความเห็น อนุมัติก่อน publish</t>
  </si>
  <si>
    <t xml:space="preserve">ปุ่มส่งตรวจ + กล่องความเห็น</t>
  </si>
  <si>
    <t xml:space="preserve">ประกาศเผยแพร่ได้หลังอนุมัติเท่านั้น</t>
  </si>
  <si>
    <t xml:space="preserve">ดึงเข้า P1 (ใช้ PLT-08 จึงใช้แรงน้อย)</t>
  </si>
  <si>
    <t xml:space="preserve">PNG-09</t>
  </si>
  <si>
    <t xml:space="preserve">บันทึกการรับทราบ</t>
  </si>
  <si>
    <t xml:space="preserve">Acknowledgement log</t>
  </si>
  <si>
    <t xml:space="preserve">บันทึกการรับทราบ (ใคร เวอร์ชัน ช่องทาง เวลา) ผ่าน API / SDK / หน้า public</t>
  </si>
  <si>
    <t xml:space="preserve">รายงานการรับทราบต่อเวอร์ชัน</t>
  </si>
  <si>
    <t xml:space="preserve">ตรวจได้ว่าบุคคลรับทราบประกาศเวอร์ชันใด</t>
  </si>
  <si>
    <t xml:space="preserve">PNG-10</t>
  </si>
  <si>
    <t xml:space="preserve">ดึงเนื้อหาจาก RoPA</t>
  </si>
  <si>
    <t xml:space="preserve">Auto-populate from RoPA</t>
  </si>
  <si>
    <t xml:space="preserve">13_Notice | ม.23, ม.39</t>
  </si>
  <si>
    <t xml:space="preserve">เลือกกิจกรรม RoPA → ประกอบหัวข้อวัตถุประสงค์ / ฐาน / ข้อมูล / ระยะเวลา / ผู้รับ; event ropa.updated → แจ้งให้ทบทวนประกาศ</t>
  </si>
  <si>
    <t xml:space="preserve">ปุ่มดึงข้อมูลจาก RoPA ใน wizard</t>
  </si>
  <si>
    <t xml:space="preserve">RoPA เปลี่ยนแล้วประกาศที่เกี่ยวข้องถูกทำเครื่องหมายให้ทบทวน</t>
  </si>
  <si>
    <t xml:space="preserve">ROPA-03, PLT-11</t>
  </si>
  <si>
    <t xml:space="preserve">PNG-11</t>
  </si>
  <si>
    <t xml:space="preserve">แม่แบบตามอุตสาหกรรม</t>
  </si>
  <si>
    <t xml:space="preserve">Industry templates</t>
  </si>
  <si>
    <t xml:space="preserve">ชุด template 6 อุตสาหกรรม (เนื้อหาจาก T40)</t>
  </si>
  <si>
    <t xml:space="preserve">ตัวกรอง template ตามอุตสาหกรรม</t>
  </si>
  <si>
    <t xml:space="preserve">มี template ครบ 6 อุตสาหกรรมทั้ง TH/EN</t>
  </si>
  <si>
    <t xml:space="preserve">T40</t>
  </si>
  <si>
    <t xml:space="preserve">PNG-12</t>
  </si>
  <si>
    <t xml:space="preserve">ประกาศแบบหลายชั้นและป้าย CCTV</t>
  </si>
  <si>
    <t xml:space="preserve">Layered notice &amp; CCTV signage</t>
  </si>
  <si>
    <t xml:space="preserve">ฉบับย่อ + ฉบับเต็ม, สร้างป้าย CCTV พร้อม QR (PDF A4 / A3)</t>
  </si>
  <si>
    <t xml:space="preserve">หน้าออกแบบประกาศหลายชั้นและป้าย CCTV</t>
  </si>
  <si>
    <t xml:space="preserve">ป้าย CCTV พิมพ์ได้และ QR เปิดฉบับเต็มได้</t>
  </si>
  <si>
    <t xml:space="preserve">PNG-15</t>
  </si>
  <si>
    <t xml:space="preserve">แจ้งเตือนทบทวนตามรอบ</t>
  </si>
  <si>
    <t xml:space="preserve">Periodic review reminder</t>
  </si>
  <si>
    <t xml:space="preserve">รอบทบทวนต่อประกาศ + trigger เมื่อ RoPA เปลี่ยน</t>
  </si>
  <si>
    <t xml:space="preserve">ตั้งรอบทบทวนในหน้าประกาศ</t>
  </si>
  <si>
    <t xml:space="preserve">เจ้าของประกาศได้รับงานทบทวนตามรอบ</t>
  </si>
  <si>
    <t xml:space="preserve">PNG-16</t>
  </si>
  <si>
    <t xml:space="preserve">สร้างนโยบายความเป็นส่วนตัวและนโยบายคุกกี้</t>
  </si>
  <si>
    <t xml:space="preserve">Privacy &amp; cookie policy generator</t>
  </si>
  <si>
    <t xml:space="preserve">template นโยบายระดับองค์กร ประกอบจากข้อมูลองค์กร ประกาศทุกกลุ่ม และตารางคุกกี้</t>
  </si>
  <si>
    <t xml:space="preserve">wizard นโยบายองค์กร</t>
  </si>
  <si>
    <t xml:space="preserve">นโยบายที่สร้างอ้างถึงประกาศและตารางคุกกี้เวอร์ชันล่าสุด</t>
  </si>
  <si>
    <t xml:space="preserve">PNG-01, CON-05</t>
  </si>
  <si>
    <t xml:space="preserve">PNG-13</t>
  </si>
  <si>
    <t xml:space="preserve">ลิงก์เอกสารอ้างอิงในประกาศ</t>
  </si>
  <si>
    <t xml:space="preserve">Linked documents</t>
  </si>
  <si>
    <t xml:space="preserve">ลิงก์เอกสารอ้างอิง + รูปแบบการแสดง (inline / popup)</t>
  </si>
  <si>
    <t xml:space="preserve">ส่วนจัดการลิงก์ใน editor</t>
  </si>
  <si>
    <t xml:space="preserve">ลิงก์แสดงตามรูปแบบที่ตั้ง</t>
  </si>
  <si>
    <t xml:space="preserve">ROPA-01</t>
  </si>
  <si>
    <t xml:space="preserve">ROPA</t>
  </si>
  <si>
    <t xml:space="preserve">บันทึกกิจกรรมการประมวลผล (RoPA)</t>
  </si>
  <si>
    <t xml:space="preserve">ทะเบียนข้อมูลส่วนบุคคล</t>
  </si>
  <si>
    <t xml:space="preserve">Personal data inventory</t>
  </si>
  <si>
    <t xml:space="preserve">03_RoPA | ม.39</t>
  </si>
  <si>
    <t xml:space="preserve">ทะเบียนข้อมูล: ประเภท / หมวดทั่วไป-อ่อนไหว (ม.26), แหล่งที่มา, ระบบที่จัดเก็บ, ผู้รับผิดชอบ; scope ตามหน่วยงาน</t>
  </si>
  <si>
    <t xml:space="preserve">หน้ารายการ + ฟอร์ม + ตัวกรองข้อมูลอ่อนไหว</t>
  </si>
  <si>
    <t xml:space="preserve">ข้อมูลอ่อนไหวถูกระบุและกรองได้ทุกหน่วยงาน</t>
  </si>
  <si>
    <t xml:space="preserve">ROPA-02</t>
  </si>
  <si>
    <t xml:space="preserve">ทะเบียนระบบและทรัพย์สิน</t>
  </si>
  <si>
    <t xml:space="preserve">System / asset register</t>
  </si>
  <si>
    <t xml:space="preserve">03_RoPA | ม.37(1), ม.39</t>
  </si>
  <si>
    <t xml:space="preserve">asset: ระบบ แอป ฐานข้อมูล ผู้ให้บริการ ประเทศที่ตั้งเซิร์ฟเวอร์ เจ้าของระบบ</t>
  </si>
  <si>
    <t xml:space="preserve">หน้าทะเบียนระบบ + ฟอร์ม</t>
  </si>
  <si>
    <t xml:space="preserve">กิจกรรมอ้างถึงระบบจากทะเบียนเดียวกัน</t>
  </si>
  <si>
    <t xml:space="preserve">ROPA-03</t>
  </si>
  <si>
    <t xml:space="preserve">RoPA ของผู้ควบคุมข้อมูล</t>
  </si>
  <si>
    <t xml:space="preserve">RoPA – controller</t>
  </si>
  <si>
    <t xml:space="preserve">processing activity ครบ 8 หัวข้อ ม.39 เป็นข้อมูลโครงสร้าง ผูก master data, scope ตามแผนก, คะแนนความครบถ้วน</t>
  </si>
  <si>
    <t xml:space="preserve">ฟอร์มหลายขั้นตอน + มุมมองตาราง + ตัวบ่งชี้ความครบถ้วน</t>
  </si>
  <si>
    <t xml:space="preserve">กิจกรรมที่ขาดหัวข้อบังคับแสดงสถานะ 'ไม่ครบ' พร้อมรายการที่ขาด</t>
  </si>
  <si>
    <t xml:space="preserve">ROPA-01, ROPA-02, PLT-06</t>
  </si>
  <si>
    <t xml:space="preserve">ROPA-04</t>
  </si>
  <si>
    <t xml:space="preserve">RoPA ของผู้ประมวลผลข้อมูล</t>
  </si>
  <si>
    <t xml:space="preserve">RoPA – processor</t>
  </si>
  <si>
    <t xml:space="preserve">03_RoPA | ม.40(3); ประกาศ สคส. RoPA ผู้ประมวลผล พ.ศ. 2565</t>
  </si>
  <si>
    <t xml:space="preserve">โหมดผู้ประมวลผล: ฟิลด์ตามประกาศ สคส. RoPA ผู้ประมวลผล พ.ศ. 2565</t>
  </si>
  <si>
    <t xml:space="preserve">ฟอร์มและรายการ RoPA ผู้ประมวลผล</t>
  </si>
  <si>
    <t xml:space="preserve">ส่งออก RoPA ผู้ประมวลผลได้ครบหัวข้อตามประกาศ</t>
  </si>
  <si>
    <t xml:space="preserve">ROPA-05</t>
  </si>
  <si>
    <t xml:space="preserve">เพิ่มกิจกรรมแบบปกติและแบบมาตรฐาน</t>
  </si>
  <si>
    <t xml:space="preserve">Add activity (blank or template)</t>
  </si>
  <si>
    <t xml:space="preserve">สร้างกิจกรรมเปล่าหรือเลือกจากคลัง RTG</t>
  </si>
  <si>
    <t xml:space="preserve">ปุ่มสร้างแบบเปล่า / จาก template</t>
  </si>
  <si>
    <t xml:space="preserve">สร้างจาก template แล้วได้ค่าตั้งต้นครบทุกหัวข้อ</t>
  </si>
  <si>
    <t xml:space="preserve">ROPA-03, RTG-01</t>
  </si>
  <si>
    <t xml:space="preserve">ROPA-06</t>
  </si>
  <si>
    <t xml:space="preserve">ฐานกฎหมายต่อวัตถุประสงค์</t>
  </si>
  <si>
    <t xml:space="preserve">Lawful basis mapping</t>
  </si>
  <si>
    <t xml:space="preserve">03_RoPA | ม.24, ม.26</t>
  </si>
  <si>
    <t xml:space="preserve">ฐาน ม.24/26 ต่อวัตถุประสงค์; ถ้าเป็นฐานความยินยอม → ผูก Purpose ใน CON และแสดงสถิติความยินยอม</t>
  </si>
  <si>
    <t xml:space="preserve">เลือกฐานต่อวัตถุประสงค์ + ลิงก์ Purpose</t>
  </si>
  <si>
    <t xml:space="preserve">วัตถุประสงค์ที่ใช้ฐานความยินยอมต้องผูก Purpose ก่อนบันทึก</t>
  </si>
  <si>
    <t xml:space="preserve">ROPA-03, CON-09</t>
  </si>
  <si>
    <t xml:space="preserve">ROPA-07</t>
  </si>
  <si>
    <t xml:space="preserve">ระยะเวลาเก็บรักษาและวิธีทำลาย</t>
  </si>
  <si>
    <t xml:space="preserve">Retention &amp; disposal method</t>
  </si>
  <si>
    <t xml:space="preserve">03_RoPA | ม.37(3), ม.39(4)</t>
  </si>
  <si>
    <t xml:space="preserve">ระยะเวลาเก็บ + เหตุผล / กฎหมายอ้างอิง + วิธีทำลาย ต่อข้อมูล/กิจกรรม; ส่งต่อ DPX-05</t>
  </si>
  <si>
    <t xml:space="preserve">ส่วนระยะเวลาเก็บในฟอร์มกิจกรรม</t>
  </si>
  <si>
    <t xml:space="preserve">ทุกกิจกรรมมีระยะเวลาเก็บและวิธีทำลาย</t>
  </si>
  <si>
    <t xml:space="preserve">ROPA-08</t>
  </si>
  <si>
    <t xml:space="preserve">ผู้รับข้อมูลและการโอนต่างประเทศ</t>
  </si>
  <si>
    <t xml:space="preserve">Recipients &amp; cross-border transfers</t>
  </si>
  <si>
    <t xml:space="preserve">03_RoPA | ม.27-29, ม.39(6)</t>
  </si>
  <si>
    <t xml:space="preserve">ผู้รับ (จาก ORG-06), การเปิดเผยที่ยกเว้นความยินยอม (ม.27), การโอนต่างประเทศ + ฐานการโอน ม.28/29</t>
  </si>
  <si>
    <t xml:space="preserve">ส่วนผู้รับและการโอนในฟอร์ม</t>
  </si>
  <si>
    <t xml:space="preserve">การโอนที่ไม่มีฐานการโอนถูกเตือน</t>
  </si>
  <si>
    <t xml:space="preserve">ORG-06, ORG-07</t>
  </si>
  <si>
    <t xml:space="preserve">ROPA-09</t>
  </si>
  <si>
    <t xml:space="preserve">มาตรการความปลอดภัยต่อกิจกรรม</t>
  </si>
  <si>
    <t xml:space="preserve">Security measures per activity</t>
  </si>
  <si>
    <t xml:space="preserve">03_RoPA | ม.37(1), ม.39(8)</t>
  </si>
  <si>
    <t xml:space="preserve">เลือกมาตรการจากคลัง control / ผลประเมิน DPO-09 + คำอธิบาย</t>
  </si>
  <si>
    <t xml:space="preserve">ส่วนมาตรการความปลอดภัยในฟอร์ม</t>
  </si>
  <si>
    <t xml:space="preserve">ทุกกิจกรรมอ้างอิงมาตรการตาม ม.37(1)</t>
  </si>
  <si>
    <t xml:space="preserve">DPO-09</t>
  </si>
  <si>
    <t xml:space="preserve">ROPA-10</t>
  </si>
  <si>
    <t xml:space="preserve">บันทึกการปฏิเสธคำขอใช้สิทธิ</t>
  </si>
  <si>
    <t xml:space="preserve">Log of rejected requests</t>
  </si>
  <si>
    <t xml:space="preserve">03_RoPA | ม.39(7)</t>
  </si>
  <si>
    <t xml:space="preserve">event dsar.rejected → ผูกกับกิจกรรมที่เกี่ยวข้อง แสดงในหัวข้อ ม.39(7) และในรายงาน</t>
  </si>
  <si>
    <t xml:space="preserve">แท็บการปฏิเสธคำขอในหน้ากิจกรรม</t>
  </si>
  <si>
    <t xml:space="preserve">คำขอที่ถูกปฏิเสธปรากฏใน RoPA ของกิจกรรมที่เกี่ยวข้องอัตโนมัติ</t>
  </si>
  <si>
    <t xml:space="preserve">DSAR-11</t>
  </si>
  <si>
    <t xml:space="preserve">ROPA-13</t>
  </si>
  <si>
    <t xml:space="preserve">Version control &amp; approval</t>
  </si>
  <si>
    <t xml:space="preserve">เวอร์ชัน + diff + อนุมัติโดย DPO</t>
  </si>
  <si>
    <t xml:space="preserve">หน้าประวัติเวอร์ชัน + ปุ่มส่งอนุมัติ</t>
  </si>
  <si>
    <t xml:space="preserve">กิจกรรมที่อนุมัติแล้วแก้ได้ผ่านเวอร์ชันใหม่เท่านั้น</t>
  </si>
  <si>
    <t xml:space="preserve">ดึงเข้า P1 (ใช้ PLT-08)</t>
  </si>
  <si>
    <t xml:space="preserve">ROPA-16</t>
  </si>
  <si>
    <t xml:space="preserve">ออกรายงาน RoPA</t>
  </si>
  <si>
    <t xml:space="preserve">RoPA export</t>
  </si>
  <si>
    <t xml:space="preserve">export Excel / PDF / CSV ครบ 8 หัวข้อ ม.39 (layout แบบที่ใช้ในไทย), เลือกบริษัท / แผนก, รูปแบบผู้ประมวลผลแยก</t>
  </si>
  <si>
    <t xml:space="preserve">ปุ่มส่งออก + เลือกขอบเขต</t>
  </si>
  <si>
    <t xml:space="preserve">ไฟล์ที่ส่งออกพร้อมส่ง สคส. เมื่อร้องขอ</t>
  </si>
  <si>
    <t xml:space="preserve">ROPA-18</t>
  </si>
  <si>
    <t xml:space="preserve">นำเข้า RoPA จาก Excel เดิม</t>
  </si>
  <si>
    <t xml:space="preserve">03_RoPA | แนวปฏิบัติตลาด</t>
  </si>
  <si>
    <t xml:space="preserve">template Excel ภาษาไทย, map คอลัมน์ ↔ ฟิลด์ RoPA, จับคู่ master data แบบ fuzzy, รายงานแถวที่ไม่ครบ</t>
  </si>
  <si>
    <t xml:space="preserve">wizard นำเข้า RoPA</t>
  </si>
  <si>
    <t xml:space="preserve">นำเข้า RoPA 500 กิจกรรมจาก Excel ได้ และรายงานรายการที่ต้องแก้</t>
  </si>
  <si>
    <t xml:space="preserve">ดึงเข้า P1 เพื่อให้ลูกค้าย้ายจาก Excel ได้ทันที (T26)</t>
  </si>
  <si>
    <t xml:space="preserve">ROPA-11</t>
  </si>
  <si>
    <t xml:space="preserve">แบบสอบถามเก็บข้อมูลจากหน่วยงาน</t>
  </si>
  <si>
    <t xml:space="preserve">Data mapping questionnaire</t>
  </si>
  <si>
    <t xml:space="preserve">ส่งแบบสอบถาม (PLT-06) ให้แผนก, map คำตอบ → ฟิลด์ RoPA, DPO อนุมัติก่อนบันทึก</t>
  </si>
  <si>
    <t xml:space="preserve">หน้าส่งแบบสอบถามและติดตามผู้ตอบ</t>
  </si>
  <si>
    <t xml:space="preserve">คำตอบที่อนุมัติแล้วเข้า RoPA อัตโนมัติ</t>
  </si>
  <si>
    <t xml:space="preserve">PLT-06, ROPA-03</t>
  </si>
  <si>
    <t xml:space="preserve">ROPA-12</t>
  </si>
  <si>
    <t xml:space="preserve">ถาม-ตอบกับ DPO หรือที่ปรึกษา</t>
  </si>
  <si>
    <t xml:space="preserve">Activity Q&amp;A</t>
  </si>
  <si>
    <t xml:space="preserve">ใช้ comment / mention กลาง + สถานะคำถาม (เปิด / ตอบแล้ว)</t>
  </si>
  <si>
    <t xml:space="preserve">แท็บถาม-ตอบในหน้ากิจกรรม</t>
  </si>
  <si>
    <t xml:space="preserve">คำถามที่ยังไม่ตอบแสดงในรายการงานของผู้รับ</t>
  </si>
  <si>
    <t xml:space="preserve">ROPA-14</t>
  </si>
  <si>
    <t xml:space="preserve">วงจรชีวิตของกิจกรรม</t>
  </si>
  <si>
    <t xml:space="preserve">Activity lifecycle</t>
  </si>
  <si>
    <t xml:space="preserve">สถานะ ร่าง → ใช้งาน → สิ้นสุด, ปิดโดยเก็บประวัติและเหตุผล</t>
  </si>
  <si>
    <t xml:space="preserve">ปุ่มเปลี่ยนสถานะ + ตัวกรอง</t>
  </si>
  <si>
    <t xml:space="preserve">กิจกรรมที่สิ้นสุดไม่ปรากฏในรายงานปัจจุบันแต่ค้นย้อนหลังได้</t>
  </si>
  <si>
    <t xml:space="preserve">ROPA-15</t>
  </si>
  <si>
    <t xml:space="preserve">แจ้งเตือนทบทวน RoPA ตามรอบ</t>
  </si>
  <si>
    <t xml:space="preserve">รอบทบทวนต่อกิจกรรม, River cron แจ้งเจ้าของ</t>
  </si>
  <si>
    <t xml:space="preserve">ตั้งรอบทบทวนในหน้ากิจกรรม</t>
  </si>
  <si>
    <t xml:space="preserve">เจ้าของกิจกรรมได้รับงานทบทวนตามรอบ</t>
  </si>
  <si>
    <t xml:space="preserve">ROPA-17</t>
  </si>
  <si>
    <t xml:space="preserve">แดชบอร์ด RoPA</t>
  </si>
  <si>
    <t xml:space="preserve">RoPA dashboard</t>
  </si>
  <si>
    <t xml:space="preserve">API สถิติกิจกรรม / สถานะ / ฐาน / ข้อมูลอ่อนไหว ตามหน่วยงาน</t>
  </si>
  <si>
    <t xml:space="preserve">dashboard RoPA</t>
  </si>
  <si>
    <t xml:space="preserve">ตัวเลขใน dashboard ตรงกับทะเบียน</t>
  </si>
  <si>
    <t xml:space="preserve">ROPA-19</t>
  </si>
  <si>
    <t xml:space="preserve">เชื่อม RoPA กับโมดูลอื่น</t>
  </si>
  <si>
    <t xml:space="preserve">Cross-module links</t>
  </si>
  <si>
    <t xml:space="preserve">event ropa.updated → งานทบทวนใน Notice / DPIA / Data Flow / Purpose ที่เกี่ยวข้อง</t>
  </si>
  <si>
    <t xml:space="preserve">แท็บความเชื่อมโยงในหน้ากิจกรรม</t>
  </si>
  <si>
    <t xml:space="preserve">แก้ RoPA แล้วเจ้าของเอกสารที่เกี่ยวข้องได้รับงานทบทวน</t>
  </si>
  <si>
    <t xml:space="preserve">ROPA-20</t>
  </si>
  <si>
    <t xml:space="preserve">ตรวจสิทธิ์ยกเว้นกิจการขนาดเล็ก</t>
  </si>
  <si>
    <t xml:space="preserve">SME exemption check</t>
  </si>
  <si>
    <t xml:space="preserve">03_RoPA | ประกาศ สคส. ยกเว้นกิจการขนาดเล็ก พ.ศ. 2565 และ พ.ศ. 2567</t>
  </si>
  <si>
    <t xml:space="preserve">แบบประเมินตามประกาศยกเว้นกิจการขนาดเล็ก 2565 / 2567 (PLT-06) + ผลและเหตุผล</t>
  </si>
  <si>
    <t xml:space="preserve">wizard ตรวจสิทธิ์ยกเว้น</t>
  </si>
  <si>
    <t xml:space="preserve">ผลประเมินระบุว่าได้รับยกเว้นหรือไม่พร้อมเหตุผลอ้างประกาศ</t>
  </si>
  <si>
    <t xml:space="preserve">RTG-01</t>
  </si>
  <si>
    <t xml:space="preserve">RTG</t>
  </si>
  <si>
    <t xml:space="preserve">RoPA ฉบับมาตรฐาน (ROPA Template Generator)</t>
  </si>
  <si>
    <t xml:space="preserve">คลังกิจกรรมมาตรฐานตามหมวดงาน</t>
  </si>
  <si>
    <t xml:space="preserve">Standard activity library</t>
  </si>
  <si>
    <t xml:space="preserve">04_ROPA_Template | ม.39</t>
  </si>
  <si>
    <t xml:space="preserve">คลังกิจกรรมมาตรฐาน (reference data ระดับแพลตฟอร์ม มีเวอร์ชัน) + ค่าตั้งต้นครบ ม.39</t>
  </si>
  <si>
    <t xml:space="preserve">หน้าเลือกหมวดงาน / กิจกรรม + ดูค่าตั้งต้น</t>
  </si>
  <si>
    <t xml:space="preserve">มีกิจกรรมมาตรฐานอย่างน้อย 50 รายการใน P1 ครบทุกหัวข้อ ม.39</t>
  </si>
  <si>
    <t xml:space="preserve">ROPA-03, T15</t>
  </si>
  <si>
    <t xml:space="preserve">ดึงเข้า P1: จุดขายหลักเทียบ OneTrust; เนื้อหาจาก T15</t>
  </si>
  <si>
    <t xml:space="preserve">RTG-04</t>
  </si>
  <si>
    <t xml:space="preserve">สร้าง RoPA จาก template ในไม่กี่ขั้นตอน</t>
  </si>
  <si>
    <t xml:space="preserve">One-click generation</t>
  </si>
  <si>
    <t xml:space="preserve">เลือกหมวด → กิจกรรม → แผนก → สร้างร่าง RoPA หลายรายการพร้อมกัน (clone ค่าตั้งต้น + ผูก master data ของ tenant)</t>
  </si>
  <si>
    <t xml:space="preserve">wizard 3 ขั้นตอน + สรุปก่อนสร้าง</t>
  </si>
  <si>
    <t xml:space="preserve">สร้างร่าง RoPA 20 กิจกรรมได้ในครั้งเดียว</t>
  </si>
  <si>
    <t xml:space="preserve">ดึงเข้า P1 คู่กับ RTG-01</t>
  </si>
  <si>
    <t xml:space="preserve">RTG-05</t>
  </si>
  <si>
    <t xml:space="preserve">Wizard ถาม-ตอบภาษาง่าย</t>
  </si>
  <si>
    <t xml:space="preserve">Question-based wizard</t>
  </si>
  <si>
    <t xml:space="preserve">P2</t>
  </si>
  <si>
    <t xml:space="preserve">คำถามภาษาง่าย → map เป็นฟิลด์ RoPA (rule mapping), สรุปก่อนบันทึก</t>
  </si>
  <si>
    <t xml:space="preserve">wizard ถาม-ตอบทีละขั้น + preview RoPA</t>
  </si>
  <si>
    <t xml:space="preserve">ผู้ใช้ทั่วไปสร้าง RoPA ครบหัวข้อได้โดยไม่ต้องรู้ศัพท์กฎหมาย</t>
  </si>
  <si>
    <t xml:space="preserve">RTG-06</t>
  </si>
  <si>
    <t xml:space="preserve">ค่าแนะนำพร้อมเหตุผล</t>
  </si>
  <si>
    <t xml:space="preserve">Suggested defaults with rationale</t>
  </si>
  <si>
    <t xml:space="preserve">04_ROPA_Template | ม.24, ม.26, ม.39</t>
  </si>
  <si>
    <t xml:space="preserve">rule แนะนำฐานกฎหมาย / ระยะเวลาเก็บ / ประเภทข้อมูลจากกิจกรรม + คำอธิบายอ้างมาตรา; ผู้ใช้ยืนยันทีละข้อ</t>
  </si>
  <si>
    <t xml:space="preserve">ป้ายค่าแนะนำ + เหตุผล + ปุ่มยืนยัน</t>
  </si>
  <si>
    <t xml:space="preserve">ค่าแนะนำทุกข้อมีเหตุผลอ้างมาตรา และไม่ถูกบันทึกจนกว่าผู้ใช้ยืนยัน</t>
  </si>
  <si>
    <t xml:space="preserve">RTG-12</t>
  </si>
  <si>
    <t xml:space="preserve">ส่งออก template และร่าง RoPA</t>
  </si>
  <si>
    <t xml:space="preserve">Export templates</t>
  </si>
  <si>
    <t xml:space="preserve">export template และร่าง RoPA เป็น Excel / Word ตามแบบฟอร์มมาตรฐาน</t>
  </si>
  <si>
    <t xml:space="preserve">ปุ่มส่งออก</t>
  </si>
  <si>
    <t xml:space="preserve">ไฟล์ส่งออกเปิดได้ทั้ง Excel และ Word</t>
  </si>
  <si>
    <t xml:space="preserve">RTG-02</t>
  </si>
  <si>
    <t xml:space="preserve">Template ตามอุตสาหกรรม</t>
  </si>
  <si>
    <t xml:space="preserve">04_ROPA_Template | แนวปฏิบัติตลาด</t>
  </si>
  <si>
    <t xml:space="preserve">ชุดกิจกรรมตามอุตสาหกรรม (เนื้อหาจาก T40)</t>
  </si>
  <si>
    <t xml:space="preserve">ตัวกรองตามอุตสาหกรรม</t>
  </si>
  <si>
    <t xml:space="preserve">มีชุดกิจกรรมครบ 6 อุตสาหกรรม</t>
  </si>
  <si>
    <t xml:space="preserve">RTG-01, T40</t>
  </si>
  <si>
    <t xml:space="preserve">RTG-03</t>
  </si>
  <si>
    <t xml:space="preserve">Template ภาครัฐตามแม่แบบ สพร.</t>
  </si>
  <si>
    <t xml:space="preserve">Government templates (DGA)</t>
  </si>
  <si>
    <t xml:space="preserve">04_ROPA_Template | เอกสารแม่แบบผู้ควบคุมข้อมูลภาครัฐ สพร. v1.0 (2564)</t>
  </si>
  <si>
    <t xml:space="preserve">ชุด template ตามแม่แบบผู้ควบคุมข้อมูลภาครัฐของ สพร.</t>
  </si>
  <si>
    <t xml:space="preserve">ตัวกรองภาครัฐ</t>
  </si>
  <si>
    <t xml:space="preserve">RoPA ที่สร้างมีหัวข้อตามแม่แบบ สพร.</t>
  </si>
  <si>
    <t xml:space="preserve">RTG-07</t>
  </si>
  <si>
    <t xml:space="preserve">สร้าง RoPA ผู้ประมวลผลจาก template</t>
  </si>
  <si>
    <t xml:space="preserve">Processor RoPA templates</t>
  </si>
  <si>
    <t xml:space="preserve">04_ROPA_Template | ประกาศ สคส. RoPA ผู้ประมวลผล พ.ศ. 2565</t>
  </si>
  <si>
    <t xml:space="preserve">template สำหรับองค์กรที่เป็นผู้ประมวลผล</t>
  </si>
  <si>
    <t xml:space="preserve">ตัวกรอง template ผู้ประมวลผล</t>
  </si>
  <si>
    <t xml:space="preserve">สร้าง RoPA ผู้ประมวลผลจาก template ได้</t>
  </si>
  <si>
    <t xml:space="preserve">RTG-08</t>
  </si>
  <si>
    <t xml:space="preserve">แก้ไขและสร้าง template ขององค์กร</t>
  </si>
  <si>
    <t xml:space="preserve">Custom templates</t>
  </si>
  <si>
    <t xml:space="preserve">clone template กลาง → template ของกลุ่มบริษัท, publish ให้บริษัทในเครือ</t>
  </si>
  <si>
    <t xml:space="preserve">หน้าแก้ไข template ขององค์กร</t>
  </si>
  <si>
    <t xml:space="preserve">บริษัทในเครือใช้ template มาตรฐานของกลุ่มได้</t>
  </si>
  <si>
    <t xml:space="preserve">RTG-09</t>
  </si>
  <si>
    <t xml:space="preserve">Template สองภาษา</t>
  </si>
  <si>
    <t xml:space="preserve">Bilingual templates</t>
  </si>
  <si>
    <t xml:space="preserve">เนื้อหา template TH/EN ครบทุกรายการ</t>
  </si>
  <si>
    <t xml:space="preserve">สลับภาษาในหน้า template</t>
  </si>
  <si>
    <t xml:space="preserve">ทุก template มีทั้ง TH และ EN</t>
  </si>
  <si>
    <t xml:space="preserve">RTG-10</t>
  </si>
  <si>
    <t xml:space="preserve">เวอร์ชัน template และแจ้งเมื่อกฎหมายเปลี่ยน</t>
  </si>
  <si>
    <t xml:space="preserve">Template versioning</t>
  </si>
  <si>
    <t xml:space="preserve">เวอร์ชัน template; ออกเวอร์ชันใหม่แล้วหา RoPA ที่สร้างจากเวอร์ชันเก่าและสร้างงานทบทวน</t>
  </si>
  <si>
    <t xml:space="preserve">หน้าประวัติ template + รายการที่ต้องทบทวน</t>
  </si>
  <si>
    <t xml:space="preserve">ประกาศ สคส. ใหม่ → กิจกรรมที่ได้รับผลกระทบได้รับงานทบทวน</t>
  </si>
  <si>
    <t xml:space="preserve">RTG-11</t>
  </si>
  <si>
    <t xml:space="preserve">มอบหมายร่าง RoPA ให้หน่วยงานยืนยัน</t>
  </si>
  <si>
    <t xml:space="preserve">Auto task to department</t>
  </si>
  <si>
    <t xml:space="preserve">สร้างงานให้แผนกเจ้าของยืนยันร่างอัตโนมัติ + SLA</t>
  </si>
  <si>
    <t xml:space="preserve">กล่องงานยืนยันร่างของแผนก</t>
  </si>
  <si>
    <t xml:space="preserve">ร่างที่ยังไม่ยืนยันถูกเตือนตาม SLA</t>
  </si>
  <si>
    <t xml:space="preserve">RTG-13</t>
  </si>
  <si>
    <t xml:space="preserve">AI แนะนำกิจกรรมจากคำอธิบายงาน</t>
  </si>
  <si>
    <t xml:space="preserve">AI activity suggestion</t>
  </si>
  <si>
    <t xml:space="preserve">04_ROPA_Template | แนวโน้มตลาด</t>
  </si>
  <si>
    <t xml:space="preserve">AI วิเคราะห์คำอธิบายงาน / เอกสาร → แนะนำกิจกรรมจากคลังและฟิลด์ที่ควรมี</t>
  </si>
  <si>
    <t xml:space="preserve">ช่องใส่คำอธิบายงาน + รายการคำแนะนำให้ยืนยัน</t>
  </si>
  <si>
    <t xml:space="preserve">คำแนะนำทุกข้อต้องมีคนยืนยันก่อนสร้างกิจกรรม</t>
  </si>
  <si>
    <t xml:space="preserve">DFG-01</t>
  </si>
  <si>
    <t xml:space="preserve">DFG</t>
  </si>
  <si>
    <t xml:space="preserve">แผนผังการไหลของข้อมูล (Data Flow Generator)</t>
  </si>
  <si>
    <t xml:space="preserve">สร้างแผนผังอัตโนมัติจาก RoPA</t>
  </si>
  <si>
    <t xml:space="preserve">Auto data flow diagram</t>
  </si>
  <si>
    <t xml:space="preserve">12_DataFlow | ม.39</t>
  </si>
  <si>
    <t xml:space="preserve">graph API: node (แหล่ง / ระบบ / หน่วยงาน / ผู้รับ / ประเทศ) และ edge (เก็บ / ใช้ / ส่ง / โอน / ทำลาย) สร้างจาก RoPA</t>
  </si>
  <si>
    <t xml:space="preserve">React Flow + ELK auto-layout แยก swimlane ตามหน่วยงาน, legend, zoom / filter</t>
  </si>
  <si>
    <t xml:space="preserve">แผนผังของ 50 กิจกรรมแสดงภายใน 3 วินาทีและตรงกับข้อมูล RoPA</t>
  </si>
  <si>
    <t xml:space="preserve">DFG-02</t>
  </si>
  <si>
    <t xml:space="preserve">อัปเดตแผนผังเมื่อข้อมูลเปลี่ยน</t>
  </si>
  <si>
    <t xml:space="preserve">Auto refresh</t>
  </si>
  <si>
    <t xml:space="preserve">ฟัง event ropa.updated / masterdata.updated → rebuild graph เฉพาะส่วน, คงตำแหน่งที่ผู้ใช้จัดไว้</t>
  </si>
  <si>
    <t xml:space="preserve">ป้ายแจ้งว่าแผนผังอัปเดตแล้ว</t>
  </si>
  <si>
    <t xml:space="preserve">แก้ RoPA แล้วแผนผังเปลี่ยนตามโดยไม่ต้องสร้างใหม่</t>
  </si>
  <si>
    <t xml:space="preserve">DFG-01, PLT-11</t>
  </si>
  <si>
    <t xml:space="preserve">DFG-03</t>
  </si>
  <si>
    <t xml:space="preserve">แสดงการโอนไปต่างประเทศ</t>
  </si>
  <si>
    <t xml:space="preserve">Cross-border mapping</t>
  </si>
  <si>
    <t xml:space="preserve">12_DataFlow | ม.28-29; ประกาศ สคส. ตามมาตรา 28 และ 29 พ.ศ. 2566</t>
  </si>
  <si>
    <t xml:space="preserve">node ประเทศปลายทาง + ป้ายฐานการโอน, เตือนเส้นทางที่ไม่มีฐาน</t>
  </si>
  <si>
    <t xml:space="preserve">สัญลักษณ์การโอนต่างประเทศบนแผนผัง</t>
  </si>
  <si>
    <t xml:space="preserve">เส้นทางโอนที่ไม่มีฐานการโอนแสดงเป็นสีเตือน</t>
  </si>
  <si>
    <t xml:space="preserve">DFG-04</t>
  </si>
  <si>
    <t xml:space="preserve">แสดงผู้ประมวลผลและผู้รับข้อมูล</t>
  </si>
  <si>
    <t xml:space="preserve">Processor &amp; recipient mapping</t>
  </si>
  <si>
    <t xml:space="preserve">12_DataFlow | ม.40</t>
  </si>
  <si>
    <t xml:space="preserve">node ผู้รับ + ลิงก์ DPA / DSA, เตือนผู้ประมวลผลที่ไม่มี DPA</t>
  </si>
  <si>
    <t xml:space="preserve">คลิก node เพื่อดูสัญญา</t>
  </si>
  <si>
    <t xml:space="preserve">ผู้ประมวลผลที่ไม่มี DPA แสดงเตือนบนแผนผัง</t>
  </si>
  <si>
    <t xml:space="preserve">DPA-11, DSA-11</t>
  </si>
  <si>
    <t xml:space="preserve">DFG-08</t>
  </si>
  <si>
    <t xml:space="preserve">ส่งออกภาพและรายงาน</t>
  </si>
  <si>
    <t xml:space="preserve">Export image &amp; report</t>
  </si>
  <si>
    <t xml:space="preserve">export PNG / SVG / PDF กำหนดขนาดได้ (render ฝั่ง server ด้วย headless Chromium) + รายงานประกอบ</t>
  </si>
  <si>
    <t xml:space="preserve">ตัวเลือกขนาดและรูปแบบไฟล์</t>
  </si>
  <si>
    <t xml:space="preserve">ภาพที่ส่งออกอ่านได้ชัดในขนาด A3</t>
  </si>
  <si>
    <t xml:space="preserve">DFG-05</t>
  </si>
  <si>
    <t xml:space="preserve">แก้ไขแผนผังแบบลากวาง</t>
  </si>
  <si>
    <t xml:space="preserve">Drag &amp; drop editor</t>
  </si>
  <si>
    <t xml:space="preserve">12_DataFlow | แนวปฏิบัติตลาด</t>
  </si>
  <si>
    <t xml:space="preserve">บันทึก layout overlay (ตำแหน่ง / คำอธิบาย) ต่อเวอร์ชัน</t>
  </si>
  <si>
    <t xml:space="preserve">ลากวาง, เพิ่มคำอธิบาย, undo / redo, คืนค่าเดิม</t>
  </si>
  <si>
    <t xml:space="preserve">ตำแหน่งที่จัดเองยังอยู่หลังข้อมูลอัปเดต</t>
  </si>
  <si>
    <t xml:space="preserve">DFG-06</t>
  </si>
  <si>
    <t xml:space="preserve">มุมมองหลายระดับ</t>
  </si>
  <si>
    <t xml:space="preserve">Multi-view</t>
  </si>
  <si>
    <t xml:space="preserve">query graph หลายมุม: รายแผนก / ระบบ / บริษัท / ประเภทข้อมูล</t>
  </si>
  <si>
    <t xml:space="preserve">ตัวเลือกมุมมอง</t>
  </si>
  <si>
    <t xml:space="preserve">สลับมุมมองได้โดยข้อมูลตรงกัน</t>
  </si>
  <si>
    <t xml:space="preserve">DFG-07</t>
  </si>
  <si>
    <t xml:space="preserve">เผยแพร่และประวัติเวอร์ชันแผนผัง</t>
  </si>
  <si>
    <t xml:space="preserve">Publish &amp; history</t>
  </si>
  <si>
    <t xml:space="preserve">snapshot แผนผังที่ publish + ประวัติ</t>
  </si>
  <si>
    <t xml:space="preserve">ปุ่ม publish + ดูเวอร์ชันเก่า</t>
  </si>
  <si>
    <t xml:space="preserve">ดูแผนผังที่ publish ย้อนหลังได้</t>
  </si>
  <si>
    <t xml:space="preserve">DFG-09</t>
  </si>
  <si>
    <t xml:space="preserve">ค้นหาข้อมูลส่วนบุคคลอัตโนมัติ (Data Discovery)</t>
  </si>
  <si>
    <t xml:space="preserve">Data discovery</t>
  </si>
  <si>
    <t xml:space="preserve">12_DataFlow | ม.37(1)</t>
  </si>
  <si>
    <t xml:space="preserve">discovery ผ่าน connector: sampling จาก DB / ไฟล์ / S3, classifier ข้อมูลไทย (เลขบัตร 13 หลัก + checksum, เบอร์ไทย, ชื่อ-สกุลไทยด้วยพจนานุกรม / ML), เก็บเฉพาะ metadata ไม่เก็บค่าจริง, เสนอเพิ่มในทะเบียน</t>
  </si>
  <si>
    <t xml:space="preserve">หน้าผลสแกน + ยืนยัน / ปฏิเสธข้อเสนอ</t>
  </si>
  <si>
    <t xml:space="preserve">ตรวจจับเลขบัตรประชาชนในชุดทดสอบได้อย่างน้อย 95% และไม่มีค่าจริงถูกเก็บในระบบ</t>
  </si>
  <si>
    <t xml:space="preserve">OneTrust ไม่มี classifier ไทย (จุดต่าง)</t>
  </si>
  <si>
    <t xml:space="preserve">DFG-10</t>
  </si>
  <si>
    <t xml:space="preserve">แผนผังระดับระบบ (Data lineage)</t>
  </si>
  <si>
    <t xml:space="preserve">System-level lineage</t>
  </si>
  <si>
    <t xml:space="preserve">12_DataFlow | แนวโน้มตลาด</t>
  </si>
  <si>
    <t xml:space="preserve">แผนผังระดับระบบจากทะเบียน asset และการเชื่อมต่อ</t>
  </si>
  <si>
    <t xml:space="preserve">มุมมอง lineage ระดับระบบ</t>
  </si>
  <si>
    <t xml:space="preserve">แสดงการไหลระหว่างระบบตรงกับทะเบียน asset</t>
  </si>
  <si>
    <t xml:space="preserve">DFG-11</t>
  </si>
  <si>
    <t xml:space="preserve">แผนที่โลกของการโอนข้อมูล</t>
  </si>
  <si>
    <t xml:space="preserve">Transfer world map</t>
  </si>
  <si>
    <t xml:space="preserve">ข้อมูลเส้นทางการโอนรายประเทศ</t>
  </si>
  <si>
    <t xml:space="preserve">แผนที่โลก (ECharts geo) แสดงเส้นทางการโอน</t>
  </si>
  <si>
    <t xml:space="preserve">คลิกประเทศแล้วเห็นกิจกรรมที่โอนไปประเทศนั้น</t>
  </si>
  <si>
    <t xml:space="preserve">DSAR-01</t>
  </si>
  <si>
    <t xml:space="preserve">DSAR</t>
  </si>
  <si>
    <t xml:space="preserve">คำขอใช้สิทธิของเจ้าของข้อมูล (DSAR)</t>
  </si>
  <si>
    <t xml:space="preserve">แบบฟอร์มขอใช้สิทธิออนไลน์</t>
  </si>
  <si>
    <t xml:space="preserve">DSR web form</t>
  </si>
  <si>
    <t xml:space="preserve">02_DSAR | ม.30-36</t>
  </si>
  <si>
    <t xml:space="preserve">ฟอร์มจาก PLT-06, เวอร์ชัน, เผยแพร่ลิงก์ / embed / QR, สร้างเลขที่คำขอและส่งให้ผู้ยื่นทางอีเมล / SMS ทันที</t>
  </si>
  <si>
    <t xml:space="preserve">ฟอร์มใน portal + หน้าตั้งค่าฟอร์มใน admin</t>
  </si>
  <si>
    <t xml:space="preserve">ผู้ยื่นได้เลขที่คำขอทันทีหลังส่ง</t>
  </si>
  <si>
    <t xml:space="preserve">PLT-06, PLT-17</t>
  </si>
  <si>
    <t xml:space="preserve">DSAR-02</t>
  </si>
  <si>
    <t xml:space="preserve">รับคำขอหลายช่องทาง</t>
  </si>
  <si>
    <t xml:space="preserve">Multi-channel intake</t>
  </si>
  <si>
    <t xml:space="preserve">02_DSAR | ม.30</t>
  </si>
  <si>
    <t xml:space="preserve">เจ้าหน้าที่ลงคำขอแทน (ช่องทาง อีเมล / โทร / สาขา / จดหมาย / LINE) + แนบไฟล์, API รับคำขอจากแอป</t>
  </si>
  <si>
    <t xml:space="preserve">หน้าเจ้าหน้าที่บันทึกคำขอ</t>
  </si>
  <si>
    <t xml:space="preserve">คำขอทุกช่องทางเข้าคิวเดียวกันและระบุช่องทางที่มา</t>
  </si>
  <si>
    <t xml:space="preserve">DSAR-08</t>
  </si>
  <si>
    <t xml:space="preserve">DSAR-03</t>
  </si>
  <si>
    <t xml:space="preserve">ครอบคลุมสิทธิทุกประเภท</t>
  </si>
  <si>
    <t xml:space="preserve">All data subject rights</t>
  </si>
  <si>
    <t xml:space="preserve">02_DSAR | ม.19, ม.30-36</t>
  </si>
  <si>
    <t xml:space="preserve">ประเภทคำขอตาม ม.19, 30-36 + ขั้นตอนเฉพาะของแต่ละสิทธิ (เช่น ขอสำเนาต้องแจ้งแหล่งที่มา)</t>
  </si>
  <si>
    <t xml:space="preserve">ตัวเลือกประเภทสิทธิในฟอร์มและหน้าคำขอ</t>
  </si>
  <si>
    <t xml:space="preserve">ทุกประเภทสิทธิมี workflow และหนังสือตอบของตนเอง</t>
  </si>
  <si>
    <t xml:space="preserve">DSAR-04</t>
  </si>
  <si>
    <t xml:space="preserve">ยื่นคำขอแทนเจ้าของข้อมูล</t>
  </si>
  <si>
    <t xml:space="preserve">Authorized agent / guardian</t>
  </si>
  <si>
    <t xml:space="preserve">02_DSAR | ม.20</t>
  </si>
  <si>
    <t xml:space="preserve">ผู้ยื่นแทน: ประเภทอำนาจ (ม.20), เอกสารมอบอำนาจ / เอกสารผู้ปกครอง, ยืนยันทั้งผู้ยื่นและเจ้าของข้อมูล</t>
  </si>
  <si>
    <t xml:space="preserve">ส่วนผู้ยื่นแทนในฟอร์ม</t>
  </si>
  <si>
    <t xml:space="preserve">คำขอแทนต้องมีเอกสารยืนยันอำนาจก่อนดำเนินการ</t>
  </si>
  <si>
    <t xml:space="preserve">DSAR-06</t>
  </si>
  <si>
    <t xml:space="preserve">ยืนยันตัวตนผู้ยื่นคำขอ</t>
  </si>
  <si>
    <t xml:space="preserve">02_DSAR | แนวปฏิบัติตลาด</t>
  </si>
  <si>
    <t xml:space="preserve">OTP (IAM-05), แนบสำเนาบัตรและปกปิดเลขอัตโนมัติ (หาเลข 13 หลักด้วย OCR แล้ว mask), ตรวจกับข้อมูลในระบบ, บันทึกเวลายืนยัน</t>
  </si>
  <si>
    <t xml:space="preserve">ขั้นตอนยืนยันตัวตนใน portal + หน้าตรวจของเจ้าหน้าที่</t>
  </si>
  <si>
    <t xml:space="preserve">เลขบัตรในไฟล์ที่เก็บถูกปกปิดเสมอ และบันทึกวันยืนยันตัวตน</t>
  </si>
  <si>
    <t xml:space="preserve">ThaID / NDID ต่อยอดผ่าน ORG-15</t>
  </si>
  <si>
    <t xml:space="preserve">DSAR-07</t>
  </si>
  <si>
    <t xml:space="preserve">นับเวลา SLA 30 วัน</t>
  </si>
  <si>
    <t xml:space="preserve">SLA tracking (30 days)</t>
  </si>
  <si>
    <t xml:space="preserve">02_DSAR | ม.30 วรรคสาม</t>
  </si>
  <si>
    <t xml:space="preserve">SLA 30 วันนับจากวันรับคำขอ (PLT-05), แจ้งเตือนและ escalate</t>
  </si>
  <si>
    <t xml:space="preserve">ป้าย SLA และรายการใกล้ / เกินกำหนด</t>
  </si>
  <si>
    <t xml:space="preserve">คำขอที่เหลือ 7 วันถูกแจ้งเตือนผู้รับผิดชอบและ DPO</t>
  </si>
  <si>
    <t xml:space="preserve">Workflow และงานย่อย</t>
  </si>
  <si>
    <t xml:space="preserve">Workflow &amp; subtasks</t>
  </si>
  <si>
    <t xml:space="preserve">workflow มาตรฐาน พิจารณา → ยืนยันตัวตน → รวบรวม → ดำเนินการ → แจ้งผล, subtask ให้เจ้าของระบบ / ทีม, rule มอบหมายตามประเภทและบริษัท</t>
  </si>
  <si>
    <t xml:space="preserve">หน้าคำขอ (timeline, subtask, เอกสาร), กระดานคิวคำขอ</t>
  </si>
  <si>
    <t xml:space="preserve">คำขอเดินครบทุกขั้นตอนและปิดได้เมื่อ subtask เสร็จทั้งหมด</t>
  </si>
  <si>
    <t xml:space="preserve">ปฏิเสธคำขอพร้อมเหตุผล</t>
  </si>
  <si>
    <t xml:space="preserve">Rejection with reason</t>
  </si>
  <si>
    <t xml:space="preserve">02_DSAR | ม.30, ม.39(7)</t>
  </si>
  <si>
    <t xml:space="preserve">เลือกเหตุปฏิเสธตามกฎหมาย, ต้องมีผู้อนุมัติ, ส่งหนังสือแจ้ง, event dsar.rejected (→ ROPA-10)</t>
  </si>
  <si>
    <t xml:space="preserve">ขั้นตอนปฏิเสธ + เลือกเหตุผล</t>
  </si>
  <si>
    <t xml:space="preserve">การปฏิเสธต้องมีเหตุผลและผู้อนุมัติ และถูกบันทึกเข้า RoPA อัตโนมัติ</t>
  </si>
  <si>
    <t xml:space="preserve">DSAR-13</t>
  </si>
  <si>
    <t xml:space="preserve">template หนังสือตอบกลับ</t>
  </si>
  <si>
    <t xml:space="preserve">Response templates</t>
  </si>
  <si>
    <t xml:space="preserve">template หนังสือตอบ TH/EN ต่อประเภทสิทธิและผล (document composer) + merge ข้อมูลคำขอ</t>
  </si>
  <si>
    <t xml:space="preserve">เลือก template + แก้ก่อนส่ง</t>
  </si>
  <si>
    <t xml:space="preserve">หนังสือตอบถูกสร้างอัตโนมัติตามประเภทสิทธิและผลการพิจารณา</t>
  </si>
  <si>
    <t xml:space="preserve">DSAR-14</t>
  </si>
  <si>
    <t xml:space="preserve">ส่งข้อมูลให้เจ้าของข้อมูลอย่างปลอดภัย</t>
  </si>
  <si>
    <t xml:space="preserve">Secure delivery</t>
  </si>
  <si>
    <t xml:space="preserve">02_DSAR | ม.37(1)</t>
  </si>
  <si>
    <t xml:space="preserve">แพ็กไฟล์ผลลัพธ์เข้ารหัส, ลิงก์หมดอายุ + รหัสผ่าน / OTP, บันทึกการดาวน์โหลด, ลบไฟล์อัตโนมัติเมื่อหมดอายุ</t>
  </si>
  <si>
    <t xml:space="preserve">หน้ารับไฟล์ใน portal</t>
  </si>
  <si>
    <t xml:space="preserve">ลิงก์หมดอายุตามที่ตั้งและมี log การดาวน์โหลด</t>
  </si>
  <si>
    <t xml:space="preserve">PLT-09, PLT-17</t>
  </si>
  <si>
    <t xml:space="preserve">DSAR-15</t>
  </si>
  <si>
    <t xml:space="preserve">ส่งออกข้อมูลแบบอ่านได้ด้วยเครื่อง</t>
  </si>
  <si>
    <t xml:space="preserve">Portability export</t>
  </si>
  <si>
    <t xml:space="preserve">02_DSAR | ม.31</t>
  </si>
  <si>
    <t xml:space="preserve">รวมข้อมูลเป็น CSV / JSON / XML ตาม schema มาตรฐาน; ส่งให้ผู้ควบคุมรายอื่นผ่าน API / SFTP เมื่อทำได้</t>
  </si>
  <si>
    <t xml:space="preserve">ตัวเลือกรูปแบบไฟล์</t>
  </si>
  <si>
    <t xml:space="preserve">ไฟล์ portability เปิดอ่านด้วยเครื่องได้และตรงกับข้อมูลในระบบ</t>
  </si>
  <si>
    <t xml:space="preserve">DSAR-17</t>
  </si>
  <si>
    <t xml:space="preserve">ประวัติและสืบค้นคำขอ</t>
  </si>
  <si>
    <t xml:space="preserve">Request history &amp; search</t>
  </si>
  <si>
    <t xml:space="preserve">02_DSAR | ม.39(7)</t>
  </si>
  <si>
    <t xml:space="preserve">ประวัติ / timeline, วันกำหนด, วันยืนยันตัวตน, ค้นหาย้อนหลังตามเลขคำขอ / บุคคล (blind index)</t>
  </si>
  <si>
    <t xml:space="preserve">หน้าค้นหาคำขอ + timeline</t>
  </si>
  <si>
    <t xml:space="preserve">ค้นหาคำขอย้อนหลังด้วยเลขคำขอหรืออีเมลได้</t>
  </si>
  <si>
    <t xml:space="preserve">DSAR-18</t>
  </si>
  <si>
    <t xml:space="preserve">รายงานและแดชบอร์ดคำขอ</t>
  </si>
  <si>
    <t xml:space="preserve">DSR reports &amp; dashboard</t>
  </si>
  <si>
    <t xml:space="preserve">API สถิติคำขอตามประเภท / สถานะ / ตรงเวลา-เกินกำหนด + export</t>
  </si>
  <si>
    <t xml:space="preserve">dashboard คำขอใช้สิทธิ</t>
  </si>
  <si>
    <t xml:space="preserve">ตัวเลขใน dashboard ตรงกับรายการคำขอ</t>
  </si>
  <si>
    <t xml:space="preserve">DSAR-05</t>
  </si>
  <si>
    <t xml:space="preserve">รับเรื่องร้องเรียนและสอบถาม</t>
  </si>
  <si>
    <t xml:space="preserve">Complaints &amp; inquiries</t>
  </si>
  <si>
    <t xml:space="preserve">02_DSAR | ม.42</t>
  </si>
  <si>
    <t xml:space="preserve">ประเภทร้องเรียน / สอบถามใช้ workflow เดียวกัน</t>
  </si>
  <si>
    <t xml:space="preserve">ตัวเลือกประเภทในฟอร์มและตัวกรอง</t>
  </si>
  <si>
    <t xml:space="preserve">เรื่องร้องเรียนติดตามจนปิดได้เหมือนคำขอ</t>
  </si>
  <si>
    <t xml:space="preserve">DSAR-09</t>
  </si>
  <si>
    <t xml:space="preserve">ค้นหาข้อมูลของเจ้าของข้อมูลข้ามระบบ</t>
  </si>
  <si>
    <t xml:space="preserve">Cross-system data search</t>
  </si>
  <si>
    <t xml:space="preserve">ส่งคำค้น (identifier) ไปยัง connector แต่ละระบบ, รวมผลเป็นรายการข้อมูลในคำขอ, เก็บผลเข้ารหัสชั่วคราว</t>
  </si>
  <si>
    <t xml:space="preserve">แท็บผลค้นหาข้ามระบบในหน้าคำขอ</t>
  </si>
  <si>
    <t xml:space="preserve">ค้นข้อมูลจากระบบที่เชื่อมได้ในคำสั่งเดียว และผลถูกลบเมื่อปิดคำขอ</t>
  </si>
  <si>
    <t xml:space="preserve">DSAR-10</t>
  </si>
  <si>
    <t xml:space="preserve">ตรวจข้อยกเว้นก่อนลบข้อมูล</t>
  </si>
  <si>
    <t xml:space="preserve">Exemption &amp; legal hold check</t>
  </si>
  <si>
    <t xml:space="preserve">02_DSAR | ม.33</t>
  </si>
  <si>
    <t xml:space="preserve">rule legal hold ต่อประเภทข้อมูล / ระบบ (อ้างระยะเวลาเก็บตามกฎหมายอื่น) ตรวจก่อนลบ + บันทึกเหตุผล</t>
  </si>
  <si>
    <t xml:space="preserve">ผลตรวจข้อยกเว้นในหน้าคำขอลบ</t>
  </si>
  <si>
    <t xml:space="preserve">ข้อมูลที่ติด legal hold ไม่ถูกลบและมีเหตุผลอ้างอิง</t>
  </si>
  <si>
    <t xml:space="preserve">DPX-05</t>
  </si>
  <si>
    <t xml:space="preserve">DSAR-12</t>
  </si>
  <si>
    <t xml:space="preserve">แจ้งผู้รับข้อมูลให้ดำเนินการตาม</t>
  </si>
  <si>
    <t xml:space="preserve">Notify downstream recipients</t>
  </si>
  <si>
    <t xml:space="preserve">02_DSAR | ม.33, ม.34, ม.40</t>
  </si>
  <si>
    <t xml:space="preserve">สร้างงานให้ผู้ประมวลผล / ระบบปลายทาง (webhook / connector / guest link) และเก็บหลักฐานการดำเนินการ</t>
  </si>
  <si>
    <t xml:space="preserve">แท็บผู้รับข้อมูลในหน้าคำขอ</t>
  </si>
  <si>
    <t xml:space="preserve">ทุกผู้รับข้อมูลยืนยันการลบ/แก้ไขพร้อมหลักฐานก่อนปิดคำขอ</t>
  </si>
  <si>
    <t xml:space="preserve">PLT-20, IAM-04</t>
  </si>
  <si>
    <t xml:space="preserve">DSAR-16</t>
  </si>
  <si>
    <t xml:space="preserve">ปกปิดข้อมูลของบุคคลอื่น</t>
  </si>
  <si>
    <t xml:space="preserve">Redaction</t>
  </si>
  <si>
    <t xml:space="preserve">02_DSAR | ม.30 วรรคสอง</t>
  </si>
  <si>
    <t xml:space="preserve">ปิดทับ PDF / รูปภาพ (ตรวจหาเลขบัตร / เบอร์ / ชื่อด้วย OCR ภาษาไทย + ผู้ใช้เลือกเพิ่ม) แล้วสร้างไฟล์ใหม่ที่ลบข้อมูลจริง</t>
  </si>
  <si>
    <t xml:space="preserve">หน้าตรวจและเลือกพื้นที่ปิดทับ</t>
  </si>
  <si>
    <t xml:space="preserve">ข้อมูลที่ปิดทับกู้คืนจากไฟล์ผลลัพธ์ไม่ได้</t>
  </si>
  <si>
    <t xml:space="preserve">OCR ภาษาไทยต้อง PoC (T13)</t>
  </si>
  <si>
    <t xml:space="preserve">DSAR-19</t>
  </si>
  <si>
    <t xml:space="preserve">พอร์ทัลติดตามสถานะสำหรับผู้ยื่น</t>
  </si>
  <si>
    <t xml:space="preserve">Requester status portal</t>
  </si>
  <si>
    <t xml:space="preserve">portal เจ้าของข้อมูล: ดูสถานะ ส่งเอกสารเพิ่ม รับผล ข้อความโต้ตอบ</t>
  </si>
  <si>
    <t xml:space="preserve">หน้าติดตามสถานะใน portal</t>
  </si>
  <si>
    <t xml:space="preserve">เจ้าของข้อมูลเห็นสถานะล่าสุดและส่งเอกสารเพิ่มได้เอง</t>
  </si>
  <si>
    <t xml:space="preserve">PLT-17, IAM-05</t>
  </si>
  <si>
    <t xml:space="preserve">DSAR-20</t>
  </si>
  <si>
    <t xml:space="preserve">ตั้งค่า workflow แยกตามประเภทสิทธิ</t>
  </si>
  <si>
    <t xml:space="preserve">Configurable workflow per right</t>
  </si>
  <si>
    <t xml:space="preserve">ตั้งค่าขั้นตอน ผู้รับผิดชอบ และ template ต่อสิทธิ (UI บน PLT-05)</t>
  </si>
  <si>
    <t xml:space="preserve">หน้าตั้งค่า workflow ต่อประเภทสิทธิ</t>
  </si>
  <si>
    <t xml:space="preserve">เปลี่ยน workflow แล้วมีผลกับคำขอใหม่โดยไม่ต้อง deploy</t>
  </si>
  <si>
    <t xml:space="preserve">DSAR-21</t>
  </si>
  <si>
    <t xml:space="preserve">เชื่อมกับระบบ Consent</t>
  </si>
  <si>
    <t xml:space="preserve">Consent integration</t>
  </si>
  <si>
    <t xml:space="preserve">02_DSAR | ม.19, ม.32</t>
  </si>
  <si>
    <t xml:space="preserve">คำขอถอน / คัดค้านการตลาด → เรียก Consent API ถอน Purpose ที่เกี่ยวข้อง + แนบ receipt ในคำขอ</t>
  </si>
  <si>
    <t xml:space="preserve">แสดงผลการอัปเดตความยินยอมในหน้าคำขอ</t>
  </si>
  <si>
    <t xml:space="preserve">คำขอถอนความยินยอมอัปเดตสถานะใน CON อัตโนมัติ</t>
  </si>
  <si>
    <t xml:space="preserve">BRE-01</t>
  </si>
  <si>
    <t xml:space="preserve">BRE</t>
  </si>
  <si>
    <t xml:space="preserve">แจ้งเหตุละเมิดข้อมูล (Data Breach Notification)</t>
  </si>
  <si>
    <t xml:space="preserve">แบบฟอร์มแจ้งเหตุ</t>
  </si>
  <si>
    <t xml:space="preserve">Incident intake form</t>
  </si>
  <si>
    <t xml:space="preserve">09_Breach | ม.37(4)</t>
  </si>
  <si>
    <t xml:space="preserve">ฟอร์มแจ้งเหตุ (PLT-06) สำหรับพนักงาน (login) และบุคคลภายนอก (ลิงก์ / QR + CAPTCHA), TH/EN, สร้าง incident และเริ่มนับเวลา</t>
  </si>
  <si>
    <t xml:space="preserve">ฟอร์มใน portal และใน admin</t>
  </si>
  <si>
    <t xml:space="preserve">แจ้งเหตุแล้วทีมที่กำหนดได้รับแจ้งเตือนทันที</t>
  </si>
  <si>
    <t xml:space="preserve">BRE-02</t>
  </si>
  <si>
    <t xml:space="preserve">ทะเบียนเหตุละเมิด</t>
  </si>
  <si>
    <t xml:space="preserve">Breach register</t>
  </si>
  <si>
    <t xml:space="preserve">09_Breach | ม.37(4); ประกาศแจ้งเหตุละเมิด พ.ศ. 2565</t>
  </si>
  <si>
    <t xml:space="preserve">incident: ประเภท C/I/A, ข้อมูลที่เกี่ยวข้อง (ผูก RoPA / asset), จำนวนเจ้าของข้อมูล, สถานะ; workflow รับเรื่อง → ประเมิน → แจ้ง → ปิด</t>
  </si>
  <si>
    <t xml:space="preserve">หน้าทะเบียนเหตุ + หน้ารายละเอียด</t>
  </si>
  <si>
    <t xml:space="preserve">ทุกเหตุมีสถานะและผู้รับผิดชอบชัดเจน</t>
  </si>
  <si>
    <t xml:space="preserve">BRE-03</t>
  </si>
  <si>
    <t xml:space="preserve">รับแจ้งเหตุจากผู้ประมวลผล</t>
  </si>
  <si>
    <t xml:space="preserve">Processor breach notification</t>
  </si>
  <si>
    <t xml:space="preserve">09_Breach | ม.40(2)</t>
  </si>
  <si>
    <t xml:space="preserve">ลิงก์แจ้งเหตุเฉพาะผู้ประมวลผล (guest) ผูกคู่ค้า, เวลาที่ผู้ประมวลผลทราบเหตุ, เริ่มนับเวลา</t>
  </si>
  <si>
    <t xml:space="preserve">หน้าแจ้งเหตุของผู้ประมวลผลใน portal</t>
  </si>
  <si>
    <t xml:space="preserve">เหตุจากผู้ประมวลผลผูกกับคู่ค้าและเริ่มนับเวลาอัตโนมัติ</t>
  </si>
  <si>
    <t xml:space="preserve">IAM-04, BRE-01</t>
  </si>
  <si>
    <t xml:space="preserve">BRE-04</t>
  </si>
  <si>
    <t xml:space="preserve">กำหนดผู้รับแจ้งและทีมตอบสนอง</t>
  </si>
  <si>
    <t xml:space="preserve">Response team routing</t>
  </si>
  <si>
    <t xml:space="preserve">09_Breach | แนวปฏิบัติตลาด</t>
  </si>
  <si>
    <t xml:space="preserve">rule ผู้รับแจ้งตามประเภท / ระดับ / บริษัท → มอบหมายอัตโนมัติ + แจ้งเตือนหลายช่องทาง (LINE / SMS สำหรับเหตุเร่งด่วน)</t>
  </si>
  <si>
    <t xml:space="preserve">หน้าตั้งค่าทีมตอบสนอง</t>
  </si>
  <si>
    <t xml:space="preserve">เหตุระดับสูงถูกมอบหมายและแจ้งทีมภายใน 5 นาที</t>
  </si>
  <si>
    <t xml:space="preserve">OneTrust ทำได้แค่ส่งอีเมล</t>
  </si>
  <si>
    <t xml:space="preserve">BRE-05</t>
  </si>
  <si>
    <t xml:space="preserve">ประเมินความเสี่ยงของเหตุ</t>
  </si>
  <si>
    <t xml:space="preserve">Breach risk assessment</t>
  </si>
  <si>
    <t xml:space="preserve">09_Breach | ประกาศแจ้งเหตุละเมิด พ.ศ. 2565</t>
  </si>
  <si>
    <t xml:space="preserve">แบบประเมินปัจจัยตามประกาศแจ้งเหตุ พ.ศ. 2565 (PLT-06 + คะแนน) → ระดับความเสี่ยง</t>
  </si>
  <si>
    <t xml:space="preserve">หน้าประเมินความเสี่ยงของเหตุ</t>
  </si>
  <si>
    <t xml:space="preserve">ผลประเมินได้ระดับความเสี่ยงพร้อมเหตุผลตามปัจจัย</t>
  </si>
  <si>
    <t xml:space="preserve">BRE-06</t>
  </si>
  <si>
    <t xml:space="preserve">ตัดสินหน้าที่แจ้งพร้อมเหตุผล</t>
  </si>
  <si>
    <t xml:space="preserve">Notification decision</t>
  </si>
  <si>
    <t xml:space="preserve">rule: ไม่มีความเสี่ยง / แจ้ง สคส. / แจ้ง สคส. และเจ้าของข้อมูล; บันทึกเหตุผลและผู้ตัดสิน (DPO อนุมัติ)</t>
  </si>
  <si>
    <t xml:space="preserve">ขั้นตอนตัดสินหน้าที่แจ้ง</t>
  </si>
  <si>
    <t xml:space="preserve">ทุกการตัดสินมีเหตุผลและผู้อนุมัติ</t>
  </si>
  <si>
    <t xml:space="preserve">BRE-07</t>
  </si>
  <si>
    <t xml:space="preserve">นับเวลา 72 ชั่วโมง</t>
  </si>
  <si>
    <t xml:space="preserve">72-hour countdown</t>
  </si>
  <si>
    <t xml:space="preserve">timer 72 ชั่วโมงจริงนับจากเวลาที่ทราบเหตุ, แจ้งเตือนที่ 24 / 48 / 66 ชั่วโมง, escalate ถึงผู้บริหาร</t>
  </si>
  <si>
    <t xml:space="preserve">ตัวนับถอยหลังในหน้าเหตุ</t>
  </si>
  <si>
    <t xml:space="preserve">แจ้งเตือนครบทุกจุดเวลาและ escalate เมื่อใกล้ครบ 72 ชั่วโมง</t>
  </si>
  <si>
    <t xml:space="preserve">BRE-08</t>
  </si>
  <si>
    <t xml:space="preserve">แจ้งล่าช้าพร้อมเหตุผล</t>
  </si>
  <si>
    <t xml:space="preserve">Late notification</t>
  </si>
  <si>
    <t xml:space="preserve">09_Breach | ประกาศแจ้งเหตุละเมิด พ.ศ. 2565 + คำชี้แจง สคส.</t>
  </si>
  <si>
    <t xml:space="preserve">เกิน 72 ชั่วโมง: บังคับบันทึกเหตุผลความล่าช้า, นับกรอบ 15 วัน, แนบในแบบแจ้ง</t>
  </si>
  <si>
    <t xml:space="preserve">ส่วนเหตุผลความล่าช้า</t>
  </si>
  <si>
    <t xml:space="preserve">แบบแจ้งที่ล่าช้าส่งไม่ได้ถ้าไม่มีเหตุผล</t>
  </si>
  <si>
    <t xml:space="preserve">BRE-09</t>
  </si>
  <si>
    <t xml:space="preserve">แบบแจ้ง สคส. และแจ้งเพิ่มเติมเป็นระยะ</t>
  </si>
  <si>
    <t xml:space="preserve">PDPC notification &amp; phased reporting</t>
  </si>
  <si>
    <t xml:space="preserve">แบบแจ้ง สคส. ครบหัวข้อตามประกาศ (document composer), ฉบับเบื้องต้น + ฉบับเพิ่มเติมเป็นระยะ, เก็บหลักฐานการยื่น (เลขรับ / วันที่)</t>
  </si>
  <si>
    <t xml:space="preserve">หน้าร่างแบบแจ้ง + ประวัติการแจ้งแต่ละรอบ</t>
  </si>
  <si>
    <t xml:space="preserve">แบบแจ้งมีหัวข้อครบตามประกาศและเก็บหลักฐานการยื่นทุกรอบ</t>
  </si>
  <si>
    <t xml:space="preserve">ระบบเตรียมเอกสาร ผู้ใช้ยื่นผ่านช่องทางของ สคส.</t>
  </si>
  <si>
    <t xml:space="preserve">BRE-10</t>
  </si>
  <si>
    <t xml:space="preserve">แจ้งเจ้าของข้อมูลเมื่อความเสี่ยงสูง</t>
  </si>
  <si>
    <t xml:space="preserve">Data subject notification</t>
  </si>
  <si>
    <t xml:space="preserve">template TH/EN, ส่งอีเมล / SMS / LINE แบบทยอยจำนวนมาก, สถานะการส่งรายคน, export รายชื่อ</t>
  </si>
  <si>
    <t xml:space="preserve">หน้าส่งแจ้งเจ้าของข้อมูล + สถานะ</t>
  </si>
  <si>
    <t xml:space="preserve">ส่งแจ้ง 10,000 รายได้และติดตามผลการส่งรายคน</t>
  </si>
  <si>
    <t xml:space="preserve">OneTrust ต้องใช้เครื่องมือส่งภายนอก</t>
  </si>
  <si>
    <t xml:space="preserve">BRE-12</t>
  </si>
  <si>
    <t xml:space="preserve">หลักฐานและลำดับเหตุการณ์</t>
  </si>
  <si>
    <t xml:space="preserve">Evidence &amp; timeline</t>
  </si>
  <si>
    <t xml:space="preserve">ไฟล์หลักฐาน (hash), timeline อัตโนมัติ + บันทึกเอง, การตัดสินใจทุกจุด</t>
  </si>
  <si>
    <t xml:space="preserve">แท็บหลักฐานและ timeline</t>
  </si>
  <si>
    <t xml:space="preserve">timeline แสดงทุกการตัดสินใจพร้อมเวลาและผู้ตัดสิน</t>
  </si>
  <si>
    <t xml:space="preserve">PLT-07, PLT-12</t>
  </si>
  <si>
    <t xml:space="preserve">BRE-13</t>
  </si>
  <si>
    <t xml:space="preserve">ประวัติและสืบค้นเหตุ</t>
  </si>
  <si>
    <t xml:space="preserve">History &amp; search</t>
  </si>
  <si>
    <t xml:space="preserve">ค้นหาย้อนหลังตามช่วงเวลา / ประเภท / สถานะ</t>
  </si>
  <si>
    <t xml:space="preserve">ตัวกรองในทะเบียนเหตุ</t>
  </si>
  <si>
    <t xml:space="preserve">ค้นหาเหตุย้อนหลังได้ครบ</t>
  </si>
  <si>
    <t xml:space="preserve">BRE-11</t>
  </si>
  <si>
    <t xml:space="preserve">แผนตอบสนองและงานควบคุมเหตุ</t>
  </si>
  <si>
    <t xml:space="preserve">Response playbook &amp; tasks</t>
  </si>
  <si>
    <t xml:space="preserve">playbook ต่อประเภทเหตุ (ransomware, ส่งอีเมลผิดคน, ข้อมูลรั่วจากคู่ค้า) → สร้าง task อัตโนมัติ</t>
  </si>
  <si>
    <t xml:space="preserve">หน้าตั้งค่า playbook + checklist ในหน้าเหตุ</t>
  </si>
  <si>
    <t xml:space="preserve">เลือกประเภทเหตุแล้วได้ชุดงานตาม playbook</t>
  </si>
  <si>
    <t xml:space="preserve">BRE-14</t>
  </si>
  <si>
    <t xml:space="preserve">รายงานและสถิติเหตุละเมิด</t>
  </si>
  <si>
    <t xml:space="preserve">Breach reports</t>
  </si>
  <si>
    <t xml:space="preserve">สถิติจำนวน ประเภท เวลาตอบสนอง + export</t>
  </si>
  <si>
    <t xml:space="preserve">dashboard เหตุละเมิด</t>
  </si>
  <si>
    <t xml:space="preserve">รายงานแสดงเวลาตั้งแต่ทราบเหตุถึงแจ้ง สคส. ของทุกเหตุ</t>
  </si>
  <si>
    <t xml:space="preserve">BRE-15</t>
  </si>
  <si>
    <t xml:space="preserve">วิเคราะห์สาเหตุและบทเรียน</t>
  </si>
  <si>
    <t xml:space="preserve">Root cause &amp; lessons learned</t>
  </si>
  <si>
    <t xml:space="preserve">09_Breach | ม.37(1)</t>
  </si>
  <si>
    <t xml:space="preserve">บันทึกสาเหตุ (หมวดสาเหตุ), มาตรการป้องกันซ้ำ → สร้าง task / risk</t>
  </si>
  <si>
    <t xml:space="preserve">แท็บวิเคราะห์สาเหตุ</t>
  </si>
  <si>
    <t xml:space="preserve">มาตรการป้องกันซ้ำถูกติดตามจนเสร็จ</t>
  </si>
  <si>
    <t xml:space="preserve">BRE-16</t>
  </si>
  <si>
    <t xml:space="preserve">ซ้อมรับมือเหตุละเมิด</t>
  </si>
  <si>
    <t xml:space="preserve">Breach drill</t>
  </si>
  <si>
    <t xml:space="preserve">โหมดซ้อม: flag แยก, ไม่ส่งแจ้งจริง, ไม่นับในสถิติ, บันทึกบทเรียน</t>
  </si>
  <si>
    <t xml:space="preserve">ปุ่มสร้างเหตุซ้อม + ป้ายแยก</t>
  </si>
  <si>
    <t xml:space="preserve">เหตุซ้อมไม่ปนกับเหตุจริงในรายงาน</t>
  </si>
  <si>
    <t xml:space="preserve">BRE-17</t>
  </si>
  <si>
    <t xml:space="preserve">AI ช่วยประเมินเหตุและร่างรายงาน</t>
  </si>
  <si>
    <t xml:space="preserve">AI breach assistant</t>
  </si>
  <si>
    <t xml:space="preserve">09_Breach | แนวโน้มตลาด</t>
  </si>
  <si>
    <t xml:space="preserve">AI สรุปขอบเขตเหตุ ประเมินหน้าที่แจ้ง และร่างแบบแจ้ง / หนังสือแจ้ง</t>
  </si>
  <si>
    <t xml:space="preserve">แผง AI ในหน้าเหตุ + ปุ่มยืนยัน</t>
  </si>
  <si>
    <t xml:space="preserve">ร่างจาก AI ต้องมีคนยืนยันก่อนใช้</t>
  </si>
  <si>
    <t xml:space="preserve">DPO-01</t>
  </si>
  <si>
    <t xml:space="preserve">DPO</t>
  </si>
  <si>
    <t xml:space="preserve">งานของ DPO (DPO Module)</t>
  </si>
  <si>
    <t xml:space="preserve">ทะเบียนการแต่งตั้งและข้อมูล DPO</t>
  </si>
  <si>
    <t xml:space="preserve">DPO appointment &amp; profile</t>
  </si>
  <si>
    <t xml:space="preserve">14_DPO | ม.41</t>
  </si>
  <si>
    <t xml:space="preserve">ทะเบียน DPO (ภายใน / ภายนอก), คำสั่งแต่งตั้ง (ไฟล์), ช่องทางติดต่อ (merge field ในประกาศ), บันทึกการแจ้ง สคส.</t>
  </si>
  <si>
    <t xml:space="preserve">หน้าข้อมูล DPO</t>
  </si>
  <si>
    <t xml:space="preserve">ประกาศทุกฉบับแสดงช่องทางติดต่อ DPO ล่าสุด</t>
  </si>
  <si>
    <t xml:space="preserve">DPO-04</t>
  </si>
  <si>
    <t xml:space="preserve">แดชบอร์ด DPO</t>
  </si>
  <si>
    <t xml:space="preserve">DPO dashboard</t>
  </si>
  <si>
    <t xml:space="preserve">14_DPO | ม.42</t>
  </si>
  <si>
    <t xml:space="preserve">API widget ข้ามโมดูล (คำขอ เหตุละเมิด DPIA ความเสี่ยง สัญญา) — P1 แสดงโมดูลที่มี แล้วเพิ่มตาม phase</t>
  </si>
  <si>
    <t xml:space="preserve">dashboard DPO</t>
  </si>
  <si>
    <t xml:space="preserve">ตัวเลขทุก widget ตรงกับข้อมูลในโมดูล</t>
  </si>
  <si>
    <t xml:space="preserve">ดึงเข้า P1</t>
  </si>
  <si>
    <t xml:space="preserve">DPO-05</t>
  </si>
  <si>
    <t xml:space="preserve">ศูนย์แจ้งเตือนรวม</t>
  </si>
  <si>
    <t xml:space="preserve">Notification center</t>
  </si>
  <si>
    <t xml:space="preserve">รวม deadline ทุกโมดูลจาก SLA engine (SLA 30 วัน, 72 ชั่วโมง, ทบทวน, สัญญาหมดอายุ) + ตั้งค่าการแจ้งเตือนส่วนตัว</t>
  </si>
  <si>
    <t xml:space="preserve">หน้าศูนย์แจ้งเตือน</t>
  </si>
  <si>
    <t xml:space="preserve">งานใกล้ครบกำหนดจากทุกโมดูลแสดงในหน้าเดียว</t>
  </si>
  <si>
    <t xml:space="preserve">OneTrust ไม่มีมุมมองรวม</t>
  </si>
  <si>
    <t xml:space="preserve">ประเมินมาตรการความปลอดภัย</t>
  </si>
  <si>
    <t xml:space="preserve">Security measures assessment</t>
  </si>
  <si>
    <t xml:space="preserve">14_DPO | ประกาศมาตรการความปลอดภัย พ.ศ. 2565</t>
  </si>
  <si>
    <t xml:space="preserve">checklist ตามประกาศมาตรการความปลอดภัย พ.ศ. 2565 (PLT-06) + หลักฐาน + คะแนน + งานแก้ไข</t>
  </si>
  <si>
    <t xml:space="preserve">หน้าประเมินและผลคะแนน</t>
  </si>
  <si>
    <t xml:space="preserve">ข้อที่ไม่ผ่านสร้างงานแก้ไขอัตโนมัติ</t>
  </si>
  <si>
    <t xml:space="preserve">OneTrust ต้องนำเข้า framework เอง</t>
  </si>
  <si>
    <t xml:space="preserve">DPO-02</t>
  </si>
  <si>
    <t xml:space="preserve">ประเมินหน้าที่ต้องแต่งตั้ง DPO</t>
  </si>
  <si>
    <t xml:space="preserve">DPO requirement check</t>
  </si>
  <si>
    <t xml:space="preserve">14_DPO | ม.41; ประกาศ สคส. เรื่อง DPO ตามมาตรา 41(2) พ.ศ. 2566</t>
  </si>
  <si>
    <t xml:space="preserve">แบบประเมินตาม ม.41 และประกาศ พ.ศ. 2566 (เช่น เกณฑ์ 100,000 ราย) → ผลและเหตุผล</t>
  </si>
  <si>
    <t xml:space="preserve">wizard ประเมินหน้าที่แต่งตั้ง DPO</t>
  </si>
  <si>
    <t xml:space="preserve">ผลประเมินระบุว่าต้องแต่งตั้งหรือไม่พร้อมเหตุผลอ้างประกาศ</t>
  </si>
  <si>
    <t xml:space="preserve">DPO-06</t>
  </si>
  <si>
    <t xml:space="preserve">Tasks Management</t>
  </si>
  <si>
    <t xml:space="preserve">DPO task management</t>
  </si>
  <si>
    <t xml:space="preserve">14_DPO | แนวปฏิบัติตลาด</t>
  </si>
  <si>
    <t xml:space="preserve">ticket 5 สถานะ (สร้าง → มอบหมาย → รอตรวจ → เสร็จ → สิ้นสุด), สร้างอัตโนมัติจาก RoPA / ช่องว่าง / DPIA</t>
  </si>
  <si>
    <t xml:space="preserve">kanban + รายการงาน</t>
  </si>
  <si>
    <t xml:space="preserve">งานที่สร้างอัตโนมัติมีที่มาและลิงก์กลับ</t>
  </si>
  <si>
    <t xml:space="preserve">DPO-07</t>
  </si>
  <si>
    <t xml:space="preserve">รับคำปรึกษาจากหน่วยงาน</t>
  </si>
  <si>
    <t xml:space="preserve">Advisory requests</t>
  </si>
  <si>
    <t xml:space="preserve">14_DPO | ม.42(1)</t>
  </si>
  <si>
    <t xml:space="preserve">หน่วยงานส่งคำถาม → DPO ตอบ → เก็บเป็นคลังคำตอบ</t>
  </si>
  <si>
    <t xml:space="preserve">หน้าส่งคำถามและกล่องงานของ DPO</t>
  </si>
  <si>
    <t xml:space="preserve">คำถามที่ตอบแล้วค้นได้ในคลังคำตอบ</t>
  </si>
  <si>
    <t xml:space="preserve">DPO-08</t>
  </si>
  <si>
    <t xml:space="preserve">ปฏิทินงาน compliance</t>
  </si>
  <si>
    <t xml:space="preserve">Compliance calendar</t>
  </si>
  <si>
    <t xml:space="preserve">14_DPO | ม.42(2)</t>
  </si>
  <si>
    <t xml:space="preserve">รวมรอบทบทวน / อบรม / ประเมินเป็นปฏิทิน + export iCal</t>
  </si>
  <si>
    <t xml:space="preserve">ปฏิทินแสดงกิจกรรมจากทุกโมดูลตรงกับกำหนดการจริง</t>
  </si>
  <si>
    <t xml:space="preserve">DPO-10</t>
  </si>
  <si>
    <t xml:space="preserve">คะแนนความพร้อมรายหน่วยงาน</t>
  </si>
  <si>
    <t xml:space="preserve">Compliance scorecard</t>
  </si>
  <si>
    <t xml:space="preserve">สูตรคะแนนต่อหน่วยงานจากทุกโมดูล (RoPA ครบ, DPIA, คำขอเกินกำหนด, อบรม) + แนวโน้ม</t>
  </si>
  <si>
    <t xml:space="preserve">scorecard รายหน่วยงาน</t>
  </si>
  <si>
    <t xml:space="preserve">คะแนนคำนวณซ้ำได้และอธิบายที่มาได้</t>
  </si>
  <si>
    <t xml:space="preserve">RRA-13</t>
  </si>
  <si>
    <t xml:space="preserve">DPO-11</t>
  </si>
  <si>
    <t xml:space="preserve">รายงานการปฏิบัติหน้าที่ DPO และรายงานผู้บริหาร</t>
  </si>
  <si>
    <t xml:space="preserve">DPO &amp; executive reports</t>
  </si>
  <si>
    <t xml:space="preserve">รายงานรายเดือน / ไตรมาส (PDF) + ตั้งเวลาส่ง</t>
  </si>
  <si>
    <t xml:space="preserve">หน้าสร้างและตั้งเวลารายงาน</t>
  </si>
  <si>
    <t xml:space="preserve">รายงานถูกส่งตามเวลาที่ตั้ง</t>
  </si>
  <si>
    <t xml:space="preserve">DPO-12</t>
  </si>
  <si>
    <t xml:space="preserve">คลังเอกสารกฎหมายและ FAQ</t>
  </si>
  <si>
    <t xml:space="preserve">Knowledge base</t>
  </si>
  <si>
    <t xml:space="preserve">คลังเอกสาร (หมวด ค้นหา เวอร์ชัน) + FAQ; เนื้อหาตั้งต้นจากทีมกฎหมาย</t>
  </si>
  <si>
    <t xml:space="preserve">หน้าคลังความรู้</t>
  </si>
  <si>
    <t xml:space="preserve">ค้นหาเอกสารภาษาไทยได้</t>
  </si>
  <si>
    <t xml:space="preserve">DPO-03</t>
  </si>
  <si>
    <t xml:space="preserve">ความเป็นอิสระและผลประโยชน์ทับซ้อน</t>
  </si>
  <si>
    <t xml:space="preserve">Independence &amp; conflict of interest</t>
  </si>
  <si>
    <t xml:space="preserve">แบบคำรับรองประจำปี + บันทึกหน้าที่อื่นของ DPO</t>
  </si>
  <si>
    <t xml:space="preserve">หน้าคำรับรอง</t>
  </si>
  <si>
    <t xml:space="preserve">มีคำรับรองที่ลงนามทุกปี</t>
  </si>
  <si>
    <t xml:space="preserve">DPIA-01</t>
  </si>
  <si>
    <t xml:space="preserve">DPIA</t>
  </si>
  <si>
    <t xml:space="preserve">แบบประเมินผลกระทบ (DPIA)</t>
  </si>
  <si>
    <t xml:space="preserve">แบบคัดกรองความจำเป็นในการทำ DPIA</t>
  </si>
  <si>
    <t xml:space="preserve">DPIA screening</t>
  </si>
  <si>
    <t xml:space="preserve">01_DPIA | ม.37(1); TDPG 4.0-P (จุฬาฯ)</t>
  </si>
  <si>
    <t xml:space="preserve">แบบคัดกรองตามปัจจัยเสี่ยงสูง (TDPG) บน PLT-06 → สรุป ต้องทำ / ควรทำ / ไม่ต้องทำ</t>
  </si>
  <si>
    <t xml:space="preserve">หน้าคัดกรองจากกิจกรรม RoPA</t>
  </si>
  <si>
    <t xml:space="preserve">ผลคัดกรองตรงตามเกณฑ์ที่ตั้งทุกกรณีทดสอบ</t>
  </si>
  <si>
    <t xml:space="preserve">DPIA-02</t>
  </si>
  <si>
    <t xml:space="preserve">เกณฑ์คะแนนและเงื่อนไขบังคับทำ DPIA</t>
  </si>
  <si>
    <t xml:space="preserve">Configurable threshold rules</t>
  </si>
  <si>
    <t xml:space="preserve">01_DPIA | TDPG 4.0-P</t>
  </si>
  <si>
    <t xml:space="preserve">ตั้งเกณฑ์คะแนน / จำนวนปัจจัยที่บังคับทำ DPIA, บันทึกเหตุผลกรณีตัดสินใจไม่ทำ</t>
  </si>
  <si>
    <t xml:space="preserve">หน้าตั้งค่าเกณฑ์</t>
  </si>
  <si>
    <t xml:space="preserve">เปลี่ยนเกณฑ์แล้วผลคัดกรองรอบใหม่ใช้เกณฑ์ใหม่</t>
  </si>
  <si>
    <t xml:space="preserve">DPIA-03</t>
  </si>
  <si>
    <t xml:space="preserve">คลัง template แบบประเมิน</t>
  </si>
  <si>
    <t xml:space="preserve">Assessment template library</t>
  </si>
  <si>
    <t xml:space="preserve">01_DPIA | แนวปฏิบัติตลาด</t>
  </si>
  <si>
    <t xml:space="preserve">template DPIA / PIA มาตรฐาน TH/EN (เนื้อหา T34), clone / แก้ / เวอร์ชัน</t>
  </si>
  <si>
    <t xml:space="preserve">หน้าคลัง template</t>
  </si>
  <si>
    <t xml:space="preserve">clone template แล้วแก้ได้โดยไม่กระทบต้นฉบับ</t>
  </si>
  <si>
    <t xml:space="preserve">PLT-06, T34</t>
  </si>
  <si>
    <t xml:space="preserve">DPIA-04</t>
  </si>
  <si>
    <t xml:space="preserve">อธิบายกิจกรรมโดยดึงข้อมูลจาก RoPA</t>
  </si>
  <si>
    <t xml:space="preserve">Processing description from RoPA</t>
  </si>
  <si>
    <t xml:space="preserve">01_DPIA | ม.39</t>
  </si>
  <si>
    <t xml:space="preserve">เลือกกิจกรรม RoPA → pre-fill ส่วนอธิบายการประมวลผล, sync เมื่อ RoPA เปลี่ยน</t>
  </si>
  <si>
    <t xml:space="preserve">ส่วนอธิบายกิจกรรมที่เติมอัตโนมัติ</t>
  </si>
  <si>
    <t xml:space="preserve">ข้อมูลที่ดึงจาก RoPA ตรงกับกิจกรรมต้นทาง</t>
  </si>
  <si>
    <t xml:space="preserve">DPIA-05</t>
  </si>
  <si>
    <t xml:space="preserve">ประเมินความจำเป็นและความได้สัดส่วน</t>
  </si>
  <si>
    <t xml:space="preserve">Necessity &amp; proportionality</t>
  </si>
  <si>
    <t xml:space="preserve">01_DPIA | ม.22, ม.24, ม.26</t>
  </si>
  <si>
    <t xml:space="preserve">ส่วนประเมินตาม ม.22 / 24 / 26 (คำถาม + หลักฐาน)</t>
  </si>
  <si>
    <t xml:space="preserve">section ความจำเป็นและความได้สัดส่วน</t>
  </si>
  <si>
    <t xml:space="preserve">ตอบครบแล้วสรุปผลความจำเป็นได้</t>
  </si>
  <si>
    <t xml:space="preserve">DPIA-06</t>
  </si>
  <si>
    <t xml:space="preserve">ระบุและให้คะแนนความเสี่ยง</t>
  </si>
  <si>
    <t xml:space="preserve">Risk identification &amp; scoring</t>
  </si>
  <si>
    <t xml:space="preserve">01_DPIA | ม.37(1)</t>
  </si>
  <si>
    <t xml:space="preserve">คลังความเสี่ยงสำเร็จรูป, matrix โอกาส × ผลกระทบ (ใช้ risk engine ร่วมกับ RRA)</t>
  </si>
  <si>
    <t xml:space="preserve">หน้าระบุความเสี่ยง + matrix</t>
  </si>
  <si>
    <t xml:space="preserve">คะแนนความเสี่ยงคำนวณตาม matrix ของ tenant</t>
  </si>
  <si>
    <t xml:space="preserve">RRA-02</t>
  </si>
  <si>
    <t xml:space="preserve">DPIA-07</t>
  </si>
  <si>
    <t xml:space="preserve">มาตรการลดความเสี่ยงและความเสี่ยงคงเหลือ</t>
  </si>
  <si>
    <t xml:space="preserve">Mitigation &amp; residual risk</t>
  </si>
  <si>
    <t xml:space="preserve">01_DPIA | ม.37(1); ประกาศมาตรการความปลอดภัย พ.ศ. 2565</t>
  </si>
  <si>
    <t xml:space="preserve">คลัง control, ผูกมาตรการ, คำนวณความเสี่ยงคงเหลือ, ผู้รับผิดชอบ / วันเสร็จ → task</t>
  </si>
  <si>
    <t xml:space="preserve">หน้ามาตรการและความเสี่ยงคงเหลือ</t>
  </si>
  <si>
    <t xml:space="preserve">ความเสี่ยงคงเหลือคำนวณใหม่เมื่อเพิ่มมาตรการ</t>
  </si>
  <si>
    <t xml:space="preserve">DPIA-09</t>
  </si>
  <si>
    <t xml:space="preserve">เชิญผู้ร่วมประเมิน</t>
  </si>
  <si>
    <t xml:space="preserve">Collaboration &amp; invitations</t>
  </si>
  <si>
    <t xml:space="preserve">มอบหมายรายส่วน, เชิญผู้ใช้ภายใน / ภายนอก (guest), comment + แนบหลักฐาน</t>
  </si>
  <si>
    <t xml:space="preserve">หน้าเชิญผู้ร่วมประเมิน + มุมมองของผู้ร่วมประเมิน</t>
  </si>
  <si>
    <t xml:space="preserve">ผู้ร่วมประเมินแก้ได้เฉพาะส่วนที่ได้รับมอบหมาย</t>
  </si>
  <si>
    <t xml:space="preserve">IAM-04, PLT-07</t>
  </si>
  <si>
    <t xml:space="preserve">DPIA-10</t>
  </si>
  <si>
    <t xml:space="preserve">ความเห็น DPO และการอนุมัติ</t>
  </si>
  <si>
    <t xml:space="preserve">DPO opinion &amp; sign-off</t>
  </si>
  <si>
    <t xml:space="preserve">01_DPIA | ม.42; TDPG 4.0-P</t>
  </si>
  <si>
    <t xml:space="preserve">ส่วนความเห็น DPO, อนุมัติ / ยอมรับความเสี่ยงโดยผู้บริหาร (หลายระดับ)</t>
  </si>
  <si>
    <t xml:space="preserve">ขั้นตอนความเห็นและอนุมัติ</t>
  </si>
  <si>
    <t xml:space="preserve">DPIA ปิดได้เมื่อมีความเห็น DPO และการอนุมัติครบ</t>
  </si>
  <si>
    <t xml:space="preserve">DPIA-12</t>
  </si>
  <si>
    <t xml:space="preserve">ทะเบียนและสถานะ DPIA</t>
  </si>
  <si>
    <t xml:space="preserve">DPIA register &amp; status</t>
  </si>
  <si>
    <t xml:space="preserve">ทะเบียน DPIA + สถานะ (คัดกรอง / กำลังประเมิน / รอตรวจ / อนุมัติ / ต้องทบทวน) ตามกิจกรรม / หน่วยงาน</t>
  </si>
  <si>
    <t xml:space="preserve">หน้าทะเบียน + ตัวกรอง</t>
  </si>
  <si>
    <t xml:space="preserve">สถานะในทะเบียนตรงกับขั้นตอนจริงของแต่ละ DPIA</t>
  </si>
  <si>
    <t xml:space="preserve">DPIA-14</t>
  </si>
  <si>
    <t xml:space="preserve">ประวัติเวอร์ชันและ audit trail</t>
  </si>
  <si>
    <t xml:space="preserve">Version history &amp; audit trail</t>
  </si>
  <si>
    <t xml:space="preserve">ใช้เวอร์ชันและ audit กลาง</t>
  </si>
  <si>
    <t xml:space="preserve">หน้าเปรียบเทียบคำตอบระหว่างรอบ</t>
  </si>
  <si>
    <t xml:space="preserve">เห็นความต่างของคำตอบระหว่างรอบได้</t>
  </si>
  <si>
    <t xml:space="preserve">PLT-08, PLT-12</t>
  </si>
  <si>
    <t xml:space="preserve">DPIA-15</t>
  </si>
  <si>
    <t xml:space="preserve">ออกรายงาน DPIA</t>
  </si>
  <si>
    <t xml:space="preserve">DPIA report export</t>
  </si>
  <si>
    <t xml:space="preserve">รายงาน DPIA PDF / Word TH/EN (document composer)</t>
  </si>
  <si>
    <t xml:space="preserve">ปุ่มส่งออกรายงาน</t>
  </si>
  <si>
    <t xml:space="preserve">รายงานแสดงคะแนน มาตรการ และผู้อนุมัติครบ</t>
  </si>
  <si>
    <t xml:space="preserve">DPIA-08</t>
  </si>
  <si>
    <t xml:space="preserve">เชื่อมทะเบียนความเสี่ยงและงานแก้ไข</t>
  </si>
  <si>
    <t xml:space="preserve">Link to risk register &amp; tasks</t>
  </si>
  <si>
    <t xml:space="preserve">ส่งความเสี่ยงคงเหลือเข้าทะเบียนความเสี่ยง + สร้างงานแก้ไข</t>
  </si>
  <si>
    <t xml:space="preserve">ปุ่มส่งเข้าทะเบียน</t>
  </si>
  <si>
    <t xml:space="preserve">ความเสี่ยงคงเหลือปรากฏในทะเบียนพร้อมลิงก์กลับ</t>
  </si>
  <si>
    <t xml:space="preserve">RRA-09</t>
  </si>
  <si>
    <t xml:space="preserve">DPIA-11</t>
  </si>
  <si>
    <t xml:space="preserve">บันทึกการปรึกษาผู้มีส่วนได้เสีย</t>
  </si>
  <si>
    <t xml:space="preserve">Stakeholder consultation log</t>
  </si>
  <si>
    <t xml:space="preserve">ส่วนบันทึกการปรึกษา (ผู้ถูกปรึกษา วันที่ ประเด็น คำชี้แจง)</t>
  </si>
  <si>
    <t xml:space="preserve">section การปรึกษาผู้มีส่วนได้เสีย</t>
  </si>
  <si>
    <t xml:space="preserve">รายงาน DPIA แสดงบันทึกการปรึกษา</t>
  </si>
  <si>
    <t xml:space="preserve">DPIA-13</t>
  </si>
  <si>
    <t xml:space="preserve">ทบทวนเมื่อกิจกรรมเปลี่ยนหรือครบรอบ</t>
  </si>
  <si>
    <t xml:space="preserve">Re-assessment triggers</t>
  </si>
  <si>
    <t xml:space="preserve">01_DPIA | ม.37(1); TDPG 4.0-P</t>
  </si>
  <si>
    <t xml:space="preserve">trigger เมื่อ RoPA เปลี่ยน / ครบรอบ / มีเหตุละเมิดที่เกี่ยวข้อง → เปิดรอบใหม่ (copy คำตอบเดิม)</t>
  </si>
  <si>
    <t xml:space="preserve">ป้าย 'ต้องทบทวน' + ปุ่มเริ่มรอบใหม่</t>
  </si>
  <si>
    <t xml:space="preserve">เหตุละเมิดที่ผูกกิจกรรมทำให้ DPIA ที่เกี่ยวข้องถูกทำเครื่องหมายทบทวน</t>
  </si>
  <si>
    <t xml:space="preserve">DPIA-16</t>
  </si>
  <si>
    <t xml:space="preserve">ประเมินฐานประโยชน์โดยชอบด้วยกฎหมาย (LIA)</t>
  </si>
  <si>
    <t xml:space="preserve">Legitimate interest assessment</t>
  </si>
  <si>
    <t xml:space="preserve">01_DPIA | ม.24(5)</t>
  </si>
  <si>
    <t xml:space="preserve">template LIA 3 ขั้น (วัตถุประสงค์ / ความจำเป็น / ชั่งน้ำหนัก) ผูกกิจกรรมที่ใช้ฐาน ม.24(5)</t>
  </si>
  <si>
    <t xml:space="preserve">หน้า LIA</t>
  </si>
  <si>
    <t xml:space="preserve">กิจกรรมที่ใช้ฐาน ม.24(5) ต้องมี LIA ที่อนุมัติ</t>
  </si>
  <si>
    <t xml:space="preserve">DPIA-17</t>
  </si>
  <si>
    <t xml:space="preserve">ประเมินผลกระทบของระบบ AI</t>
  </si>
  <si>
    <t xml:space="preserve">AI impact assessment</t>
  </si>
  <si>
    <t xml:space="preserve">01_DPIA | แนวโน้มตลาด</t>
  </si>
  <si>
    <t xml:space="preserve">template ประเมินระบบ AI (การตัดสินใจอัตโนมัติ ความลำเอียง ความโปร่งใส) ผูกทะเบียน AI</t>
  </si>
  <si>
    <t xml:space="preserve">หน้าประเมินระบบ AI</t>
  </si>
  <si>
    <t xml:space="preserve">ระบบ AI ในทะเบียนมีผลประเมินล่าสุด</t>
  </si>
  <si>
    <t xml:space="preserve">DPX-12</t>
  </si>
  <si>
    <t xml:space="preserve">DPIA-18</t>
  </si>
  <si>
    <t xml:space="preserve">AI ช่วยกรอกแบบประเมินจากเอกสาร</t>
  </si>
  <si>
    <t xml:space="preserve">AI-assisted drafting</t>
  </si>
  <si>
    <t xml:space="preserve">AI ดึงข้อมูลจากเอกสาร / RoPA เติมคำตอบเป็นข้อเสนอ</t>
  </si>
  <si>
    <t xml:space="preserve">ป้ายคำตอบที่ AI เสนอ + ยืนยันทีละข้อ</t>
  </si>
  <si>
    <t xml:space="preserve">คำตอบจาก AI ไม่ถูกบันทึกจนกว่าผู้ประเมินยืนยัน</t>
  </si>
  <si>
    <t xml:space="preserve">RRA-01</t>
  </si>
  <si>
    <t xml:space="preserve">RRA</t>
  </si>
  <si>
    <t xml:space="preserve">ประเมินความเสี่ยงกิจกรรม (ROPA Risk Assessment)</t>
  </si>
  <si>
    <t xml:space="preserve">ประเมินความเสี่ยงรายกิจกรรม</t>
  </si>
  <si>
    <t xml:space="preserve">Activity risk scoring</t>
  </si>
  <si>
    <t xml:space="preserve">05_ROPA_Risk | ม.37(1); ประกาศมาตรการความปลอดภัย พ.ศ. 2565</t>
  </si>
  <si>
    <t xml:space="preserve">คำนวณคะแนนจากปัจจัย (ประเภท / ปริมาณข้อมูล อ่อนไหว กลุ่มเปราะบาง ผู้รับ การโอน มาตรการ) อัตโนมัติเมื่อบันทึก RoPA</t>
  </si>
  <si>
    <t xml:space="preserve">คะแนนความเสี่ยงในหน้ากิจกรรม</t>
  </si>
  <si>
    <t xml:space="preserve">คะแนนเปลี่ยนตามข้อมูล RoPA และอธิบายปัจจัยที่ทำให้สูงได้</t>
  </si>
  <si>
    <t xml:space="preserve">RRA-02, ROPA-03</t>
  </si>
  <si>
    <t xml:space="preserve">ตั้งค่า risk matrix</t>
  </si>
  <si>
    <t xml:space="preserve">Configurable risk matrix</t>
  </si>
  <si>
    <t xml:space="preserve">05_ROPA_Risk | แนวปฏิบัติตลาด</t>
  </si>
  <si>
    <t xml:space="preserve">risk engine กลาง: ระดับโอกาส × ผลกระทบ (3x3 / 4x4 / 5x5), เกณฑ์สูง / กลาง / ต่ำ, น้ำหนักปัจจัยต่อ tenant — ใช้ร่วม DPIA / Vendor / Breach</t>
  </si>
  <si>
    <t xml:space="preserve">หน้าตั้งค่า risk matrix</t>
  </si>
  <si>
    <t xml:space="preserve">เปลี่ยน matrix แล้วคะแนนทุกโมดูลคำนวณตามค่าใหม่</t>
  </si>
  <si>
    <t xml:space="preserve">RRA-03</t>
  </si>
  <si>
    <t xml:space="preserve">ส่งต่อทำ DPIA อัตโนมัติ</t>
  </si>
  <si>
    <t xml:space="preserve">DPIA trigger</t>
  </si>
  <si>
    <t xml:space="preserve">05_ROPA_Risk | TDPG 4.0-P</t>
  </si>
  <si>
    <t xml:space="preserve">คะแนนสูงหรือเข้าเกณฑ์ → สร้าง DPIA (สถานะคัดกรอง) + มอบหมายเจ้าของกิจกรรม</t>
  </si>
  <si>
    <t xml:space="preserve">แจ้งเตือนในหน้ากิจกรรม</t>
  </si>
  <si>
    <t xml:space="preserve">กิจกรรมเสี่ยงสูงมี DPIA ถูกสร้างอัตโนมัติ</t>
  </si>
  <si>
    <t xml:space="preserve">RRA-04</t>
  </si>
  <si>
    <t xml:space="preserve">วิเคราะห์ช่องว่างทางกฎหมายอัตโนมัติ</t>
  </si>
  <si>
    <t xml:space="preserve">Automated legal gap analysis</t>
  </si>
  <si>
    <t xml:space="preserve">05_ROPA_Risk | ม.23, ม.24, ม.26, ม.28-29, ม.39</t>
  </si>
  <si>
    <t xml:space="preserve">rule engine ตรวจ RoPA: ไม่มีฐานกฎหมาย, ไม่มีระยะเวลาเก็บ, ไม่มีประกาศที่ครอบคลุม, โอนต่างประเทศไม่มีฐาน, ข้อมูลอ่อนไหวไม่มีความยินยอมโดยชัดแจ้ง; เพิ่ม rule ได้</t>
  </si>
  <si>
    <t xml:space="preserve">รายการช่องว่าง + ลิงก์ไปแก้</t>
  </si>
  <si>
    <t xml:space="preserve">ช่องว่างทุกประเภทใน rule ถูกตรวจพบในชุดข้อมูลทดสอบ</t>
  </si>
  <si>
    <t xml:space="preserve">ROPA-03, PNG-01</t>
  </si>
  <si>
    <t xml:space="preserve">OneTrust ต้องตั้ง rule เอง (จุดต่าง)</t>
  </si>
  <si>
    <t xml:space="preserve">RRA-06</t>
  </si>
  <si>
    <t xml:space="preserve">มาตรการควบคุมและความเสี่ยงคงเหลือ</t>
  </si>
  <si>
    <t xml:space="preserve">Controls &amp; residual risk</t>
  </si>
  <si>
    <t xml:space="preserve">05_ROPA_Risk | ม.37(1)</t>
  </si>
  <si>
    <t xml:space="preserve">ผูก control กับความเสี่ยง คำนวณความเสี่ยงคงเหลือ (ใช้ร่วม DPIA-07)</t>
  </si>
  <si>
    <t xml:space="preserve">ส่วนมาตรการในหน้าความเสี่ยง</t>
  </si>
  <si>
    <t xml:space="preserve">ความเสี่ยงคงเหลือลดลงตามมาตรการที่ผูก</t>
  </si>
  <si>
    <t xml:space="preserve">RRA-07</t>
  </si>
  <si>
    <t xml:space="preserve">สร้างงานแก้ไขจากช่องว่าง</t>
  </si>
  <si>
    <t xml:space="preserve">Remediation tasks</t>
  </si>
  <si>
    <t xml:space="preserve">เลือกช่องว่าง → สร้างงาน (ผู้ดำเนินการ วันครบกำหนด ความสำคัญ) → ติดตามจนปิด; ปิดงานแล้วตรวจ rule ซ้ำ</t>
  </si>
  <si>
    <t xml:space="preserve">ปุ่มสร้างงานจากช่องว่าง</t>
  </si>
  <si>
    <t xml:space="preserve">ปิดงานแล้วช่องว่างหายไปเมื่อ rule ผ่าน</t>
  </si>
  <si>
    <t xml:space="preserve">RRA-05</t>
  </si>
  <si>
    <t xml:space="preserve">Checklist ตรวจสอบกิจกรรม</t>
  </si>
  <si>
    <t xml:space="preserve">Activity checklist</t>
  </si>
  <si>
    <t xml:space="preserve">checklist รายกิจกรรม + ส่งคำถามให้ DPO / ที่ปรึกษา และบันทึกคำตอบ</t>
  </si>
  <si>
    <t xml:space="preserve">หน้า checklist</t>
  </si>
  <si>
    <t xml:space="preserve">คำถามและคำตอบถูกเก็บในกิจกรรม</t>
  </si>
  <si>
    <t xml:space="preserve">RRA-08</t>
  </si>
  <si>
    <t xml:space="preserve">ยอมรับความเสี่ยงพร้อมผู้อนุมัติ</t>
  </si>
  <si>
    <t xml:space="preserve">Risk acceptance</t>
  </si>
  <si>
    <t xml:space="preserve">ขอยอมรับความเสี่ยง + เหตุผล + ผู้อนุมัติ + วันทบทวน</t>
  </si>
  <si>
    <t xml:space="preserve">ขั้นตอนยอมรับความเสี่ยง</t>
  </si>
  <si>
    <t xml:space="preserve">การยอมรับหมดอายุและเตือนทบทวนตามวันที่ตั้ง</t>
  </si>
  <si>
    <t xml:space="preserve">ทะเบียนความเสี่ยงด้านข้อมูลส่วนบุคคล</t>
  </si>
  <si>
    <t xml:space="preserve">Privacy risk register</t>
  </si>
  <si>
    <t xml:space="preserve">ทะเบียนความเสี่ยงองค์กร (เจ้าของ มาตรการ สถานะ) ผูกกิจกรรม / ระบบ / คู่ค้า</t>
  </si>
  <si>
    <t xml:space="preserve">หน้าทะเบียนความเสี่ยง</t>
  </si>
  <si>
    <t xml:space="preserve">ความเสี่ยงจาก DPIA / RoPA / คู่ค้ารวมอยู่ในทะเบียนเดียว</t>
  </si>
  <si>
    <t xml:space="preserve">RRA-10</t>
  </si>
  <si>
    <t xml:space="preserve">Heatmap และแดชบอร์ดความเสี่ยง</t>
  </si>
  <si>
    <t xml:space="preserve">Risk heatmap &amp; dashboard</t>
  </si>
  <si>
    <t xml:space="preserve">API heatmap ตามหน่วยงาน / ระบบ / ประเภทข้อมูล + แนวโน้ม</t>
  </si>
  <si>
    <t xml:space="preserve">heatmap และ dashboard ความเสี่ยง</t>
  </si>
  <si>
    <t xml:space="preserve">คลิกช่อง heatmap แล้วเห็นรายการความเสี่ยงของช่องนั้น</t>
  </si>
  <si>
    <t xml:space="preserve">RRA-11</t>
  </si>
  <si>
    <t xml:space="preserve">แสดงจุดเสี่ยงบนรายการและแผนผัง</t>
  </si>
  <si>
    <t xml:space="preserve">Risk flags on RoPA / data flow</t>
  </si>
  <si>
    <t xml:space="preserve">ส่งสถานะความเสี่ยงให้รายการกิจกรรมและแผนผัง</t>
  </si>
  <si>
    <t xml:space="preserve">ไฮไลต์บนรายการและแผนผัง + เหตุผล + ลิงก์ไปแก้</t>
  </si>
  <si>
    <t xml:space="preserve">กิจกรรมเสี่ยงสูงแสดงเด่นทั้งในรายการและแผนผัง</t>
  </si>
  <si>
    <t xml:space="preserve">RRA-12</t>
  </si>
  <si>
    <t xml:space="preserve">ประเมินซ้ำเมื่อกิจกรรมเปลี่ยนหรือครบรอบ</t>
  </si>
  <si>
    <t xml:space="preserve">Re-assessment</t>
  </si>
  <si>
    <t xml:space="preserve">คำนวณใหม่เมื่อ RoPA เปลี่ยน + รอบทบทวน</t>
  </si>
  <si>
    <t xml:space="preserve">ป้ายวันที่ประเมินล่าสุด</t>
  </si>
  <si>
    <t xml:space="preserve">คะแนนอัปเดตภายใน 1 นาทีหลังแก้ RoPA</t>
  </si>
  <si>
    <t xml:space="preserve">Compliance score</t>
  </si>
  <si>
    <t xml:space="preserve">คะแนนความสอดคล้องต่อกิจกรรม / หน่วยงาน</t>
  </si>
  <si>
    <t xml:space="preserve">ตารางคะแนนรายหน่วยงาน</t>
  </si>
  <si>
    <t xml:space="preserve">คะแนนอธิบายได้ว่าหักจากช่องว่างใด</t>
  </si>
  <si>
    <t xml:space="preserve">RRA-14</t>
  </si>
  <si>
    <t xml:space="preserve">รายงานความเสี่ยงสำหรับผู้บริหาร</t>
  </si>
  <si>
    <t xml:space="preserve">Executive risk report</t>
  </si>
  <si>
    <t xml:space="preserve">รายงาน PDF สรุปความเสี่ยงสูง แผนแก้ไข ความคืบหน้า</t>
  </si>
  <si>
    <t xml:space="preserve">ปุ่มสร้างรายงานผู้บริหาร</t>
  </si>
  <si>
    <t xml:space="preserve">รายงานสร้างได้ในคลิกเดียวและตรงกับทะเบียน</t>
  </si>
  <si>
    <t xml:space="preserve">VEN-01</t>
  </si>
  <si>
    <t xml:space="preserve">VEN</t>
  </si>
  <si>
    <t xml:space="preserve">ประเมินคู่ค้า (Vendor Assessment)</t>
  </si>
  <si>
    <t xml:space="preserve">ทะเบียนคู่ค้าและผู้ประมวลผล</t>
  </si>
  <si>
    <t xml:space="preserve">Vendor registry</t>
  </si>
  <si>
    <t xml:space="preserve">07_Vendor | ม.40</t>
  </si>
  <si>
    <t xml:space="preserve">vendor profile ต่อยอด ORG-06: บริการ ข้อมูลที่เข้าถึง ประเทศที่ประมวลผล ผู้ติดต่อ สัญญา เจ้าของความสัมพันธ์ภายใน</t>
  </si>
  <si>
    <t xml:space="preserve">หน้าทะเบียนคู่ค้า + หน้ารายละเอียด</t>
  </si>
  <si>
    <t xml:space="preserve">คู่ค้าหนึ่งรายมีหน้าเดียวที่รวมข้อมูลทุกโมดูล</t>
  </si>
  <si>
    <t xml:space="preserve">VEN-02</t>
  </si>
  <si>
    <t xml:space="preserve">จัดระดับความเสี่ยงคู่ค้า</t>
  </si>
  <si>
    <t xml:space="preserve">Vendor tiering</t>
  </si>
  <si>
    <t xml:space="preserve">07_Vendor | ม.37(1), ม.40</t>
  </si>
  <si>
    <t xml:space="preserve">แบบ intake → คำนวณ tier อัตโนมัติ → กำหนดชุดแบบประเมินและรอบ</t>
  </si>
  <si>
    <t xml:space="preserve">ส่วน intake ตอนเพิ่มคู่ค้า</t>
  </si>
  <si>
    <t xml:space="preserve">tier ถูกคำนวณตามเกณฑ์และกำหนดแบบประเมินที่ต้องส่ง</t>
  </si>
  <si>
    <t xml:space="preserve">VEN-04</t>
  </si>
  <si>
    <t xml:space="preserve">คลังแบบประเมินคู่ค้า</t>
  </si>
  <si>
    <t xml:space="preserve">Questionnaire templates</t>
  </si>
  <si>
    <t xml:space="preserve">07_Vendor | ม.40; ประกาศมาตรการความปลอดภัย พ.ศ. 2565</t>
  </si>
  <si>
    <t xml:space="preserve">template แบบประเมิน PDPA / ความปลอดภัย (mapping ISO 27001 / 27701) / การโอน บน PLT-06</t>
  </si>
  <si>
    <t xml:space="preserve">หน้าคลังแบบประเมินคู่ค้า</t>
  </si>
  <si>
    <t xml:space="preserve">มี template พร้อมใช้อย่างน้อย 3 ชุด</t>
  </si>
  <si>
    <t xml:space="preserve">VEN-05</t>
  </si>
  <si>
    <t xml:space="preserve">พอร์ทัลให้คู่ค้าตอบแบบประเมิน</t>
  </si>
  <si>
    <t xml:space="preserve">Vendor portal</t>
  </si>
  <si>
    <t xml:space="preserve">07_Vendor | แนวปฏิบัติตลาด</t>
  </si>
  <si>
    <t xml:space="preserve">คู่ค้าตอบผ่าน guest link: บันทึกร่าง มอบให้เพื่อนร่วมงาน แนบหลักฐาน ถาม-ตอบกับผู้ประเมิน ส่ง</t>
  </si>
  <si>
    <t xml:space="preserve">พอร์ทัลคู่ค้าใน portal</t>
  </si>
  <si>
    <t xml:space="preserve">คู่ค้าตอบได้โดยไม่ต้องมีบัญชีผู้ใช้เต็มรูปแบบ</t>
  </si>
  <si>
    <t xml:space="preserve">IAM-04, PLT-17</t>
  </si>
  <si>
    <t xml:space="preserve">VEN-07</t>
  </si>
  <si>
    <t xml:space="preserve">คำนวณคะแนนความเสี่ยงอัตโนมัติ</t>
  </si>
  <si>
    <t xml:space="preserve">Automated scoring</t>
  </si>
  <si>
    <t xml:space="preserve">คะแนนจากน้ำหนักคำถาม → ระดับความเสี่ยง + ความเสี่ยงคงเหลือหลังมาตรการ</t>
  </si>
  <si>
    <t xml:space="preserve">สรุปคะแนนในหน้าการประเมิน</t>
  </si>
  <si>
    <t xml:space="preserve">คะแนนคำนวณถูกต้องตามน้ำหนักทุกกรณีทดสอบ</t>
  </si>
  <si>
    <t xml:space="preserve">VEN-04, RRA-02</t>
  </si>
  <si>
    <t xml:space="preserve">VEN-08</t>
  </si>
  <si>
    <t xml:space="preserve">อนุมัติหรือปฏิเสธคู่ค้า</t>
  </si>
  <si>
    <t xml:space="preserve">Approval workflow</t>
  </si>
  <si>
    <t xml:space="preserve">อนุมัติ / ปฏิเสธ / อนุมัติแบบมีเงื่อนไข; เงื่อนไขกลายเป็นแผนแก้ไข</t>
  </si>
  <si>
    <t xml:space="preserve">ขั้นตอนอนุมัติคู่ค้า</t>
  </si>
  <si>
    <t xml:space="preserve">อนุมัติแบบมีเงื่อนไขสร้างแผนแก้ไขอัตโนมัติ</t>
  </si>
  <si>
    <t xml:space="preserve">VEN-11</t>
  </si>
  <si>
    <t xml:space="preserve">ผูกคู่ค้ากับสัญญาและกิจกรรม</t>
  </si>
  <si>
    <t xml:space="preserve">Link to DPA / DSA / RoPA</t>
  </si>
  <si>
    <t xml:space="preserve">หน้าคู่ค้ารวมสัญญา / ผลประเมิน / กิจกรรม + แจ้งเตือนคู่ค้าที่ไม่มีสัญญา</t>
  </si>
  <si>
    <t xml:space="preserve">แท็บความเชื่อมโยงของคู่ค้า</t>
  </si>
  <si>
    <t xml:space="preserve">คู่ค้าที่เป็นผู้ประมวลผลแต่ไม่มี DPA ถูกแจ้งเตือน</t>
  </si>
  <si>
    <t xml:space="preserve">DPA-10, ROPA-08</t>
  </si>
  <si>
    <t xml:space="preserve">VEN-03</t>
  </si>
  <si>
    <t xml:space="preserve">ผู้ประมวลผลช่วง</t>
  </si>
  <si>
    <t xml:space="preserve">Sub-processor management</t>
  </si>
  <si>
    <t xml:space="preserve">ทะเบียนผู้ประมวลผลช่วง + ขออนุมัติก่อนใช้ + แจ้งเมื่อคู่ค้าเพิ่มรายใหม่</t>
  </si>
  <si>
    <t xml:space="preserve">แท็บผู้ประมวลผลช่วง</t>
  </si>
  <si>
    <t xml:space="preserve">ผู้ประมวลผลช่วงที่ยังไม่อนุมัติแสดงเตือน</t>
  </si>
  <si>
    <t xml:space="preserve">VEN-06</t>
  </si>
  <si>
    <t xml:space="preserve">ตรวจหลักฐานและใบรับรอง</t>
  </si>
  <si>
    <t xml:space="preserve">Evidence &amp; certificates</t>
  </si>
  <si>
    <t xml:space="preserve">ทะเบียนใบรับรอง + วันหมดอายุ + แจ้งเตือน</t>
  </si>
  <si>
    <t xml:space="preserve">แท็บใบรับรอง</t>
  </si>
  <si>
    <t xml:space="preserve">ใบรับรองใกล้หมดอายุถูกแจ้งเตือนล่วงหน้า</t>
  </si>
  <si>
    <t xml:space="preserve">VEN-09</t>
  </si>
  <si>
    <t xml:space="preserve">แผนแก้ไขข้อบกพร่องของคู่ค้า</t>
  </si>
  <si>
    <t xml:space="preserve">Vendor remediation plan</t>
  </si>
  <si>
    <t xml:space="preserve">ประเด็นที่ต้องแก้ + ผู้รับผิดชอบฝั่งคู่ค้า (guest) + กำหนดเสร็จ + ติดตาม</t>
  </si>
  <si>
    <t xml:space="preserve">แท็บแผนแก้ไข</t>
  </si>
  <si>
    <t xml:space="preserve">คู่ค้าอัปเดตความคืบหน้าผ่านลิงก์ได้</t>
  </si>
  <si>
    <t xml:space="preserve">VEN-10</t>
  </si>
  <si>
    <t xml:space="preserve">ประเมินซ้ำตามรอบ</t>
  </si>
  <si>
    <t xml:space="preserve">Periodic re-assessment</t>
  </si>
  <si>
    <t xml:space="preserve">07_Vendor | ม.37(1)</t>
  </si>
  <si>
    <t xml:space="preserve">รอบประเมินตาม tier (River cron) + ส่งแบบประเมินอัตโนมัติ</t>
  </si>
  <si>
    <t xml:space="preserve">ตั้งรอบประเมินต่อ tier</t>
  </si>
  <si>
    <t xml:space="preserve">คู่ค้าถูกส่งแบบประเมินซ้ำตามรอบโดยไม่ต้องสั่งเอง</t>
  </si>
  <si>
    <t xml:space="preserve">VEN-12</t>
  </si>
  <si>
    <t xml:space="preserve">เหตุละเมิดที่เกี่ยวกับคู่ค้า</t>
  </si>
  <si>
    <t xml:space="preserve">Vendor incidents</t>
  </si>
  <si>
    <t xml:space="preserve">07_Vendor | ม.40(2)</t>
  </si>
  <si>
    <t xml:space="preserve">เหตุที่คู่ค้าแจ้งผูกกับ vendor + สถิติ</t>
  </si>
  <si>
    <t xml:space="preserve">แท็บเหตุละเมิดของคู่ค้า</t>
  </si>
  <si>
    <t xml:space="preserve">ประวัติเหตุของคู่ค้าแสดงครบ</t>
  </si>
  <si>
    <t xml:space="preserve">VEN-13</t>
  </si>
  <si>
    <t xml:space="preserve">แดชบอร์ดความเสี่ยงคู่ค้า</t>
  </si>
  <si>
    <t xml:space="preserve">Vendor risk dashboard</t>
  </si>
  <si>
    <t xml:space="preserve">API สถิติ tier / สถานะประเมิน / สัญญาใกล้หมดอายุ</t>
  </si>
  <si>
    <t xml:space="preserve">dashboard ความเสี่ยงคู่ค้า</t>
  </si>
  <si>
    <t xml:space="preserve">ตัวเลขตรงกับทะเบียนคู่ค้า</t>
  </si>
  <si>
    <t xml:space="preserve">VEN-14</t>
  </si>
  <si>
    <t xml:space="preserve">ยุติการใช้บริการ</t>
  </si>
  <si>
    <t xml:space="preserve">Vendor offboarding</t>
  </si>
  <si>
    <t xml:space="preserve">07_Vendor | ม.37(3), ม.40</t>
  </si>
  <si>
    <t xml:space="preserve">checklist ยุติการใช้บริการ: ขอคืน / ทำลายข้อมูล, ใบยืนยัน, ปิดสิทธิ์ / API client</t>
  </si>
  <si>
    <t xml:space="preserve">ขั้นตอน offboarding</t>
  </si>
  <si>
    <t xml:space="preserve">ยุติคู่ค้าได้เมื่อมีใบยืนยันการทำลายและปิดสิทธิ์ครบ</t>
  </si>
  <si>
    <t xml:space="preserve">VEN-15</t>
  </si>
  <si>
    <t xml:space="preserve">AI ช่วยประเมินคู่ค้า</t>
  </si>
  <si>
    <t xml:space="preserve">AI vendor assessment</t>
  </si>
  <si>
    <t xml:space="preserve">07_Vendor | แนวโน้มตลาด</t>
  </si>
  <si>
    <t xml:space="preserve">AI อ่านเอกสารคู่ค้า (SOC 2, นโยบาย) → เติมคำตอบ + ชี้ประเด็นเสี่ยง</t>
  </si>
  <si>
    <t xml:space="preserve">แผง AI ในหน้าการประเมิน</t>
  </si>
  <si>
    <t xml:space="preserve">ข้อเสนอจาก AI ต้องมีคนยืนยันก่อนบันทึก</t>
  </si>
  <si>
    <t xml:space="preserve">DPA-01</t>
  </si>
  <si>
    <t xml:space="preserve">DPA</t>
  </si>
  <si>
    <t xml:space="preserve">ข้อตกลงการประมวลผลข้อมูล (DPA)</t>
  </si>
  <si>
    <t xml:space="preserve">Template DPA มาตรฐาน</t>
  </si>
  <si>
    <t xml:space="preserve">DPA templates</t>
  </si>
  <si>
    <t xml:space="preserve">10_DPA | ม.40</t>
  </si>
  <si>
    <t xml:space="preserve">template DPA ม.40 TH/EN (เนื้อหา T34) บน document composer, clone / ปรับ</t>
  </si>
  <si>
    <t xml:space="preserve">หน้าคลัง template DPA</t>
  </si>
  <si>
    <t xml:space="preserve">มี template ภาษาไทยและอังกฤษพร้อมใช้</t>
  </si>
  <si>
    <t xml:space="preserve">PLT-16, T34</t>
  </si>
  <si>
    <t xml:space="preserve">OneTrust ไม่มี (จุดต่างหลัก)</t>
  </si>
  <si>
    <t xml:space="preserve">DPA-02</t>
  </si>
  <si>
    <t xml:space="preserve">สร้างแบบกรอกเองและแบบอัตโนมัติ</t>
  </si>
  <si>
    <t xml:space="preserve">Manual &amp; automatic generation</t>
  </si>
  <si>
    <t xml:space="preserve">agreement engine (ใช้ร่วม DSA): เลือกคู่ค้า + กิจกรรม → merge ข้อมูลคู่ค้า / กิจกรรม / ข้อมูลที่ส่ง → ร่างสัญญา; โหมดกรอกเอง; สถานะสัญญา</t>
  </si>
  <si>
    <t xml:space="preserve">wizard สร้างสัญญา + editor</t>
  </si>
  <si>
    <t xml:space="preserve">สร้างร่าง DPA จากคู่ค้าและกิจกรรมได้ภายใน 10 นาที</t>
  </si>
  <si>
    <t xml:space="preserve">DPA-01, VEN-01, ROPA-03</t>
  </si>
  <si>
    <t xml:space="preserve">สร้าง agreement engine ครั้งเดียว ใช้ร่วม DSA</t>
  </si>
  <si>
    <t xml:space="preserve">DPA-03</t>
  </si>
  <si>
    <t xml:space="preserve">ข้อกำหนดที่ต้องมี</t>
  </si>
  <si>
    <t xml:space="preserve">Mandatory clauses</t>
  </si>
  <si>
    <t xml:space="preserve">10_DPA | ม.40(1)-(3), ม.28-29</t>
  </si>
  <si>
    <t xml:space="preserve">rule ตรวจ clause บังคับ ม.40 ก่อนส่งอนุมัติ</t>
  </si>
  <si>
    <t xml:space="preserve">แผงตรวจ clause ที่ขาด</t>
  </si>
  <si>
    <t xml:space="preserve">สัญญาที่ขาด clause บังคับส่งอนุมัติไม่ได้</t>
  </si>
  <si>
    <t xml:space="preserve">DPA-04</t>
  </si>
  <si>
    <t xml:space="preserve">ภาคผนวกรายละเอียดการประมวลผล</t>
  </si>
  <si>
    <t xml:space="preserve">Processing schedule</t>
  </si>
  <si>
    <t xml:space="preserve">ภาคผนวกสร้างจาก RoPA (ประเภทข้อมูล กลุ่มเจ้าของ วัตถุประสงค์ ระยะเวลา มาตรการ)</t>
  </si>
  <si>
    <t xml:space="preserve">ส่วนภาคผนวกใน editor</t>
  </si>
  <si>
    <t xml:space="preserve">ภาคผนวกตรงกับข้อมูล RoPA ของกิจกรรมที่เลือก</t>
  </si>
  <si>
    <t xml:space="preserve">DPA-10</t>
  </si>
  <si>
    <t xml:space="preserve">ทะเบียน DPA และแจ้งเตือนหมดอายุ</t>
  </si>
  <si>
    <t xml:space="preserve">DPA register &amp; expiry alerts</t>
  </si>
  <si>
    <t xml:space="preserve">ทะเบียนสัญญา + วันเริ่ม / สิ้นสุด + แจ้งเตือนก่อนหมดอายุ (PLT-05)</t>
  </si>
  <si>
    <t xml:space="preserve">หน้าทะเบียน DPA</t>
  </si>
  <si>
    <t xml:space="preserve">สัญญาใกล้หมดอายุถูกแจ้งเตือนตามเวลาที่ตั้ง</t>
  </si>
  <si>
    <t xml:space="preserve">DPA-11</t>
  </si>
  <si>
    <t xml:space="preserve">ผูก DPA กับคู่ค้าและกิจกรรม</t>
  </si>
  <si>
    <t xml:space="preserve">Link to vendor &amp; RoPA</t>
  </si>
  <si>
    <t xml:space="preserve">ความสัมพันธ์สัญญา ↔ คู่ค้า ↔ กิจกรรม</t>
  </si>
  <si>
    <t xml:space="preserve">แท็บความเชื่อมโยงในหน้าสัญญา</t>
  </si>
  <si>
    <t xml:space="preserve">เปิดคู่ค้าแล้วเห็น DPA และกิจกรรมที่เกี่ยวข้อง</t>
  </si>
  <si>
    <t xml:space="preserve">DPA-05</t>
  </si>
  <si>
    <t xml:space="preserve">ข้อสัญญาการโอนต่างประเทศ</t>
  </si>
  <si>
    <t xml:space="preserve">Cross-border clauses</t>
  </si>
  <si>
    <t xml:space="preserve">10_DPA | ประกาศ สคส. ตามมาตรา 29 พ.ศ. 2566</t>
  </si>
  <si>
    <t xml:space="preserve">clause มาตรฐานตามประกาศ ม.29 พ.ศ. 2566 แทรกเมื่อมีการโอน</t>
  </si>
  <si>
    <t xml:space="preserve">ตัวเลือก clause การโอน</t>
  </si>
  <si>
    <t xml:space="preserve">สัญญาที่มีการโอนต่างประเทศมี clause ครบ</t>
  </si>
  <si>
    <t xml:space="preserve">DPX-06</t>
  </si>
  <si>
    <t xml:space="preserve">DPA-06</t>
  </si>
  <si>
    <t xml:space="preserve">แก้ไขเอกสารในระบบ</t>
  </si>
  <si>
    <t xml:space="preserve">In-app editor</t>
  </si>
  <si>
    <t xml:space="preserve">10_DPA | แนวปฏิบัติตลาด</t>
  </si>
  <si>
    <t xml:space="preserve">เพิ่มความสามารถ editor: ฟอนต์ ย่อหน้า สารบัญ ฟิลด์ใหม่</t>
  </si>
  <si>
    <t xml:space="preserve">เครื่องมือจัดรูปแบบใน editor</t>
  </si>
  <si>
    <t xml:space="preserve">ปรับรูปแบบแล้วไฟล์ที่ส่งออกตรงกับที่เห็น</t>
  </si>
  <si>
    <t xml:space="preserve">DPA-07</t>
  </si>
  <si>
    <t xml:space="preserve">ตรวจทานและอนุมัติ</t>
  </si>
  <si>
    <t xml:space="preserve">ใช้ workflow อนุมัติกลาง: กฎหมาย / DPO ตรวจ</t>
  </si>
  <si>
    <t xml:space="preserve">ปุ่มส่งตรวจ + ความเห็น</t>
  </si>
  <si>
    <t xml:space="preserve">ส่งลงนามได้หลังอนุมัติเท่านั้น</t>
  </si>
  <si>
    <t xml:space="preserve">DPA-08</t>
  </si>
  <si>
    <t xml:space="preserve">เวอร์ชันและประวัติการดาวน์โหลด</t>
  </si>
  <si>
    <t xml:space="preserve">Versions &amp; download history</t>
  </si>
  <si>
    <t xml:space="preserve">เวอร์ชัน + diff + log การดาวน์โหลด</t>
  </si>
  <si>
    <t xml:space="preserve">หน้าประวัติเวอร์ชันและการดาวน์โหลด</t>
  </si>
  <si>
    <t xml:space="preserve">เห็นว่าใครดาวน์โหลดเวอร์ชันใดเมื่อไร</t>
  </si>
  <si>
    <t xml:space="preserve">DPA-09</t>
  </si>
  <si>
    <t xml:space="preserve">ส่งออกและลงนามอิเล็กทรอนิกส์</t>
  </si>
  <si>
    <t xml:space="preserve">Export &amp; e-signature</t>
  </si>
  <si>
    <t xml:space="preserve">10_DPA | พ.ร.บ.ว่าด้วยธุรกรรมทางอิเล็กทรอนิกส์ พ.ศ. 2544</t>
  </si>
  <si>
    <t xml:space="preserve">export Word / PDF + preview; เชื่อมบริการลงนามอิเล็กทรอนิกส์ผ่าน API + เก็บไฟล์ที่ลงนาม</t>
  </si>
  <si>
    <t xml:space="preserve">ปุ่มส่งลงนาม + สถานะการลงนาม</t>
  </si>
  <si>
    <t xml:space="preserve">ไฟล์ที่ลงนามแล้วถูกเก็บกลับเข้าระบบอัตโนมัติ</t>
  </si>
  <si>
    <t xml:space="preserve">T35</t>
  </si>
  <si>
    <t xml:space="preserve">เลือกผู้ให้บริการ e-signature ใน T35</t>
  </si>
  <si>
    <t xml:space="preserve">DPA-12</t>
  </si>
  <si>
    <t xml:space="preserve">แจ้งเตือนผู้ประมวลผลที่ยังไม่มี DPA</t>
  </si>
  <si>
    <t xml:space="preserve">Missing DPA alert</t>
  </si>
  <si>
    <t xml:space="preserve">job ตรวจคู่ค้าที่เป็นผู้ประมวลผลแต่ไม่มี DPA ที่มีผล → แจ้งเตือน / งาน</t>
  </si>
  <si>
    <t xml:space="preserve">รายการคู่ค้าที่ขาด DPA</t>
  </si>
  <si>
    <t xml:space="preserve">คู่ค้าที่ขาด DPA ถูกพบทุกราย</t>
  </si>
  <si>
    <t xml:space="preserve">DPA-13</t>
  </si>
  <si>
    <t xml:space="preserve">ติดตามการคืน/ทำลายข้อมูลเมื่อสิ้นสุด</t>
  </si>
  <si>
    <t xml:space="preserve">Return / deletion tracking</t>
  </si>
  <si>
    <t xml:space="preserve">10_DPA | ม.37(3), ม.40</t>
  </si>
  <si>
    <t xml:space="preserve">สัญญาสิ้นสุด → งานขอใบยืนยันการคืน / ทำลาย (guest link ให้คู่ค้าอัปโหลด)</t>
  </si>
  <si>
    <t xml:space="preserve">ขั้นตอนปิดสัญญา</t>
  </si>
  <si>
    <t xml:space="preserve">ปิดสัญญาได้เมื่อได้รับใบยืนยัน</t>
  </si>
  <si>
    <t xml:space="preserve">DPA-14</t>
  </si>
  <si>
    <t xml:space="preserve">ตรวจ DPA ที่ได้รับจากลูกค้า</t>
  </si>
  <si>
    <t xml:space="preserve">Inbound DPA review</t>
  </si>
  <si>
    <t xml:space="preserve">checklist ตรวจ DPA ที่ลูกค้าส่งมา (องค์กรเป็นผู้ประมวลผล)</t>
  </si>
  <si>
    <t xml:space="preserve">หน้าตรวจ DPA ขาเข้า</t>
  </si>
  <si>
    <t xml:space="preserve">ผลตรวจระบุ clause ที่ขาดหรือเสี่ยง</t>
  </si>
  <si>
    <t xml:space="preserve">DSA-01</t>
  </si>
  <si>
    <t xml:space="preserve">DSA</t>
  </si>
  <si>
    <t xml:space="preserve">ข้อตกลงการแบ่งปันข้อมูล (DSA)</t>
  </si>
  <si>
    <t xml:space="preserve">ตรวจว่าต้องใช้ DSA หรือ DPA</t>
  </si>
  <si>
    <t xml:space="preserve">Agreement type check</t>
  </si>
  <si>
    <t xml:space="preserve">06_DSA | ม.27, ม.40</t>
  </si>
  <si>
    <t xml:space="preserve">คำถามบทบาทผู้รับข้อมูล → แนะนำ DSA หรือ DPA พร้อมเหตุผล (ม.27 / ม.40)</t>
  </si>
  <si>
    <t xml:space="preserve">wizard ตรวจประเภทข้อตกลง</t>
  </si>
  <si>
    <t xml:space="preserve">ผลแนะนำถูกต้องตามบทบาททุกกรณีทดสอบ</t>
  </si>
  <si>
    <t xml:space="preserve">DSA-02</t>
  </si>
  <si>
    <t xml:space="preserve">ข้อมูลคู่สัญญาและบทบาท</t>
  </si>
  <si>
    <t xml:space="preserve">Parties &amp; roles</t>
  </si>
  <si>
    <t xml:space="preserve">06_DSA | ม.27</t>
  </si>
  <si>
    <t xml:space="preserve">หลายฝ่ายและผู้ควบคุมร่วม ดึงจาก ORG-06</t>
  </si>
  <si>
    <t xml:space="preserve">ส่วนคู่สัญญาใน wizard</t>
  </si>
  <si>
    <t xml:space="preserve">รองรับข้อตกลงที่มีมากกว่าสองฝ่าย</t>
  </si>
  <si>
    <t xml:space="preserve">DSA-03</t>
  </si>
  <si>
    <t xml:space="preserve">Template DSA มาตรฐาน</t>
  </si>
  <si>
    <t xml:space="preserve">DSA templates</t>
  </si>
  <si>
    <t xml:space="preserve">06_DSA | ม.27 วรรคสอง, ม.37(2)</t>
  </si>
  <si>
    <t xml:space="preserve">template 4 แบบ (ส่งทางเดียว สองทาง หน่วยงานรัฐ วิจัย) บน agreement engine</t>
  </si>
  <si>
    <t xml:space="preserve">หน้าเลือก template DSA</t>
  </si>
  <si>
    <t xml:space="preserve">มี template ครบ 4 แบบ TH/EN</t>
  </si>
  <si>
    <t xml:space="preserve">DPA-02, T34</t>
  </si>
  <si>
    <t xml:space="preserve">DSA-04</t>
  </si>
  <si>
    <t xml:space="preserve">สร้างเอกสารอัตโนมัติจาก RoPA</t>
  </si>
  <si>
    <t xml:space="preserve">Auto-generate from RoPA</t>
  </si>
  <si>
    <t xml:space="preserve">06_DSA | ม.39</t>
  </si>
  <si>
    <t xml:space="preserve">merge จากกิจกรรม RoPA (agreement engine)</t>
  </si>
  <si>
    <t xml:space="preserve">ขั้นตอนเลือกกิจกรรมใน wizard</t>
  </si>
  <si>
    <t xml:space="preserve">ข้อตกลงดึงวัตถุประสงค์ ประเภทข้อมูล ฐาน และระยะเวลาจาก RoPA ถูกต้อง</t>
  </si>
  <si>
    <t xml:space="preserve">DSA-05</t>
  </si>
  <si>
    <t xml:space="preserve">06_DSA | ม.27, ม.28-29, ม.37(2)</t>
  </si>
  <si>
    <t xml:space="preserve">rule clause บังคับ (ม.27, ม.28-29, ม.37(2))</t>
  </si>
  <si>
    <t xml:space="preserve">แผงตรวจ clause</t>
  </si>
  <si>
    <t xml:space="preserve">ข้อตกลงที่ขาด clause บังคับส่งอนุมัติไม่ได้</t>
  </si>
  <si>
    <t xml:space="preserve">DSA-11</t>
  </si>
  <si>
    <t xml:space="preserve">ทะเบียนข้อตกลงและแจ้งเตือนหมดอายุ</t>
  </si>
  <si>
    <t xml:space="preserve">Agreement register &amp; expiry alerts</t>
  </si>
  <si>
    <t xml:space="preserve">06_DSA | ม.37(2)</t>
  </si>
  <si>
    <t xml:space="preserve">ทะเบียน DSA (ใช้ร่วมกับ DPA-10)</t>
  </si>
  <si>
    <t xml:space="preserve">หน้าทะเบียน DSA</t>
  </si>
  <si>
    <t xml:space="preserve">ข้อตกลงใกล้หมดอายุถูกแจ้งเตือน</t>
  </si>
  <si>
    <t xml:space="preserve">DSA-06</t>
  </si>
  <si>
    <t xml:space="preserve">คลังข้อความสัญญา</t>
  </si>
  <si>
    <t xml:space="preserve">Clause library</t>
  </si>
  <si>
    <t xml:space="preserve">06_DSA | แนวปฏิบัติตลาด</t>
  </si>
  <si>
    <t xml:space="preserve">คลัง clause TH/EN มีเวอร์ชัน (ใช้ร่วม DPA)</t>
  </si>
  <si>
    <t xml:space="preserve">หน้าคลัง clause</t>
  </si>
  <si>
    <t xml:space="preserve">แก้ clause แล้วเอกสารใหม่ใช้เวอร์ชันล่าสุด</t>
  </si>
  <si>
    <t xml:space="preserve">DSA-07</t>
  </si>
  <si>
    <t xml:space="preserve">ภาคผนวกประกอบข้อตกลง</t>
  </si>
  <si>
    <t xml:space="preserve">Annexes</t>
  </si>
  <si>
    <t xml:space="preserve">ภาคผนวก: รายการข้อมูล มาตรการ แบบคำขอข้อมูล ภาพแผนผังจาก DFG</t>
  </si>
  <si>
    <t xml:space="preserve">ภาคผนวกแนบภาพแผนผังล่าสุดได้</t>
  </si>
  <si>
    <t xml:space="preserve">DSA-04, DFG-08</t>
  </si>
  <si>
    <t xml:space="preserve">DSA-08</t>
  </si>
  <si>
    <t xml:space="preserve">ใช้ workflow อนุมัติเดียวกับ DPA</t>
  </si>
  <si>
    <t xml:space="preserve">ปุ่มส่งตรวจ</t>
  </si>
  <si>
    <t xml:space="preserve">DSA-09</t>
  </si>
  <si>
    <t xml:space="preserve">เวอร์ชันและประวัติ</t>
  </si>
  <si>
    <t xml:space="preserve">Versions &amp; history</t>
  </si>
  <si>
    <t xml:space="preserve">ใช้เวอร์ชันและ log การดาวน์โหลดเดียวกับ DPA</t>
  </si>
  <si>
    <t xml:space="preserve">หน้าประวัติเวอร์ชัน</t>
  </si>
  <si>
    <t xml:space="preserve">เห็นประวัติการแก้ไขและดาวน์โหลด</t>
  </si>
  <si>
    <t xml:space="preserve">DSA-10</t>
  </si>
  <si>
    <t xml:space="preserve">06_DSA | พ.ร.บ.ว่าด้วยธุรกรรมทางอิเล็กทรอนิกส์ พ.ศ. 2544</t>
  </si>
  <si>
    <t xml:space="preserve">ใช้ connector e-signature ของ DPA-09</t>
  </si>
  <si>
    <t xml:space="preserve">ปุ่มส่งลงนาม</t>
  </si>
  <si>
    <t xml:space="preserve">ไฟล์ที่ลงนามถูกเก็บกลับอัตโนมัติ</t>
  </si>
  <si>
    <t xml:space="preserve">DSA-12</t>
  </si>
  <si>
    <t xml:space="preserve">ผูกข้อตกลงกับกิจกรรมและแผนผัง</t>
  </si>
  <si>
    <t xml:space="preserve">Link to RoPA &amp; data flow</t>
  </si>
  <si>
    <t xml:space="preserve">ผูก DSA กับเส้นทางข้อมูล + เตือนเส้นทางที่ไม่มีข้อตกลง</t>
  </si>
  <si>
    <t xml:space="preserve">แสดงข้อตกลงบนแผนผัง</t>
  </si>
  <si>
    <t xml:space="preserve">เส้นทางส่งข้อมูลให้ผู้ควบคุมรายอื่นที่ไม่มี DSA ถูกเตือน</t>
  </si>
  <si>
    <t xml:space="preserve">DSA-13</t>
  </si>
  <si>
    <t xml:space="preserve">ติดตามภาระผูกพันตามข้อตกลง</t>
  </si>
  <si>
    <t xml:space="preserve">Obligation tracking</t>
  </si>
  <si>
    <t xml:space="preserve">06_DSA | ม.37(2), ม.37(3)</t>
  </si>
  <si>
    <t xml:space="preserve">ภาระผูกพันราย clause → งาน / รอบรายงาน / ลบข้อมูลเมื่อสิ้นสุด</t>
  </si>
  <si>
    <t xml:space="preserve">แท็บภาระผูกพัน</t>
  </si>
  <si>
    <t xml:space="preserve">ภาระผูกพันที่ถึงกำหนดสร้างงานอัตโนมัติ</t>
  </si>
  <si>
    <t xml:space="preserve">DSA-14</t>
  </si>
  <si>
    <t xml:space="preserve">รองรับการแบ่งปันข้อมูลระหว่างหน่วยงานรัฐ</t>
  </si>
  <si>
    <t xml:space="preserve">Inter-agency data sharing</t>
  </si>
  <si>
    <t xml:space="preserve">06_DSA | พ.ร.บ.การบริหารงานและการให้บริการภาครัฐผ่านระบบดิจิทัล พ.ศ. 2562</t>
  </si>
  <si>
    <t xml:space="preserve">template และขั้นตอนสำหรับการแลกเปลี่ยนข้อมูลระหว่างหน่วยงานรัฐ</t>
  </si>
  <si>
    <t xml:space="preserve">ตัวเลือก template ภาครัฐ</t>
  </si>
  <si>
    <t xml:space="preserve">สร้างข้อตกลงระหว่างหน่วยงานรัฐได้ครบหัวข้อ</t>
  </si>
  <si>
    <t xml:space="preserve">DPX</t>
  </si>
  <si>
    <t xml:space="preserve">DPO ส่วนต่อขยาย (DPO Extension)</t>
  </si>
  <si>
    <t xml:space="preserve">บริหารการเก็บรักษาและทำลายข้อมูล</t>
  </si>
  <si>
    <t xml:space="preserve">Retention &amp; disposal</t>
  </si>
  <si>
    <t xml:space="preserve">15_DPO_Ext | ม.33, ม.37(3)</t>
  </si>
  <si>
    <t xml:space="preserve">ตาราง retention (จาก RoPA), job ตรวจครบกำหนด, workflow ลบ / ทำลาย / ทำให้ไม่ระบุตัวตน มอบหมายเจ้าของระบบ, หลักฐานการทำลาย, legal hold</t>
  </si>
  <si>
    <t xml:space="preserve">หน้าตาราง retention + งานทำลายที่ครบกำหนด</t>
  </si>
  <si>
    <t xml:space="preserve">ข้อมูลครบกำหนดสร้างงานทำลายอัตโนมัติและปิดได้เมื่อแนบหลักฐาน</t>
  </si>
  <si>
    <t xml:space="preserve">ROPA-07, PLT-05</t>
  </si>
  <si>
    <t xml:space="preserve">ประเมินการโอนข้อมูลไปต่างประเทศ (TIA)</t>
  </si>
  <si>
    <t xml:space="preserve">Transfer impact assessment</t>
  </si>
  <si>
    <t xml:space="preserve">15_DPO_Ext | ม.28-29; ประกาศ สคส. ตามมาตรา 28 และ 29 พ.ศ. 2566</t>
  </si>
  <si>
    <t xml:space="preserve">แบบประเมินการโอนตามประกาศ ม.28/29 พ.ศ. 2566 (ประเทศปลายทาง, BCR / ข้อสัญญา / ใบรับรอง) ผูกกิจกรรมและคู่ค้า</t>
  </si>
  <si>
    <t xml:space="preserve">หน้า TIA</t>
  </si>
  <si>
    <t xml:space="preserve">การโอนต่างประเทศทุกเส้นทางมีผล TIA อ้างอิง</t>
  </si>
  <si>
    <t xml:space="preserve">PLT-06, ORG-07</t>
  </si>
  <si>
    <t xml:space="preserve">DPX-01</t>
  </si>
  <si>
    <t xml:space="preserve">อบรมและทดสอบพนักงาน</t>
  </si>
  <si>
    <t xml:space="preserve">Awareness training &amp; quiz</t>
  </si>
  <si>
    <t xml:space="preserve">15_DPO_Ext | ม.37(1), ม.42</t>
  </si>
  <si>
    <t xml:space="preserve">LMS ขนาดเล็ก: คอร์ส (วิดีโอ / สไลด์), แบบทดสอบ, เกณฑ์ผ่าน, ใบประกาศ PDF, มอบหมายตามแผนก, รายงาน; หรือเชื่อม LMS ผ่าน SCORM / xAPI</t>
  </si>
  <si>
    <t xml:space="preserve">หน้าเรียนใน portal + หน้าจัดการคอร์ส</t>
  </si>
  <si>
    <t xml:space="preserve">พนักงานเรียนและทำแบบทดสอบได้ และรายงานแสดงผลรายบุคคล</t>
  </si>
  <si>
    <t xml:space="preserve">OneTrust ขายส่วนนี้ให้ EQS แล้ว (จุดต่าง)</t>
  </si>
  <si>
    <t xml:space="preserve">DPX-02</t>
  </si>
  <si>
    <t xml:space="preserve">รับทราบนโยบายภายใน</t>
  </si>
  <si>
    <t xml:space="preserve">Policy attestation</t>
  </si>
  <si>
    <t xml:space="preserve">15_DPO_Ext | แนวปฏิบัติตลาด</t>
  </si>
  <si>
    <t xml:space="preserve">เผยแพร่นโยบาย → พนักงานกดรับทราบ + หลักฐาน + ติดตามผู้ยังไม่รับทราบ</t>
  </si>
  <si>
    <t xml:space="preserve">หน้ารับทราบนโยบาย</t>
  </si>
  <si>
    <t xml:space="preserve">รายงานแสดงผู้ที่ยังไม่รับทราบ</t>
  </si>
  <si>
    <t xml:space="preserve">DPX-03</t>
  </si>
  <si>
    <t xml:space="preserve">ตรวจประเมินความพร้อมทั้งองค์กร</t>
  </si>
  <si>
    <t xml:space="preserve">Organization-wide audit &amp; maturity</t>
  </si>
  <si>
    <t xml:space="preserve">15_DPO_Ext | ม.37(1)</t>
  </si>
  <si>
    <t xml:space="preserve">แบบประเมินความพร้อมระดับองค์กร / บริษัทในเครือ + คะแนนรายด้าน + แผนแก้ไข</t>
  </si>
  <si>
    <t xml:space="preserve">หน้าประเมินและผลเปรียบเทียบรายบริษัท</t>
  </si>
  <si>
    <t xml:space="preserve">ผลประเมินแสดงคะแนนรายด้านและแผนแก้ไข</t>
  </si>
  <si>
    <t xml:space="preserve">DPX-04</t>
  </si>
  <si>
    <t xml:space="preserve">ติดตามแผนแก้ไขจากการตรวจ</t>
  </si>
  <si>
    <t xml:space="preserve">Audit remediation tracking</t>
  </si>
  <si>
    <t xml:space="preserve">ข้อตรวจพบ → งาน + หลักฐาน + ติดตาม</t>
  </si>
  <si>
    <t xml:space="preserve">แท็บแผนแก้ไขในหน้าผลตรวจ</t>
  </si>
  <si>
    <t xml:space="preserve">ข้อตรวจพบปิดได้เมื่อแนบหลักฐาน</t>
  </si>
  <si>
    <t xml:space="preserve">DPX-08</t>
  </si>
  <si>
    <t xml:space="preserve">บันทึกการติดต่อกับ สคส.</t>
  </si>
  <si>
    <t xml:space="preserve">Regulator correspondence</t>
  </si>
  <si>
    <t xml:space="preserve">15_DPO_Ext | ม.42(3)</t>
  </si>
  <si>
    <t xml:space="preserve">ทะเบียนหนังสือ / คำสั่ง / การตรวจสอบจาก สคส. + กำหนดส่ง + ไฟล์</t>
  </si>
  <si>
    <t xml:space="preserve">หน้าทะเบียนการติดต่อกับ สคส.</t>
  </si>
  <si>
    <t xml:space="preserve">กำหนดส่งถูกแจ้งเตือนก่อนครบ</t>
  </si>
  <si>
    <t xml:space="preserve">DPX-13</t>
  </si>
  <si>
    <t xml:space="preserve">เชื่อมระบบ HR / ITSM / SIEM</t>
  </si>
  <si>
    <t xml:space="preserve">HR, ITSM &amp; SIEM connectors</t>
  </si>
  <si>
    <t xml:space="preserve">HRIS (พนักงานเข้า/ออก → ผู้ใช้ / อบรม), ServiceNow / Jira (สร้างงาน), SIEM (ส่ง audit log แบบ syslog / webhook)</t>
  </si>
  <si>
    <t xml:space="preserve">หน้าตั้งค่า connector</t>
  </si>
  <si>
    <t xml:space="preserve">พนักงานลาออกใน HRIS แล้วบัญชีถูกปิดอัตโนมัติ</t>
  </si>
  <si>
    <t xml:space="preserve">DPX-07</t>
  </si>
  <si>
    <t xml:space="preserve">เครื่องมือ Masking / Pseudonymization</t>
  </si>
  <si>
    <t xml:space="preserve">Data masking tool</t>
  </si>
  <si>
    <t xml:space="preserve">15_DPO_Ext | ม.33, ม.37(1)</t>
  </si>
  <si>
    <t xml:space="preserve">เครื่องมือ mask / tokenize ไฟล์ CSV และฐานข้อมูลตัวอย่าง (format-preserving สำหรับเลขบัตร / เบอร์)</t>
  </si>
  <si>
    <t xml:space="preserve">หน้าสร้างงาน masking</t>
  </si>
  <si>
    <t xml:space="preserve">ไฟล์ที่ mask แล้วไม่มีค่าจริงหลงเหลือแต่รูปแบบยังถูกต้อง</t>
  </si>
  <si>
    <t xml:space="preserve">DPX-09</t>
  </si>
  <si>
    <t xml:space="preserve">ติดตามกฎหมายและประกาศใหม่</t>
  </si>
  <si>
    <t xml:space="preserve">Regulatory update feed</t>
  </si>
  <si>
    <t xml:space="preserve">ฟีดประกาศ สคส. (ทีมเนื้อหาของเราดูแล) → แจ้ง tenant + แบบประเมินผลกระทบ</t>
  </si>
  <si>
    <t xml:space="preserve">หน้าฟีดกฎหมาย</t>
  </si>
  <si>
    <t xml:space="preserve">ประกาศใหม่ถูกแจ้งทุก tenant ภายใน 3 วันทำการหลังประกาศ</t>
  </si>
  <si>
    <t xml:space="preserve">DPX-10</t>
  </si>
  <si>
    <t xml:space="preserve">เชื่อมโยงกฎหมายอื่นที่เกี่ยวข้อง</t>
  </si>
  <si>
    <t xml:space="preserve">Related laws mapping</t>
  </si>
  <si>
    <t xml:space="preserve">15_DPO_Ext | แนวปฏิบัติตลาดไทย</t>
  </si>
  <si>
    <t xml:space="preserve">framework กฎหมายอื่น (พ.ร.บ.ไซเบอร์, พ.ร.บ.คอมพิวเตอร์ – เก็บข้อมูลจราจร 90 วัน, ธปท. / คปภ. / ก.ล.ต.) เป็น checklist</t>
  </si>
  <si>
    <t xml:space="preserve">หน้าเลือก framework</t>
  </si>
  <si>
    <t xml:space="preserve">เลือก framework แล้วได้ checklist พร้อมใช้</t>
  </si>
  <si>
    <t xml:space="preserve">DPX-11</t>
  </si>
  <si>
    <t xml:space="preserve">ผู้ช่วย AI สำหรับ DPO</t>
  </si>
  <si>
    <t xml:space="preserve">AI assistant</t>
  </si>
  <si>
    <t xml:space="preserve">15_DPO_Ext | แนวโน้มตลาด</t>
  </si>
  <si>
    <t xml:space="preserve">ผู้ช่วยแชต: ถาม-ตอบ PDPA ภาษาไทย (RAG จากคลังกฎหมายและเอกสารองค์กร), ร่างคำตอบคำขอ, สรุป DPIA, ตรวจสัญญา — ทุกคำตอบอ้างแหล่ง</t>
  </si>
  <si>
    <t xml:space="preserve">แผงแชตใน admin</t>
  </si>
  <si>
    <t xml:space="preserve">ทุกคำตอบอ้างแหล่งและผ่านชุดทดสอบคุณภาพ (T45)</t>
  </si>
  <si>
    <t xml:space="preserve">ทะเบียนระบบ AI</t>
  </si>
  <si>
    <t xml:space="preserve">AI governance register</t>
  </si>
  <si>
    <t xml:space="preserve">ทะเบียนระบบ AI + ผลประเมิน (DPIA-17)</t>
  </si>
  <si>
    <t xml:space="preserve">หน้าทะเบียน AI</t>
  </si>
  <si>
    <t xml:space="preserve">ระบบ AI ทุกตัวผูกกับผลประเมิน</t>
  </si>
  <si>
    <t xml:space="preserve">รวมทั้งหมด</t>
  </si>
  <si>
    <t xml:space="preserve">รายการ Task (พร้อม import เข้า Jira / Azure DevOps / GitHub Projects)</t>
  </si>
  <si>
    <t xml:space="preserve">วันทำงานดึงจาก WBS และ Project_Tasks อัตโนมัติ | ช่อง Sprint / ผู้รับผิดชอบ / สถานะ ใช้วางแผนและติดตาม</t>
  </si>
  <si>
    <t xml:space="preserve">Task ID</t>
  </si>
  <si>
    <t xml:space="preserve">Feature / งาน</t>
  </si>
  <si>
    <t xml:space="preserve">ชื่องาน</t>
  </si>
  <si>
    <t xml:space="preserve">วัน</t>
  </si>
  <si>
    <t xml:space="preserve">Sprint</t>
  </si>
  <si>
    <t xml:space="preserve">ผู้รับผิดชอบ</t>
  </si>
  <si>
    <t xml:space="preserve">สถานะ</t>
  </si>
  <si>
    <t xml:space="preserve">PLT-01-SA</t>
  </si>
  <si>
    <t xml:space="preserve">วิเคราะห์ business rules, ERD และ OpenAPI spec: โครงระบบ Go modular monolith + Next.js monorepo</t>
  </si>
  <si>
    <t xml:space="preserve">To Do</t>
  </si>
  <si>
    <t xml:space="preserve">PLT-01-BE</t>
  </si>
  <si>
    <t xml:space="preserve">[Go] โครง backend/internal/&lt;module&gt;, chi router + oapi-codegen (OpenAPI-first), pgx + sqlc, goose migration, config, error model RFC 9457, health/readiness, graceful shutdown; binary api / worker / scanner</t>
  </si>
  <si>
    <t xml:space="preserve">BE</t>
  </si>
  <si>
    <t xml:space="preserve">PLT-01-FE</t>
  </si>
  <si>
    <t xml:space="preserve">[Next.js] Turborepo + pnpm: apps/admin, apps/portal (App Router, TypeScript), packages/ui (shadcn/ui + Tailwind), api-client generate จาก OpenAPI, layout และเมนูตามสิทธิ์</t>
  </si>
  <si>
    <t xml:space="preserve">FE</t>
  </si>
  <si>
    <t xml:space="preserve">PLT-01-QA</t>
  </si>
  <si>
    <t xml:space="preserve">test case + automated test: สร้างโมดูลใหม่จาก template ได้ภายใน 1 วัน; แก้ OpenAPI แล้ว Go stub และ TS client generate ใน CI</t>
  </si>
  <si>
    <t xml:space="preserve">PLT-01-BE, PLT-01-FE</t>
  </si>
  <si>
    <t xml:space="preserve">PLT-02-SA</t>
  </si>
  <si>
    <t xml:space="preserve">วิเคราะห์ business rules, ERD และ OpenAPI spec: Multi-tenant และการแยกข้อมูล</t>
  </si>
  <si>
    <t xml:space="preserve">PLT-02-BE</t>
  </si>
  <si>
    <t xml:space="preserve">[Go] tenant registry, resolver จาก subdomain / custom domain / token, tenant_id ทุกตาราง + PostgreSQL RLS (SET app.tenant_id ต่อ transaction), provisioning (master data, role มาตรฐาน), โหมด DB แยกต่อ tenant</t>
  </si>
  <si>
    <t xml:space="preserve">PLT-02-FE</t>
  </si>
  <si>
    <t xml:space="preserve">[Next.js] tenant context ใน middleware ของ Next.js, custom domain ของ portal</t>
  </si>
  <si>
    <t xml:space="preserve">PLT-02-QA</t>
  </si>
  <si>
    <t xml:space="preserve">test case + automated test: ผู้ใช้ tenant A เข้าถึงข้อมูล tenant B ไม่ได้แม้เรียก API ตรง (automated test ทุก endpoint)</t>
  </si>
  <si>
    <t xml:space="preserve">PLT-02-BE, PLT-02-FE</t>
  </si>
  <si>
    <t xml:space="preserve">PLT-03-SA</t>
  </si>
  <si>
    <t xml:space="preserve">วิเคราะห์ business rules, ERD และ OpenAPI spec: ระบบหลายภาษา TH/EN</t>
  </si>
  <si>
    <t xml:space="preserve">PLT-03-BE</t>
  </si>
  <si>
    <t xml:space="preserve">[Go] ตาราง translation สำหรับเนื้อหาที่ผู้ใช้สร้าง (ข้อความยินยอม ประกาศ template), Accept-Language, fallback</t>
  </si>
  <si>
    <t xml:space="preserve">PLT-03-FE</t>
  </si>
  <si>
    <t xml:space="preserve">[Next.js] next-intl ข้อความ UI TH/EN, วันที่ พ.ศ. / ค.ศ., เขตเวลา Asia/Bangkok, ฟอนต์ไทย</t>
  </si>
  <si>
    <t xml:space="preserve">PLT-03-QA</t>
  </si>
  <si>
    <t xml:space="preserve">test case + automated test: ทุกหน้าสลับ TH/EN ได้ และวันที่แสดง พ.ศ. ตามการตั้งค่า</t>
  </si>
  <si>
    <t xml:space="preserve">PLT-03-BE, PLT-03-FE</t>
  </si>
  <si>
    <t xml:space="preserve">PLT-04-SA</t>
  </si>
  <si>
    <t xml:space="preserve">วิเคราะห์ business rules, ERD และ OpenAPI spec: บริการแจ้งเตือน Email / SMS / LINE / In-app</t>
  </si>
  <si>
    <t xml:space="preserve">PLT-04-UX</t>
  </si>
  <si>
    <t xml:space="preserve">ออกแบบหน้าจอและ prototype: บริการแจ้งเตือน Email / SMS / LINE / In-app</t>
  </si>
  <si>
    <t xml:space="preserve">PLT-04-BE</t>
  </si>
  <si>
    <t xml:space="preserve">[Go] template มีตัวแปร (TH/EN), adapter SMTP/SES, SMS gateway ไทย, LINE Messaging API, in-app ผ่าน SSE, ส่งผ่าน River + retry, delivery log, quiet hours</t>
  </si>
  <si>
    <t xml:space="preserve">PLT-04-FE</t>
  </si>
  <si>
    <t xml:space="preserve">[Next.js] หน้าจัดการ template พร้อม preview, กระดิ่งแจ้งเตือนใน admin, หน้าสถานะการส่ง</t>
  </si>
  <si>
    <t xml:space="preserve">PLT-04-QA</t>
  </si>
  <si>
    <t xml:space="preserve">test case + automated test: ส่งล้มเหลวมี retry อัตโนมัติ และตรวจสถานะรายข้อความได้</t>
  </si>
  <si>
    <t xml:space="preserve">PLT-04-BE, PLT-04-FE</t>
  </si>
  <si>
    <t xml:space="preserve">PLT-05-SA</t>
  </si>
  <si>
    <t xml:space="preserve">วิเคราะห์ business rules, ERD และ OpenAPI spec: Workflow &amp; SLA engine</t>
  </si>
  <si>
    <t xml:space="preserve">PLT-05-UX</t>
  </si>
  <si>
    <t xml:space="preserve">ออกแบบหน้าจอและ prototype: Workflow &amp; SLA engine</t>
  </si>
  <si>
    <t xml:space="preserve">PLT-05-BE</t>
  </si>
  <si>
    <t xml:space="preserve">[Go] state machine กำหนดได้ต่อ tenant (JSON definition), มอบหมายคน/กลุ่ม, SLA timer แบบวันปฏิทิน / วันทำการ / ชั่วโมง พร้อมวันหยุดไทย, reminder และ escalation ด้วย River scheduled job, comment, history</t>
  </si>
  <si>
    <t xml:space="preserve">PLT-05-FE</t>
  </si>
  <si>
    <t xml:space="preserve">[Next.js] component กระดานงาน, timeline, ป้าย SLA, หน้าตั้งค่า workflow แบบฟอร์ม</t>
  </si>
  <si>
    <t xml:space="preserve">PLT-05-QA</t>
  </si>
  <si>
    <t xml:space="preserve">test case + automated test: นับ SLA ถูกต้องเมื่อข้ามวันหยุด และแจ้งเตือนก่อนครบกำหนดตามที่ตั้ง (unit test ครอบคลุมกรณีข้ามวันหยุด)</t>
  </si>
  <si>
    <t xml:space="preserve">PLT-05-BE, PLT-05-FE</t>
  </si>
  <si>
    <t xml:space="preserve">PLT-06-SA</t>
  </si>
  <si>
    <t xml:space="preserve">วิเคราะห์ business rules, ERD และ OpenAPI spec: Form &amp; assessment engine</t>
  </si>
  <si>
    <t xml:space="preserve">PLT-06-UX</t>
  </si>
  <si>
    <t xml:space="preserve">ออกแบบหน้าจอและ prototype: Form &amp; assessment engine</t>
  </si>
  <si>
    <t xml:space="preserve">PLT-06-BE</t>
  </si>
  <si>
    <t xml:space="preserve">[Go] form schema มีเวอร์ชัน (JSON), ประเภทคำถาม, conditional logic, คะแนน/น้ำหนัก, validation ฝั่ง server, คำตอบ JSONB, มอบหมายผู้ตอบรายส่วน</t>
  </si>
  <si>
    <t xml:space="preserve">PLT-06-FE</t>
  </si>
  <si>
    <t xml:space="preserve">[Next.js] Form builder ลากวาง (dnd-kit) + renderer ใช้ร่วม admin และ portal (react-hook-form + zod), preview หลายภาษา</t>
  </si>
  <si>
    <t xml:space="preserve">PLT-06-QA</t>
  </si>
  <si>
    <t xml:space="preserve">test case + automated test: สร้างแบบประเมินที่มีเงื่อนไขซ่อน/แสดงและคิดคะแนนได้โดยไม่เขียนโค้ด; ทุกโมดูลใช้ renderer เดียวกัน</t>
  </si>
  <si>
    <t xml:space="preserve">PLT-06-BE, PLT-06-FE</t>
  </si>
  <si>
    <t xml:space="preserve">PLT-07-SA</t>
  </si>
  <si>
    <t xml:space="preserve">วิเคราะห์ business rules, ERD และ OpenAPI spec: ความเห็น ไฟล์แนบ และไทม์ไลน์กิจกรรม</t>
  </si>
  <si>
    <t xml:space="preserve">PLT-07-UX</t>
  </si>
  <si>
    <t xml:space="preserve">ออกแบบหน้าจอและ prototype: ความเห็น ไฟล์แนบ และไทม์ไลน์กิจกรรม</t>
  </si>
  <si>
    <t xml:space="preserve">PLT-07-BE</t>
  </si>
  <si>
    <t xml:space="preserve">[Go] comment + @mention, ไฟล์แนบ, activity feed ต่อ record แบบ polymorphic, แจ้งเตือนผู้เกี่ยวข้อง</t>
  </si>
  <si>
    <t xml:space="preserve">PLT-07-FE</t>
  </si>
  <si>
    <t xml:space="preserve">[Next.js] component ความเห็น / ไฟล์แนบ / ไทม์ไลน์ ใช้ร่วมทุกโมดูล</t>
  </si>
  <si>
    <t xml:space="preserve">PLT-07-QA</t>
  </si>
  <si>
    <t xml:space="preserve">test case + automated test: ทุกโมดูลใช้ component เดียวกัน และการ mention ส่งแจ้งเตือน</t>
  </si>
  <si>
    <t xml:space="preserve">PLT-07-BE, PLT-07-FE</t>
  </si>
  <si>
    <t xml:space="preserve">PLT-08-SA</t>
  </si>
  <si>
    <t xml:space="preserve">วิเคราะห์ business rules, ERD และ OpenAPI spec: เวอร์ชันและการอนุมัติ</t>
  </si>
  <si>
    <t xml:space="preserve">PLT-08-UX</t>
  </si>
  <si>
    <t xml:space="preserve">ออกแบบหน้าจอและ prototype: เวอร์ชันและการอนุมัติ</t>
  </si>
  <si>
    <t xml:space="preserve">PLT-08-BE</t>
  </si>
  <si>
    <t xml:space="preserve">[Go] snapshot + diff ของ record, สถานะ ร่าง → รอตรวจ → อนุมัติ → เผยแพร่, ผู้อนุมัติหลายระดับ, maker-checker</t>
  </si>
  <si>
    <t xml:space="preserve">PLT-08-FE</t>
  </si>
  <si>
    <t xml:space="preserve">[Next.js] แถบสถานะเวอร์ชัน, หน้าเปรียบเทียบเวอร์ชัน, กล่องงานรออนุมัติ</t>
  </si>
  <si>
    <t xml:space="preserve">PLT-08-QA</t>
  </si>
  <si>
    <t xml:space="preserve">test case + automated test: record ที่เผยแพร่แล้วแก้ไม่ได้ต้องสร้างเวอร์ชันใหม่; ผู้สร้างอนุมัติงานของตนเองไม่ได้</t>
  </si>
  <si>
    <t xml:space="preserve">PLT-08-BE, PLT-08-FE</t>
  </si>
  <si>
    <t xml:space="preserve">PLT-09-SA</t>
  </si>
  <si>
    <t xml:space="preserve">วิเคราะห์ business rules, ERD และ OpenAPI spec: จัดเก็บไฟล์และสแกนไวรัส</t>
  </si>
  <si>
    <t xml:space="preserve">PLT-09-BE</t>
  </si>
  <si>
    <t xml:space="preserve">[Go] S3 API (S3 / SeaweedFS / MinIO), เข้ารหัส, ClamAV, จำกัดชนิดและขนาด, pre-signed URL หมดอายุ, อายุไฟล์</t>
  </si>
  <si>
    <t xml:space="preserve">PLT-09-FE</t>
  </si>
  <si>
    <t xml:space="preserve">[Next.js] component อัปโหลด / ดาวน์โหลด (ลากวาง, progress)</t>
  </si>
  <si>
    <t xml:space="preserve">PLT-09-QA</t>
  </si>
  <si>
    <t xml:space="preserve">test case + automated test: ไฟล์ติดไวรัสถูกปฏิเสธ และลิงก์ดาวน์โหลดหมดอายุตามเวลาที่ตั้ง</t>
  </si>
  <si>
    <t xml:space="preserve">PLT-09-BE, PLT-09-FE</t>
  </si>
  <si>
    <t xml:space="preserve">PLT-10-SA</t>
  </si>
  <si>
    <t xml:space="preserve">วิเคราะห์ business rules, ERD และ OpenAPI spec: Background jobs และ scheduler</t>
  </si>
  <si>
    <t xml:space="preserve">PLT-10-BE</t>
  </si>
  <si>
    <t xml:space="preserve">[Go] River (job queue บน PostgreSQL): enqueue ใน transaction เดียวกับข้อมูล, retry/backoff, periodic job (cron), unique job, graceful shutdown ใน worker</t>
  </si>
  <si>
    <t xml:space="preserve">PLT-10-FE</t>
  </si>
  <si>
    <t xml:space="preserve">[Next.js] หน้าดูสถานะ job สำหรับผู้ดูแลระบบ</t>
  </si>
  <si>
    <t xml:space="preserve">PLT-10-QA</t>
  </si>
  <si>
    <t xml:space="preserve">test case + automated test: job ที่ล้มเหลวมี retry และแจ้งเตือน; ไม่มี job ซ้ำเมื่อรันหลาย instance</t>
  </si>
  <si>
    <t xml:space="preserve">PLT-10-BE, PLT-10-FE</t>
  </si>
  <si>
    <t xml:space="preserve">PLT-11-SA</t>
  </si>
  <si>
    <t xml:space="preserve">วิเคราะห์ business rules, ERD และ OpenAPI spec: Domain events และ outbox</t>
  </si>
  <si>
    <t xml:space="preserve">PLT-11-BE</t>
  </si>
  <si>
    <t xml:space="preserve">[Go] transactional outbox, event catalog (consent.changed, ropa.updated, dsar.closed ฯลฯ), subscriber ภายใน, ส่งต่อ webhook / NATS</t>
  </si>
  <si>
    <t xml:space="preserve">PLT-11-QA</t>
  </si>
  <si>
    <t xml:space="preserve">test case + automated test: event ไม่สูญหายเมื่อระบบล่มกลางคัน (at-least-once + idempotent consumer)</t>
  </si>
  <si>
    <t xml:space="preserve">PLT-12-SA</t>
  </si>
  <si>
    <t xml:space="preserve">วิเคราะห์ business rules, ERD และ OpenAPI spec: โครงสร้าง Audit log</t>
  </si>
  <si>
    <t xml:space="preserve">PLT-12-BE</t>
  </si>
  <si>
    <t xml:space="preserve">[Go] event แบบ append-only + hash chain ต่อ tenant, before/after (JSON diff), ผู้ทำ, IP, user agent, partition รายเดือน, นโยบายระยะเวลาเก็บ</t>
  </si>
  <si>
    <t xml:space="preserve">PLT-12-QA</t>
  </si>
  <si>
    <t xml:space="preserve">test case + automated test: แก้ log ย้อนหลังแล้วการตรวจ hash chain ล้มเหลว</t>
  </si>
  <si>
    <t xml:space="preserve">PLT-13-SA</t>
  </si>
  <si>
    <t xml:space="preserve">วิเคราะห์ business rules, ERD และ OpenAPI spec: เข้ารหัสข้อมูลส่วนบุคคลระดับฟิลด์</t>
  </si>
  <si>
    <t xml:space="preserve">PLT-13-BE</t>
  </si>
  <si>
    <t xml:space="preserve">[Go] envelope encryption (DEK ต่อ tenant, KEK ใน KMS / OpenBao Transit), blind index (HMAC) สำหรับค้นหาอีเมล / เบอร์ / เลขบัตร, key rotation</t>
  </si>
  <si>
    <t xml:space="preserve">PLT-13-QA</t>
  </si>
  <si>
    <t xml:space="preserve">test case + automated test: identifier ในฐานข้อมูลอ่านไม่ออกถ้าไม่มี key แต่ยังค้นหาแบบตรงตัวได้</t>
  </si>
  <si>
    <t xml:space="preserve">PLT-14-SA</t>
  </si>
  <si>
    <t xml:space="preserve">วิเคราะห์ business rules, ERD และ OpenAPI spec: Import framework (Excel / CSV)</t>
  </si>
  <si>
    <t xml:space="preserve">PLT-14-UX</t>
  </si>
  <si>
    <t xml:space="preserve">ออกแบบหน้าจอและ prototype: Import framework (Excel / CSV)</t>
  </si>
  <si>
    <t xml:space="preserve">PLT-14-BE</t>
  </si>
  <si>
    <t xml:space="preserve">[Go] import แบบ async: อ่าน Excel/CSV (excelize), map คอลัมน์, validate ทีละแถว, dry-run, รายงานข้อผิดพลาด, rollback</t>
  </si>
  <si>
    <t xml:space="preserve">PLT-14-FE</t>
  </si>
  <si>
    <t xml:space="preserve">[Next.js] wizard นำเข้า: อัปโหลด → map คอลัมน์ → ตรวจ → ยืนยัน</t>
  </si>
  <si>
    <t xml:space="preserve">PLT-14-QA</t>
  </si>
  <si>
    <t xml:space="preserve">test case + automated test: นำเข้า 50,000 แถวได้ และได้ไฟล์รายงานแถวที่ผิดพร้อมเหตุผล</t>
  </si>
  <si>
    <t xml:space="preserve">PLT-14-BE, PLT-14-FE</t>
  </si>
  <si>
    <t xml:space="preserve">PLT-15-SA</t>
  </si>
  <si>
    <t xml:space="preserve">วิเคราะห์ business rules, ERD และ OpenAPI spec: Public API, webhook และ developer portal</t>
  </si>
  <si>
    <t xml:space="preserve">PLT-15-BE</t>
  </si>
  <si>
    <t xml:space="preserve">[Go] versioning /v1, OpenAPI 3.1 + เอกสาร, rate limit ต่อ client (Valkey), idempotency key, webhook subscription + HMAC signature + retry / dead-letter</t>
  </si>
  <si>
    <t xml:space="preserve">PLT-15-FE</t>
  </si>
  <si>
    <t xml:space="preserve">[Next.js] หน้า developer: เอกสาร API, จัดการ webhook และดู delivery log</t>
  </si>
  <si>
    <t xml:space="preserve">PLT-15-QA</t>
  </si>
  <si>
    <t xml:space="preserve">test case + automated test: client เกิน rate limit ได้ 429; webhook ที่ล้มเหลวถูกส่งซ้ำตามนโยบาย</t>
  </si>
  <si>
    <t xml:space="preserve">PLT-15-BE, PLT-15-FE</t>
  </si>
  <si>
    <t xml:space="preserve">PLT-16-SA</t>
  </si>
  <si>
    <t xml:space="preserve">วิเคราะห์ business rules, ERD และ OpenAPI spec: Document composer (template + clause + merge field)</t>
  </si>
  <si>
    <t xml:space="preserve">PLT-16-UX</t>
  </si>
  <si>
    <t xml:space="preserve">ออกแบบหน้าจอและ prototype: Document composer (template + clause + merge field)</t>
  </si>
  <si>
    <t xml:space="preserve">PLT-16-BE</t>
  </si>
  <si>
    <t xml:space="preserve">[Go] เก็บเอกสารเป็นโครงสร้าง (ProseMirror JSON) + merge field จากองค์กร / RoPA / คู่ค้า, คลัง clause มีเวอร์ชัน, render HTML → PDF ผ่าน Gotenberg (ฟอนต์ไทย) และสร้าง DOCX, diff ระหว่างเวอร์ชัน</t>
  </si>
  <si>
    <t xml:space="preserve">PLT-16-FE</t>
  </si>
  <si>
    <t xml:space="preserve">[Next.js] editor แบบ TipTap: บล็อก clause, merge field, สารบัญ, preview TH/EN, เปรียบเทียบเวอร์ชัน</t>
  </si>
  <si>
    <t xml:space="preserve">PLT-16-QA</t>
  </si>
  <si>
    <t xml:space="preserve">test case + automated test: เอกสารภาษาไทยส่งออก PDF / Word ได้ตัวอักษรถูกต้อง และเปรียบเทียบสองเวอร์ชันได้</t>
  </si>
  <si>
    <t xml:space="preserve">PLT-16-BE, PLT-16-FE</t>
  </si>
  <si>
    <t xml:space="preserve">PLT-17-SA</t>
  </si>
  <si>
    <t xml:space="preserve">วิเคราะห์ business rules, ERD และ OpenAPI spec: Public portal framework</t>
  </si>
  <si>
    <t xml:space="preserve">PLT-17-UX</t>
  </si>
  <si>
    <t xml:space="preserve">ออกแบบหน้าจอและ prototype: Public portal framework</t>
  </si>
  <si>
    <t xml:space="preserve">PLT-17-BE</t>
  </si>
  <si>
    <t xml:space="preserve">[Go] route สาธารณะแยก, CAPTCHA, session ของเจ้าของข้อมูล (OTP / magic link), CSP และ rate limit</t>
  </si>
  <si>
    <t xml:space="preserve">PLT-17-FE</t>
  </si>
  <si>
    <t xml:space="preserve">[Next.js] apps/portal: theme ตามแบรนด์ tenant, custom domain, ISR/caching, WCAG 2.1 AA, TH/EN</t>
  </si>
  <si>
    <t xml:space="preserve">PLT-17-QA</t>
  </si>
  <si>
    <t xml:space="preserve">test case + automated test: หน้า portal หลักผ่านการตรวจ accessibility ระดับ AA และโหลดเสร็จภายใน 2 วินาทีบน 4G</t>
  </si>
  <si>
    <t xml:space="preserve">PLT-17-BE, PLT-17-FE</t>
  </si>
  <si>
    <t xml:space="preserve">PLT-18-SA</t>
  </si>
  <si>
    <t xml:space="preserve">วิเคราะห์ business rules, ERD และ OpenAPI spec: Dashboard &amp; report framework</t>
  </si>
  <si>
    <t xml:space="preserve">PLT-18-UX</t>
  </si>
  <si>
    <t xml:space="preserve">ออกแบบหน้าจอและ prototype: Dashboard &amp; report framework</t>
  </si>
  <si>
    <t xml:space="preserve">PLT-18-BE</t>
  </si>
  <si>
    <t xml:space="preserve">[Go] query / aggregate API กรองตามสิทธิ์, export CSV / Excel (excelize) / PDF แบบ async + ศูนย์ดาวน์โหลด, ตั้งเวลาส่งรายงาน</t>
  </si>
  <si>
    <t xml:space="preserve">PLT-18-FE</t>
  </si>
  <si>
    <t xml:space="preserve">[Next.js] widget dashboard ปรับได้ (ECharts), ตัวกรองร่วม, data table (TanStack Table) + ปุ่ม export</t>
  </si>
  <si>
    <t xml:space="preserve">PLT-18-QA</t>
  </si>
  <si>
    <t xml:space="preserve">test case + automated test: export 100,000 แถวแบบ async และแจ้งเมื่อไฟล์พร้อม; ตัวเลขตรงกับข้อมูลที่ผู้ใช้มีสิทธิ์เห็น</t>
  </si>
  <si>
    <t xml:space="preserve">PLT-18-BE, PLT-18-FE</t>
  </si>
  <si>
    <t xml:space="preserve">PLT-19-SA</t>
  </si>
  <si>
    <t xml:space="preserve">วิเคราะห์ business rules, ERD และ OpenAPI spec: Observability</t>
  </si>
  <si>
    <t xml:space="preserve">PLT-19-BE</t>
  </si>
  <si>
    <t xml:space="preserve">[Go] OpenTelemetry (trace / metric / log) ใน Go, Prometheus + Grafana + Loki, alert rules</t>
  </si>
  <si>
    <t xml:space="preserve">PLT-19-FE</t>
  </si>
  <si>
    <t xml:space="preserve">[Next.js] instrument Next.js (server + web vitals)</t>
  </si>
  <si>
    <t xml:space="preserve">PLT-19-QA</t>
  </si>
  <si>
    <t xml:space="preserve">test case + automated test: มี dashboard สุขภาพระบบ และแจ้งเตือนเมื่อ error rate หรือ latency เกินเกณฑ์</t>
  </si>
  <si>
    <t xml:space="preserve">PLT-19-BE, PLT-19-FE</t>
  </si>
  <si>
    <t xml:space="preserve">PLT-20-SA</t>
  </si>
  <si>
    <t xml:space="preserve">วิเคราะห์ business rules, ERD และ OpenAPI spec: Connector framework</t>
  </si>
  <si>
    <t xml:space="preserve">PLT-20-UX</t>
  </si>
  <si>
    <t xml:space="preserve">ออกแบบหน้าจอและ prototype: Connector framework</t>
  </si>
  <si>
    <t xml:space="preserve">PLT-20-BE</t>
  </si>
  <si>
    <t xml:space="preserve">[Go] Connector SDK ใน Go (test, discover, search subject, update / delete), credential เข้ารหัส, ตั้งเวลา; ชุดแรก PostgreSQL, MySQL, SQL Server, REST ทั่วไป</t>
  </si>
  <si>
    <t xml:space="preserve">PLT-20-FE</t>
  </si>
  <si>
    <t xml:space="preserve">[Next.js] หน้าจัดการ connector + ปุ่มทดสอบการเชื่อมต่อ</t>
  </si>
  <si>
    <t xml:space="preserve">PLT-20-QA</t>
  </si>
  <si>
    <t xml:space="preserve">test case + automated test: เพิ่ม connector ใหม่ได้โดยไม่แก้โมดูลหลัก และทดสอบการเชื่อมต่อจากหน้าจอได้</t>
  </si>
  <si>
    <t xml:space="preserve">PLT-20-BE, PLT-20-FE</t>
  </si>
  <si>
    <t xml:space="preserve">PLT-21-SA</t>
  </si>
  <si>
    <t xml:space="preserve">วิเคราะห์ business rules, ERD และ OpenAPI spec: ค้นหาข้ามระบบ</t>
  </si>
  <si>
    <t xml:space="preserve">PLT-21-BE</t>
  </si>
  <si>
    <t xml:space="preserve">[Go] ค้นหาข้าม entity ด้วย PostgreSQL pg_trgm (รองรับภาษาไทย) กรองตามสิทธิ์; ทางเลือก OpenSearch + Thai analyzer เมื่อข้อมูลโต</t>
  </si>
  <si>
    <t xml:space="preserve">PLT-21-FE</t>
  </si>
  <si>
    <t xml:space="preserve">[Next.js] ช่องค้นหากลาง (Cmd+K) + ผลลัพธ์แยกประเภท</t>
  </si>
  <si>
    <t xml:space="preserve">PLT-21-QA</t>
  </si>
  <si>
    <t xml:space="preserve">test case + automated test: ผลค้นหาไม่แสดงข้อมูลที่ผู้ใช้ไม่มีสิทธิ์</t>
  </si>
  <si>
    <t xml:space="preserve">PLT-21-BE, PLT-21-FE</t>
  </si>
  <si>
    <t xml:space="preserve">PLT-22-SA</t>
  </si>
  <si>
    <t xml:space="preserve">วิเคราะห์ business rules, ERD และ OpenAPI spec: AI gateway</t>
  </si>
  <si>
    <t xml:space="preserve">PLT-22-BE</t>
  </si>
  <si>
    <t xml:space="preserve">[Go] abstraction ผู้ให้บริการ LLM (API หรือ on-prem ผ่าน vLLM), ปกปิด PII ก่อนส่ง, prompt template มีเวอร์ชัน, โควตา / ค่าใช้จ่ายต่อ tenant, log เพื่อ audit, RAG ด้วย pgvector</t>
  </si>
  <si>
    <t xml:space="preserve">PLT-22-FE</t>
  </si>
  <si>
    <t xml:space="preserve">[Next.js] หน้าตั้งค่า AI ต่อ tenant (เปิด/ปิด, เลือก provider), ป้าย 'AI แนะนำ' + ปุ่มยืนยัน</t>
  </si>
  <si>
    <t xml:space="preserve">PLT-22-QA</t>
  </si>
  <si>
    <t xml:space="preserve">test case + automated test: เมื่อเปิดโหมดปกปิด ไม่มีข้อมูลระบุตัวตนถูกส่งออกนอกระบบ; ผลจาก AI ต้องมีคนยืนยันก่อนบันทึก</t>
  </si>
  <si>
    <t xml:space="preserve">PLT-22-BE, PLT-22-FE</t>
  </si>
  <si>
    <t xml:space="preserve">IAM-01-SA</t>
  </si>
  <si>
    <t xml:space="preserve">วิเคราะห์ business rules, ERD และ OpenAPI spec: Identity provider และ login flow</t>
  </si>
  <si>
    <t xml:space="preserve">IAM-01-UX</t>
  </si>
  <si>
    <t xml:space="preserve">ออกแบบหน้าจอและ prototype: Identity provider และ login flow</t>
  </si>
  <si>
    <t xml:space="preserve">IAM-01-BE</t>
  </si>
  <si>
    <t xml:space="preserve">[Go] ติดตั้ง Keycloak (HA), realm / Organizations ต่อ tenant, client ของ admin และ portal, Go middleware ตรวจ JWT (JWKS cache) + map ผู้ใช้ Keycloak ↔ ผู้ใช้ในระบบ, sync event เมื่อผู้ใช้ถูกปิด</t>
  </si>
  <si>
    <t xml:space="preserve">IAM-01-FE</t>
  </si>
  <si>
    <t xml:space="preserve">[Next.js] Auth.js (OIDC) แบบ BFF: session ใน httpOnly cookie, refresh token rotation, logout ทั้งระบบ (back-channel); theme หน้า login TH/EN ด้วย Keycloakify</t>
  </si>
  <si>
    <t xml:space="preserve">IAM-01-QA</t>
  </si>
  <si>
    <t xml:space="preserve">test case + automated test: token ไม่ถูกเปิดเผยใน JavaScript ฝั่ง browser; logout แล้ว session ทุกแท็บสิ้นสุด</t>
  </si>
  <si>
    <t xml:space="preserve">IAM-01-BE, IAM-01-FE</t>
  </si>
  <si>
    <t xml:space="preserve">IAM-02-SA</t>
  </si>
  <si>
    <t xml:space="preserve">วิเคราะห์ business rules, ERD และ OpenAPI spec: Permission engine (RBAC + data scope)</t>
  </si>
  <si>
    <t xml:space="preserve">IAM-02-BE</t>
  </si>
  <si>
    <t xml:space="preserve">[Go] permission code module.resource.action, ประกาศสิทธิ์ต่อ endpoint ใน OpenAPI (x-permission) → middleware ตรวจอัตโนมัติ, deny by default, cache permission set ใน Valkey + invalidate ด้วย event, rule ระดับ record (owner / assignee)</t>
  </si>
  <si>
    <t xml:space="preserve">IAM-02-FE</t>
  </si>
  <si>
    <t xml:space="preserve">[Next.js] hook และ component &lt;Can&gt; ซ่อน/แสดงเมนูและปุ่ม, route guard ใน middleware ของ Next.js</t>
  </si>
  <si>
    <t xml:space="preserve">IAM-02-QA</t>
  </si>
  <si>
    <t xml:space="preserve">test case + automated test: เรียก API ที่ไม่มีสิทธิ์ได้ 403 ทุก endpoint (contract test สร้างจาก OpenAPI)</t>
  </si>
  <si>
    <t xml:space="preserve">IAM-02-BE, IAM-02-FE</t>
  </si>
  <si>
    <t xml:space="preserve">IAM-03-SA</t>
  </si>
  <si>
    <t xml:space="preserve">วิเคราะห์ business rules, ERD และ OpenAPI spec: Console ผู้ให้บริการ: tenant และแพ็กเกจ</t>
  </si>
  <si>
    <t xml:space="preserve">IAM-03-UX</t>
  </si>
  <si>
    <t xml:space="preserve">ออกแบบหน้าจอและ prototype: Console ผู้ให้บริการ: tenant และแพ็กเกจ</t>
  </si>
  <si>
    <t xml:space="preserve">IAM-03-BE</t>
  </si>
  <si>
    <t xml:space="preserve">[Go] สร้าง / ระงับ tenant, แพ็กเกจและโมดูลที่เปิดใช้ (feature flag ตาม license), โควตา (ผู้ใช้ โดเมน ธุรกรรม), สร้างผู้ดูแล tenant คนแรก</t>
  </si>
  <si>
    <t xml:space="preserve">IAM-03-FE</t>
  </si>
  <si>
    <t xml:space="preserve">[Next.js] console สำหรับผู้ให้บริการแพลตฟอร์ม</t>
  </si>
  <si>
    <t xml:space="preserve">IAM-03-QA</t>
  </si>
  <si>
    <t xml:space="preserve">test case + automated test: ปิดโมดูลที่ไม่ได้ซื้อแล้วเมนูและ API ของโมดูลนั้นใช้ไม่ได้</t>
  </si>
  <si>
    <t xml:space="preserve">IAM-03-BE, IAM-03-FE</t>
  </si>
  <si>
    <t xml:space="preserve">ORG-09-SA</t>
  </si>
  <si>
    <t xml:space="preserve">วิเคราะห์ business rules, ERD และ OpenAPI spec: จัดการผู้ใช้</t>
  </si>
  <si>
    <t xml:space="preserve">ORG-09-UX</t>
  </si>
  <si>
    <t xml:space="preserve">ออกแบบหน้าจอและ prototype: จัดการผู้ใช้</t>
  </si>
  <si>
    <t xml:space="preserve">ORG-09-BE</t>
  </si>
  <si>
    <t xml:space="preserve">[Go] User API: เชิญทางอีเมล (สร้างผู้ใช้ใน Keycloak ผ่าน Admin API + ลิงก์ตั้งรหัสผ่าน), เปิด/ปิดบัญชี (ปิดใน Keycloak + revoke session), ผูกบริษัท/หน่วยงาน, นำเข้าผู้ใช้จาก Excel</t>
  </si>
  <si>
    <t xml:space="preserve">ORG-09-FE</t>
  </si>
  <si>
    <t xml:space="preserve">[Next.js] หน้ารายชื่อผู้ใช้ ค้นหา/กรอง, ฟอร์มเพิ่ม/แก้ไข, ส่งคำเชิญซ้ำ, นำเข้า</t>
  </si>
  <si>
    <t xml:space="preserve">ORG-09-QA</t>
  </si>
  <si>
    <t xml:space="preserve">test case + automated test: ปิดบัญชีแล้ว session ถูกตัดภายใน 1 นาที และทุกการเปลี่ยนแปลงถูกบันทึก audit</t>
  </si>
  <si>
    <t xml:space="preserve">ORG-09-BE, ORG-09-FE</t>
  </si>
  <si>
    <t xml:space="preserve">ORG-10-SA</t>
  </si>
  <si>
    <t xml:space="preserve">วิเคราะห์ business rules, ERD และ OpenAPI spec: Role และ Permission</t>
  </si>
  <si>
    <t xml:space="preserve">ORG-10-UX</t>
  </si>
  <si>
    <t xml:space="preserve">ออกแบบหน้าจอและ prototype: Role และ Permission</t>
  </si>
  <si>
    <t xml:space="preserve">ORG-10-BE</t>
  </si>
  <si>
    <t xml:space="preserve">[Go] role มาตรฐานตามชีต Roles_Permissions (seed ต่อ tenant), custom role, clone role, permission catalog สร้างจาก OpenAPI</t>
  </si>
  <si>
    <t xml:space="preserve">ORG-10-FE</t>
  </si>
  <si>
    <t xml:space="preserve">[Next.js] หน้า role + permission matrix แบบ checkbox แยกโมดูลและ action (C/R/U/D/A/P/E/X)</t>
  </si>
  <si>
    <t xml:space="preserve">ORG-10-QA</t>
  </si>
  <si>
    <t xml:space="preserve">test case + automated test: สร้างหรือแก้ role แล้วสิทธิ์มีผลทันทีโดยไม่ต้อง deploy</t>
  </si>
  <si>
    <t xml:space="preserve">ORG-10-BE, ORG-10-FE</t>
  </si>
  <si>
    <t xml:space="preserve">ORG-11-SA</t>
  </si>
  <si>
    <t xml:space="preserve">วิเคราะห์ business rules, ERD และ OpenAPI spec: ขอบเขตข้อมูลตามหน่วยงาน</t>
  </si>
  <si>
    <t xml:space="preserve">ORG-11-BE</t>
  </si>
  <si>
    <t xml:space="preserve">[Go] ผูก role assignment กับ scope (ทั้งกลุ่ม / บริษัท / ฝ่าย / แผนก / สาขา รวมหน่วยย่อย), resolver สร้าง filter ใน repository ทุก query (ltree ของโครงสร้างองค์กร), หลาย scope ต่อคน</t>
  </si>
  <si>
    <t xml:space="preserve">ORG-11-FE</t>
  </si>
  <si>
    <t xml:space="preserve">[Next.js] เลือก scope แบบ tree ขณะให้ role</t>
  </si>
  <si>
    <t xml:space="preserve">ORG-11-QA</t>
  </si>
  <si>
    <t xml:space="preserve">test case + automated test: ผู้ใช้แผนก A เห็นเฉพาะข้อมูลแผนก A ทุก API (automated test)</t>
  </si>
  <si>
    <t xml:space="preserve">ORG-11-BE, ORG-11-FE</t>
  </si>
  <si>
    <t xml:space="preserve">ORG-14-SA</t>
  </si>
  <si>
    <t xml:space="preserve">วิเคราะห์ business rules, ERD และ OpenAPI spec: Login นโยบายรหัสผ่าน และ MFA</t>
  </si>
  <si>
    <t xml:space="preserve">ORG-14-UX</t>
  </si>
  <si>
    <t xml:space="preserve">ออกแบบหน้าจอและ prototype: Login นโยบายรหัสผ่าน และ MFA</t>
  </si>
  <si>
    <t xml:space="preserve">ORG-14-BE</t>
  </si>
  <si>
    <t xml:space="preserve">[Go] ตั้ง password policy, brute-force lockout, ลืมรหัสผ่าน, MFA (TOTP, WebAuthn/passkey) ใน Keycloak ต่อ tenant; บังคับ MFA ตาม role (ตรวจ claim ที่ Go middleware) และ step-up MFA</t>
  </si>
  <si>
    <t xml:space="preserve">ORG-14-FE</t>
  </si>
  <si>
    <t xml:space="preserve">[Next.js] หน้าตั้งค่านโยบายความปลอดภัยของ tenant; theme หน้า login / ลืมรหัส / ตั้ง MFA</t>
  </si>
  <si>
    <t xml:space="preserve">ORG-14-QA</t>
  </si>
  <si>
    <t xml:space="preserve">test case + automated test: ผิดครบจำนวนแล้วบัญชีถูกล็อกตามเวลาที่ตั้ง; role ที่บังคับ MFA เข้าไม่ได้ถ้าไม่ผ่าน MFA</t>
  </si>
  <si>
    <t xml:space="preserve">ORG-14-BE, ORG-14-FE</t>
  </si>
  <si>
    <t xml:space="preserve">ORG-16-SA</t>
  </si>
  <si>
    <t xml:space="preserve">วิเคราะห์ business rules, ERD และ OpenAPI spec: API Client และ Service account</t>
  </si>
  <si>
    <t xml:space="preserve">ORG-16-BE</t>
  </si>
  <si>
    <t xml:space="preserve">[Go] OAuth2 client credentials (Keycloak service account), scope ต่อ client, ผูก tenant/ระบบ, หมุน secret, IP allowlist ที่ middleware, ปิด client ทันที</t>
  </si>
  <si>
    <t xml:space="preserve">ORG-16-FE</t>
  </si>
  <si>
    <t xml:space="preserve">[Next.js] หน้าจัดการ API client แสดง secret ครั้งเดียว</t>
  </si>
  <si>
    <t xml:space="preserve">ORG-16-QA</t>
  </si>
  <si>
    <t xml:space="preserve">test case + automated test: client เรียกได้เฉพาะ scope ที่ได้รับ และจาก IP ที่อนุญาตเท่านั้น</t>
  </si>
  <si>
    <t xml:space="preserve">ORG-16-BE, ORG-16-FE</t>
  </si>
  <si>
    <t xml:space="preserve">ORG-19-SA</t>
  </si>
  <si>
    <t xml:space="preserve">วิเคราะห์ business rules, ERD และ OpenAPI spec: Audit log</t>
  </si>
  <si>
    <t xml:space="preserve">ORG-19-UX</t>
  </si>
  <si>
    <t xml:space="preserve">ออกแบบหน้าจอและ prototype: Audit log</t>
  </si>
  <si>
    <t xml:space="preserve">ORG-19-BE</t>
  </si>
  <si>
    <t xml:space="preserve">[Go] API ค้นหา / กรอง / ส่งออก audit log และตรวจ hash chain</t>
  </si>
  <si>
    <t xml:space="preserve">ORG-19-FE</t>
  </si>
  <si>
    <t xml:space="preserve">[Next.js] หน้าดู log ตามผู้ใช้ / โมดูล / ช่วงเวลา พร้อมรายละเอียด before/after</t>
  </si>
  <si>
    <t xml:space="preserve">ORG-19-QA</t>
  </si>
  <si>
    <t xml:space="preserve">test case + automated test: ตรวจได้ว่าใครเปลี่ยนสิทธิ์ของใคร เมื่อไร และส่งออกได้</t>
  </si>
  <si>
    <t xml:space="preserve">ORG-19-BE, ORG-19-FE</t>
  </si>
  <si>
    <t xml:space="preserve">IAM-04-SA</t>
  </si>
  <si>
    <t xml:space="preserve">วิเคราะห์ business rules, ERD และ OpenAPI spec: สิทธิ์ผู้ใช้ภายนอก (guest)</t>
  </si>
  <si>
    <t xml:space="preserve">IAM-04-BE</t>
  </si>
  <si>
    <t xml:space="preserve">[Go] token แบบ magic link ผูกงานเดียว (แบบประเมิน / เอกสาร / แจ้งเหตุ / งานย่อย) มีวันหมดอายุ, OTP ยืนยันอีเมล, สิทธิ์เฉพาะงานนั้น, เพิกถอนได้</t>
  </si>
  <si>
    <t xml:space="preserve">IAM-04-FE</t>
  </si>
  <si>
    <t xml:space="preserve">[Next.js] หน้า guest ใน portal สำหรับคู่ค้า ผู้ประมวลผล และผู้ร่วมประเมิน</t>
  </si>
  <si>
    <t xml:space="preserve">IAM-04-QA</t>
  </si>
  <si>
    <t xml:space="preserve">test case + automated test: ลิงก์ใช้ได้เฉพาะงานที่เชิญ หมดอายุตามที่ตั้ง และเพิกถอนแล้วใช้ไม่ได้ทันที</t>
  </si>
  <si>
    <t xml:space="preserve">IAM-04-BE, IAM-04-FE</t>
  </si>
  <si>
    <t xml:space="preserve">IAM-05-SA</t>
  </si>
  <si>
    <t xml:space="preserve">วิเคราะห์ business rules, ERD และ OpenAPI spec: บริการยืนยันตัวตนเจ้าของข้อมูล</t>
  </si>
  <si>
    <t xml:space="preserve">IAM-05-BE</t>
  </si>
  <si>
    <t xml:space="preserve">[Go] OTP ทาง SMS / อีเมล, magic link, ตรวจกับข้อมูลที่มีในระบบ (match score), ระดับความมั่นใจต่อ use case, รองรับ IdP ภายนอก / ThaID ภายหลัง, rate limit กัน brute force</t>
  </si>
  <si>
    <t xml:space="preserve">IAM-05-FE</t>
  </si>
  <si>
    <t xml:space="preserve">[Next.js] ขั้นตอนยืนยันตัวตนใน portal ใช้ร่วม preference center, คำขอใช้สิทธิ และ double opt-in</t>
  </si>
  <si>
    <t xml:space="preserve">IAM-05-QA</t>
  </si>
  <si>
    <t xml:space="preserve">test case + automated test: OTP หมดอายุใน 5 นาที จำกัดจำนวนครั้ง และบันทึกผลการยืนยันทุกครั้ง</t>
  </si>
  <si>
    <t xml:space="preserve">IAM-05-BE, IAM-05-FE</t>
  </si>
  <si>
    <t xml:space="preserve">ORG-12-SA</t>
  </si>
  <si>
    <t xml:space="preserve">วิเคราะห์ business rules, ERD และ OpenAPI spec: กลุ่มผู้ใช้และทีม</t>
  </si>
  <si>
    <t xml:space="preserve">ORG-12-BE</t>
  </si>
  <si>
    <t xml:space="preserve">[Go] กลุ่มผู้ใช้สำหรับมอบหมายงานและให้สิทธิ์ทั้งกลุ่ม, ใช้เป็นผู้รับงานใน workflow</t>
  </si>
  <si>
    <t xml:space="preserve">ORG-12-FE</t>
  </si>
  <si>
    <t xml:space="preserve">[Next.js] หน้าจัดการกลุ่มและสมาชิก</t>
  </si>
  <si>
    <t xml:space="preserve">ORG-12-QA</t>
  </si>
  <si>
    <t xml:space="preserve">test case + automated test: มอบหมายงานให้กลุ่มแล้วสมาชิกทุกคนเห็นงาน</t>
  </si>
  <si>
    <t xml:space="preserve">ORG-12-BE, ORG-12-FE</t>
  </si>
  <si>
    <t xml:space="preserve">ORG-13-SA</t>
  </si>
  <si>
    <t xml:space="preserve">วิเคราะห์ business rules, ERD และ OpenAPI spec: โปรไฟล์และการตั้งค่าส่วนตัว</t>
  </si>
  <si>
    <t xml:space="preserve">ORG-13-BE</t>
  </si>
  <si>
    <t xml:space="preserve">[Go] API โปรไฟล์: ข้อมูลส่วนตัว รูป ภาษา ช่องทางรับแจ้งเตือน; ลิงก์ไปตั้งค่า MFA ใน Keycloak account</t>
  </si>
  <si>
    <t xml:space="preserve">ORG-13-FE</t>
  </si>
  <si>
    <t xml:space="preserve">[Next.js] หน้าโปรไฟล์และการตั้งค่าการแจ้งเตือน</t>
  </si>
  <si>
    <t xml:space="preserve">ORG-13-QA</t>
  </si>
  <si>
    <t xml:space="preserve">test case + automated test: ผู้ใช้แก้ข้อมูลของตนได้โดยไม่ต้องขอผู้ดูแล</t>
  </si>
  <si>
    <t xml:space="preserve">ORG-13-BE, ORG-13-FE</t>
  </si>
  <si>
    <t xml:space="preserve">ORG-15-SA</t>
  </si>
  <si>
    <t xml:space="preserve">วิเคราะห์ business rules, ERD และ OpenAPI spec: Single Sign-On และ ThaID</t>
  </si>
  <si>
    <t xml:space="preserve">ORG-15-BE</t>
  </si>
  <si>
    <t xml:space="preserve">[Go] identity brokering ใน Keycloak: OIDC/SAML (Entra ID, Google Workspace, ADFS), LDAP/AD federation, map group → role/scope, JIT provisioning; ThaID ผ่าน OIDC หลังขึ้นทะเบียน</t>
  </si>
  <si>
    <t xml:space="preserve">ORG-15-FE</t>
  </si>
  <si>
    <t xml:space="preserve">[Next.js] หน้าตั้งค่า IdP ต่อ tenant + ปุ่ม login ด้วย SSO / ThaID</t>
  </si>
  <si>
    <t xml:space="preserve">ORG-15-QA</t>
  </si>
  <si>
    <t xml:space="preserve">test case + automated test: ผู้ใช้ Entra ID เข้าระบบได้และได้ role ตาม group; login ด้วย ThaID ผูกกับบัญชีเดิมได้</t>
  </si>
  <si>
    <t xml:space="preserve">ORG-15-BE, ORG-15-FE</t>
  </si>
  <si>
    <t xml:space="preserve">ORG-17-SA</t>
  </si>
  <si>
    <t xml:space="preserve">วิเคราะห์ business rules, ERD และ OpenAPI spec: ปกปิดข้อมูลส่วนบุคคลบนหน้าจอ</t>
  </si>
  <si>
    <t xml:space="preserve">ORG-17-BE</t>
  </si>
  <si>
    <t xml:space="preserve">[Go] masking policy ต่อฟิลด์ (เลขบัตร / เบอร์ / อีเมล) ใน response serializer, สิทธิ์ pii.unmask, endpoint unmask ต้องระบุเหตุผลและบันทึก audit</t>
  </si>
  <si>
    <t xml:space="preserve">ORG-17-FE</t>
  </si>
  <si>
    <t xml:space="preserve">[Next.js] component แสดงค่าปกปิด + ปุ่ม 'แสดง' พร้อมกล่องเหตุผล</t>
  </si>
  <si>
    <t xml:space="preserve">ORG-17-QA</t>
  </si>
  <si>
    <t xml:space="preserve">test case + automated test: ผู้ไม่มีสิทธิ์ไม่ได้รับค่าจริงจาก API และการ unmask ทุกครั้งมี log</t>
  </si>
  <si>
    <t xml:space="preserve">ORG-17-BE, ORG-17-FE</t>
  </si>
  <si>
    <t xml:space="preserve">IAM-06-SA</t>
  </si>
  <si>
    <t xml:space="preserve">วิเคราะห์ business rules, ERD และ OpenAPI spec: Maker-checker สำหรับงานผู้ดูแลระบบ</t>
  </si>
  <si>
    <t xml:space="preserve">IAM-06-BE</t>
  </si>
  <si>
    <t xml:space="preserve">[Go] กำหนด action ที่ต้องอนุมัติ: เปลี่ยน role ระดับ admin, export ข้อมูลจำนวนมาก, ลบความยินยอม, ปิด MFA ของผู้อื่น</t>
  </si>
  <si>
    <t xml:space="preserve">IAM-06-FE</t>
  </si>
  <si>
    <t xml:space="preserve">[Next.js] กล่องคำขอรออนุมัติ + ประวัติ</t>
  </si>
  <si>
    <t xml:space="preserve">IAM-06-QA</t>
  </si>
  <si>
    <t xml:space="preserve">test case + automated test: ผู้ขอกับผู้อนุมัติต้องต่างคน และ action ไม่มีผลจนกว่าจะอนุมัติ</t>
  </si>
  <si>
    <t xml:space="preserve">IAM-06-BE, IAM-06-FE</t>
  </si>
  <si>
    <t xml:space="preserve">IAM-07-SA</t>
  </si>
  <si>
    <t xml:space="preserve">วิเคราะห์ business rules, ERD และ OpenAPI spec: Break-glass และสิทธิ์ระดับสูง</t>
  </si>
  <si>
    <t xml:space="preserve">IAM-07-BE</t>
  </si>
  <si>
    <t xml:space="preserve">[Go] บัญชีฉุกเฉินต้องระบุเหตุผล มีเวลาจำกัด แจ้ง DPO / Security ทันที; Super Admin ของแพลตฟอร์มไม่เห็นข้อมูล tenant ถ้าไม่ใช้ break-glass</t>
  </si>
  <si>
    <t xml:space="preserve">IAM-07-FE</t>
  </si>
  <si>
    <t xml:space="preserve">[Next.js] หน้าขอใช้สิทธิ์ฉุกเฉินและประวัติการใช้</t>
  </si>
  <si>
    <t xml:space="preserve">IAM-07-QA</t>
  </si>
  <si>
    <t xml:space="preserve">test case + automated test: ใช้ break-glass แล้ว DPO และ Security ได้รับแจ้งทันที และสิทธิ์หมดเมื่อครบเวลา</t>
  </si>
  <si>
    <t xml:space="preserve">IAM-07-BE, IAM-07-FE</t>
  </si>
  <si>
    <t xml:space="preserve">IAM-08-SA</t>
  </si>
  <si>
    <t xml:space="preserve">วิเคราะห์ business rules, ERD และ OpenAPI spec: จัดการ session และแจ้งเตือนความปลอดภัย</t>
  </si>
  <si>
    <t xml:space="preserve">IAM-08-BE</t>
  </si>
  <si>
    <t xml:space="preserve">[Go] ดู / บังคับ logout session (Keycloak Admin API), แจ้งเตือน login จากอุปกรณ์หรือประเทศใหม่, จำกัด session พร้อมกัน</t>
  </si>
  <si>
    <t xml:space="preserve">IAM-08-FE</t>
  </si>
  <si>
    <t xml:space="preserve">[Next.js] หน้ารายการ session ของตนเองและของผู้ใช้ (สำหรับผู้ดูแล)</t>
  </si>
  <si>
    <t xml:space="preserve">IAM-08-QA</t>
  </si>
  <si>
    <t xml:space="preserve">test case + automated test: ผู้ดูแลบังคับ logout ผู้ใช้ได้ทันที</t>
  </si>
  <si>
    <t xml:space="preserve">IAM-08-BE, IAM-08-FE</t>
  </si>
  <si>
    <t xml:space="preserve">IAM-09-SA</t>
  </si>
  <si>
    <t xml:space="preserve">วิเคราะห์ business rules, ERD และ OpenAPI spec: SCIM 2.0 provisioning</t>
  </si>
  <si>
    <t xml:space="preserve">IAM-09-BE</t>
  </si>
  <si>
    <t xml:space="preserve">[Go] endpoint SCIM 2.0 (Users / Groups) รับจาก Entra ID / Okta: สร้าง / แก้ / ปิดผู้ใช้และกลุ่ม → sync ไป Keycloak + role mapping</t>
  </si>
  <si>
    <t xml:space="preserve">IAM-09-QA</t>
  </si>
  <si>
    <t xml:space="preserve">test case + automated test: ปิดบัญชีใน directory แล้วบัญชีในระบบถูกปิดอัตโนมัติ</t>
  </si>
  <si>
    <t xml:space="preserve">ORG-18-SA</t>
  </si>
  <si>
    <t xml:space="preserve">วิเคราะห์ business rules, ERD และ OpenAPI spec: ทบทวนสิทธิ์ตามรอบ</t>
  </si>
  <si>
    <t xml:space="preserve">ORG-18-UX</t>
  </si>
  <si>
    <t xml:space="preserve">ออกแบบหน้าจอและ prototype: ทบทวนสิทธิ์ตามรอบ</t>
  </si>
  <si>
    <t xml:space="preserve">ORG-18-BE</t>
  </si>
  <si>
    <t xml:space="preserve">[Go] สร้างรอบทบทวนสิทธิ์ ส่งให้หัวหน้ายืนยัน/ถอน, สรุปผล, ถอนสิทธิ์อัตโนมัติเมื่อไม่ยืนยันในเวลา</t>
  </si>
  <si>
    <t xml:space="preserve">ORG-18-FE</t>
  </si>
  <si>
    <t xml:space="preserve">[Next.js] หน้ารอบทบทวน + ปุ่มยืนยัน/ถอนสิทธิ์ราย user</t>
  </si>
  <si>
    <t xml:space="preserve">ORG-18-QA</t>
  </si>
  <si>
    <t xml:space="preserve">test case + automated test: สิทธิ์ที่ไม่ได้รับการยืนยันถูกถอนตามนโยบาย และมีรายงานสรุปรอบ</t>
  </si>
  <si>
    <t xml:space="preserve">ORG-18-BE, ORG-18-FE</t>
  </si>
  <si>
    <t xml:space="preserve">IAM-10-SA</t>
  </si>
  <si>
    <t xml:space="preserve">วิเคราะห์ business rules, ERD และ OpenAPI spec: สิทธิ์ชั่วคราวและมอบอำนาจ</t>
  </si>
  <si>
    <t xml:space="preserve">IAM-10-BE</t>
  </si>
  <si>
    <t xml:space="preserve">[Go] ให้ role แบบมีวันหมดอายุ, มอบงานแทนช่วงลา</t>
  </si>
  <si>
    <t xml:space="preserve">IAM-10-FE</t>
  </si>
  <si>
    <t xml:space="preserve">[Next.js] กำหนดวันเริ่ม / สิ้นสุดสิทธิ์ และผู้รับมอบ</t>
  </si>
  <si>
    <t xml:space="preserve">IAM-10-QA</t>
  </si>
  <si>
    <t xml:space="preserve">test case + automated test: สิทธิ์หมดอายุอัตโนมัติตามเวลาที่ตั้ง</t>
  </si>
  <si>
    <t xml:space="preserve">IAM-10-BE, IAM-10-FE</t>
  </si>
  <si>
    <t xml:space="preserve">ORG-01-SA</t>
  </si>
  <si>
    <t xml:space="preserve">วิเคราะห์ business rules, ERD และ OpenAPI spec: ข้อมูลหน่วยงาน / นิติบุคคล</t>
  </si>
  <si>
    <t xml:space="preserve">ORG-01-UX</t>
  </si>
  <si>
    <t xml:space="preserve">ออกแบบหน้าจอและ prototype: ข้อมูลหน่วยงาน / นิติบุคคล</t>
  </si>
  <si>
    <t xml:space="preserve">ORG-01-BE</t>
  </si>
  <si>
    <t xml:space="preserve">[Go] นิติบุคคล: ชื่อ TH/EN, เลขทะเบียน 13 หลัก (ตรวจ checksum), ที่อยู่, ช่องทางติดต่อ, โลโก้; เป็น merge field ของเอกสาร</t>
  </si>
  <si>
    <t xml:space="preserve">ORG-01-FE</t>
  </si>
  <si>
    <t xml:space="preserve">[Next.js] ฟอร์มข้อมูลองค์กร + อัปโหลดโลโก้</t>
  </si>
  <si>
    <t xml:space="preserve">ORG-01-QA</t>
  </si>
  <si>
    <t xml:space="preserve">test case + automated test: ข้อมูลองค์กรแสดงถูกต้องในประกาศและเอกสารที่สร้าง</t>
  </si>
  <si>
    <t xml:space="preserve">ORG-01-BE, ORG-01-FE</t>
  </si>
  <si>
    <t xml:space="preserve">ORG-02-SA</t>
  </si>
  <si>
    <t xml:space="preserve">วิเคราะห์ business rules, ERD และ OpenAPI spec: หลายนิติบุคคลและบริษัทในเครือ</t>
  </si>
  <si>
    <t xml:space="preserve">ORG-02-BE</t>
  </si>
  <si>
    <t xml:space="preserve">[Go] หลายบริษัทใน tenant เดียว, scope ต่อบริษัท, DPO ร่วมของกลุ่ม</t>
  </si>
  <si>
    <t xml:space="preserve">ORG-02-FE</t>
  </si>
  <si>
    <t xml:space="preserve">[Next.js] สลับบริษัทที่กำลังทำงาน + ตัวกรองบริษัท</t>
  </si>
  <si>
    <t xml:space="preserve">ORG-02-QA</t>
  </si>
  <si>
    <t xml:space="preserve">test case + automated test: ผู้ใช้ของบริษัท A ไม่เห็นข้อมูลบริษัท B ถ้าไม่ได้รับ scope</t>
  </si>
  <si>
    <t xml:space="preserve">ORG-02-BE, ORG-02-FE</t>
  </si>
  <si>
    <t xml:space="preserve">ORG-04-SA</t>
  </si>
  <si>
    <t xml:space="preserve">วิเคราะห์ business rules, ERD และ OpenAPI spec: โครงสร้างหน่วยงานแบบลำดับชั้น</t>
  </si>
  <si>
    <t xml:space="preserve">ORG-04-UX</t>
  </si>
  <si>
    <t xml:space="preserve">ออกแบบหน้าจอและ prototype: โครงสร้างหน่วยงานแบบลำดับชั้น</t>
  </si>
  <si>
    <t xml:space="preserve">ORG-04-BE</t>
  </si>
  <si>
    <t xml:space="preserve">[Go] org tree (ltree), ย้ายหน่วยงาน, ปิดหน่วยงานโดยเก็บประวัติ, event เมื่อโครงสร้างเปลี่ยน</t>
  </si>
  <si>
    <t xml:space="preserve">ORG-04-FE</t>
  </si>
  <si>
    <t xml:space="preserve">[Next.js] tree view ลากวาง + ค้นหา</t>
  </si>
  <si>
    <t xml:space="preserve">ORG-04-QA</t>
  </si>
  <si>
    <t xml:space="preserve">test case + automated test: ย้ายแผนกแล้ว scope ของผู้ใช้และข้อมูลปรับตามทันที</t>
  </si>
  <si>
    <t xml:space="preserve">ORG-04-BE, ORG-04-FE</t>
  </si>
  <si>
    <t xml:space="preserve">ORG-07-SA</t>
  </si>
  <si>
    <t xml:space="preserve">วิเคราะห์ business rules, ERD และ OpenAPI spec: ข้อมูลตั้งต้นกลาง (Master data)</t>
  </si>
  <si>
    <t xml:space="preserve">ORG-07-BE</t>
  </si>
  <si>
    <t xml:space="preserve">[Go] ประเภทข้อมูล, ข้อมูลอ่อนไหว ม.26, กลุ่มเจ้าของข้อมูล, วัตถุประสงค์, ฐานกฎหมาย ม.24/26, ระยะเวลาเก็บ, ประเทศ (สถานะมาตรฐานเพียงพอ); ชุดค่าเริ่มต้นภาษาไทย</t>
  </si>
  <si>
    <t xml:space="preserve">ORG-07-FE</t>
  </si>
  <si>
    <t xml:space="preserve">[Next.js] หน้าจัดการ master data แยกหมวด</t>
  </si>
  <si>
    <t xml:space="preserve">ORG-07-QA</t>
  </si>
  <si>
    <t xml:space="preserve">test case + automated test: แก้ที่เดียวมีผลทุกโมดูล และ tenant ใหม่ได้ชุดค่าเริ่มต้นครบ</t>
  </si>
  <si>
    <t xml:space="preserve">ORG-07-BE, ORG-07-FE</t>
  </si>
  <si>
    <t xml:space="preserve">ORG-20-SA</t>
  </si>
  <si>
    <t xml:space="preserve">วิเคราะห์ business rules, ERD และ OpenAPI spec: ตั้งค่าองค์กร</t>
  </si>
  <si>
    <t xml:space="preserve">ORG-20-UX</t>
  </si>
  <si>
    <t xml:space="preserve">ออกแบบหน้าจอและ prototype: ตั้งค่าองค์กร</t>
  </si>
  <si>
    <t xml:space="preserve">ORG-20-BE</t>
  </si>
  <si>
    <t xml:space="preserve">[Go] ตั้งค่าภาษา โลโก้ ธีม template แจ้งเตือน และปฏิทินวันทำการ / วันหยุดราชการไทยต่อปี (ใช้โดย SLA engine)</t>
  </si>
  <si>
    <t xml:space="preserve">ORG-20-FE</t>
  </si>
  <si>
    <t xml:space="preserve">[Next.js] หน้าตั้งค่าองค์กร + ปฏิทินวันหยุด</t>
  </si>
  <si>
    <t xml:space="preserve">ORG-20-QA</t>
  </si>
  <si>
    <t xml:space="preserve">test case + automated test: SLA ของทุกโมดูลนับตามปฏิทินของ tenant</t>
  </si>
  <si>
    <t xml:space="preserve">ORG-20-BE, ORG-20-FE</t>
  </si>
  <si>
    <t xml:space="preserve">ORG-06-SA</t>
  </si>
  <si>
    <t xml:space="preserve">วิเคราะห์ business rules, ERD และ OpenAPI spec: ทะเบียนหน่วยงานภายนอก</t>
  </si>
  <si>
    <t xml:space="preserve">ORG-06-UX</t>
  </si>
  <si>
    <t xml:space="preserve">ออกแบบหน้าจอและ prototype: ทะเบียนหน่วยงานภายนอก</t>
  </si>
  <si>
    <t xml:space="preserve">ORG-06-BE</t>
  </si>
  <si>
    <t xml:space="preserve">[Go] directory หน่วยงานภายนอก: ประเภท (ผู้ประมวลผล / ผู้รับข้อมูล / หน่วยงานรัฐ), ประเทศ, ผู้ติดต่อ, ตรวจรายการซ้ำ; ใช้ร่วม RoPA, DSA, DPA, Vendor</t>
  </si>
  <si>
    <t xml:space="preserve">ORG-06-FE</t>
  </si>
  <si>
    <t xml:space="preserve">[Next.js] หน้ารายการ + ฟอร์ม + รวมรายการซ้ำ</t>
  </si>
  <si>
    <t xml:space="preserve">ORG-06-QA</t>
  </si>
  <si>
    <t xml:space="preserve">test case + automated test: หน่วยงานภายนอกหนึ่งรายมี record เดียวที่ทุกโมดูลอ้างถึง</t>
  </si>
  <si>
    <t xml:space="preserve">ORG-06-BE, ORG-06-FE</t>
  </si>
  <si>
    <t xml:space="preserve">ORG-05-SA</t>
  </si>
  <si>
    <t xml:space="preserve">วิเคราะห์ business rules, ERD และ OpenAPI spec: ผู้ประสานงาน PDPA ประจำหน่วยงาน</t>
  </si>
  <si>
    <t xml:space="preserve">ORG-05-BE</t>
  </si>
  <si>
    <t xml:space="preserve">[Go] ผู้ประสานงานต่อแผนก ใช้เป็นผู้รับงานเริ่มต้นของ RoPA / คำขอ / การแจ้งเตือน</t>
  </si>
  <si>
    <t xml:space="preserve">ORG-05-FE</t>
  </si>
  <si>
    <t xml:space="preserve">[Next.js] กำหนดผู้ประสานงานในหน้าหน่วยงาน</t>
  </si>
  <si>
    <t xml:space="preserve">ORG-05-QA</t>
  </si>
  <si>
    <t xml:space="preserve">test case + automated test: งานของแผนกถูกส่งถึงผู้ประสานงานอัตโนมัติ</t>
  </si>
  <si>
    <t xml:space="preserve">ORG-05-BE, ORG-05-FE</t>
  </si>
  <si>
    <t xml:space="preserve">ORG-08-SA</t>
  </si>
  <si>
    <t xml:space="preserve">วิเคราะห์ business rules, ERD และ OpenAPI spec: นำเข้าและส่งออกข้อมูลตั้งต้น</t>
  </si>
  <si>
    <t xml:space="preserve">ORG-08-BE</t>
  </si>
  <si>
    <t xml:space="preserve">[Go] template นำเข้า / ส่งออก master data (ใช้ PLT-14)</t>
  </si>
  <si>
    <t xml:space="preserve">ORG-08-FE</t>
  </si>
  <si>
    <t xml:space="preserve">[Next.js] ปุ่มนำเข้า / ส่งออกในหน้า master data</t>
  </si>
  <si>
    <t xml:space="preserve">ORG-08-QA</t>
  </si>
  <si>
    <t xml:space="preserve">test case + automated test: นำเข้าแล้วรายการซ้ำถูกตรวจพบก่อนบันทึก</t>
  </si>
  <si>
    <t xml:space="preserve">ORG-08-BE, ORG-08-FE</t>
  </si>
  <si>
    <t xml:space="preserve">ORG-21-SA</t>
  </si>
  <si>
    <t xml:space="preserve">วิเคราะห์ business rules, ERD และ OpenAPI spec: เลือกที่เก็บข้อมูลและรูปแบบติดตั้ง</t>
  </si>
  <si>
    <t xml:space="preserve">ORG-21-BE</t>
  </si>
  <si>
    <t xml:space="preserve">[Go] โหมดติดตั้ง on-prem: license key แบบ offline, ตั้งค่า region / data residency, ตรวจความพร้อมของ environment</t>
  </si>
  <si>
    <t xml:space="preserve">ORG-21-FE</t>
  </si>
  <si>
    <t xml:space="preserve">[Next.js] หน้าแสดงสถานะการติดตั้งและ license</t>
  </si>
  <si>
    <t xml:space="preserve">ORG-21-QA</t>
  </si>
  <si>
    <t xml:space="preserve">test case + automated test: ติดตั้ง on-prem ด้วย Helm ได้ตามคู่มือ และข้อมูลทั้งหมดอยู่ใน environment ของลูกค้า</t>
  </si>
  <si>
    <t xml:space="preserve">ORG-21-BE, ORG-21-FE</t>
  </si>
  <si>
    <t xml:space="preserve">ORG-03-SA</t>
  </si>
  <si>
    <t xml:space="preserve">วิเคราะห์ business rules, ERD และ OpenAPI spec: ผู้แทนในประเทศไทย</t>
  </si>
  <si>
    <t xml:space="preserve">ORG-03-BE</t>
  </si>
  <si>
    <t xml:space="preserve">[Go] ฟิลด์ผู้แทนในประเทศไทย + merge field ในประกาศ</t>
  </si>
  <si>
    <t xml:space="preserve">ORG-03-FE</t>
  </si>
  <si>
    <t xml:space="preserve">[Next.js] ส่วนผู้แทนในหน้าข้อมูลองค์กร</t>
  </si>
  <si>
    <t xml:space="preserve">ORG-03-QA</t>
  </si>
  <si>
    <t xml:space="preserve">test case + automated test: ประกาศแสดงข้อมูลผู้แทนเมื่อกำหนดไว้</t>
  </si>
  <si>
    <t xml:space="preserve">ORG-03-BE, ORG-03-FE</t>
  </si>
  <si>
    <t xml:space="preserve">CON-01-SA</t>
  </si>
  <si>
    <t xml:space="preserve">วิเคราะห์ business rules, ERD และ OpenAPI spec: แบนเนอร์คุกกี้บนเว็บไซต์</t>
  </si>
  <si>
    <t xml:space="preserve">CON-01-UX</t>
  </si>
  <si>
    <t xml:space="preserve">ออกแบบหน้าจอและ prototype: แบนเนอร์คุกกี้บนเว็บไซต์</t>
  </si>
  <si>
    <t xml:space="preserve">CON-01-BE</t>
  </si>
  <si>
    <t xml:space="preserve">[Go] config แบนเนอร์ต่อโดเมน publish เป็น JSON บน CDN, รับ consent event แบบ anonymous (cookie ID) + เก็บหลักฐาน, จัดการโดเมนและยืนยันความเป็นเจ้าของ</t>
  </si>
  <si>
    <t xml:space="preserve">CON-01-FE</t>
  </si>
  <si>
    <t xml:space="preserve">[Next.js] cookie SDK (vanilla TypeScript ≤ 30 KB gzip): banner / modal ปุ่มยอมรับ-ปฏิเสธ-ตั้งค่า น้ำหนักเท่ากัน, first-party cookie, TH/EN; หน้า admin ตั้งค่าแบนเนอร์ + โค้ดติดตั้ง</t>
  </si>
  <si>
    <t xml:space="preserve">CON-01-QA</t>
  </si>
  <si>
    <t xml:space="preserve">test case + automated test: ไม่มีช่องติ๊กล่วงหน้า; ปฏิเสธทั้งหมดได้ในคลิกเดียว; ขนาด SDK ไม่เกิน 30 KB gzip</t>
  </si>
  <si>
    <t xml:space="preserve">CON-01-BE, CON-01-FE</t>
  </si>
  <si>
    <t xml:space="preserve">CON-02-SA</t>
  </si>
  <si>
    <t xml:space="preserve">วิเคราะห์ business rules, ERD และ OpenAPI spec: ตั้งค่าคุกกี้รายหมวด</t>
  </si>
  <si>
    <t xml:space="preserve">CON-02-UX</t>
  </si>
  <si>
    <t xml:space="preserve">ออกแบบหน้าจอและ prototype: ตั้งค่าคุกกี้รายหมวด</t>
  </si>
  <si>
    <t xml:space="preserve">CON-02-BE</t>
  </si>
  <si>
    <t xml:space="preserve">[Go] หมวดคุกกี้ (ค่าเริ่มต้น 4 หมวด) + รายการคุกกี้ต่อหมวด, บันทึกทางเลือกรายหมวด</t>
  </si>
  <si>
    <t xml:space="preserve">CON-02-FE</t>
  </si>
  <si>
    <t xml:space="preserve">[Next.js] preference modal ใน SDK + หน้า admin จัดหมวด</t>
  </si>
  <si>
    <t xml:space="preserve">CON-02-QA</t>
  </si>
  <si>
    <t xml:space="preserve">test case + automated test: เปิด/ปิดรายหมวดแล้วมีผลทันทีกับสคริปต์ในหมวดนั้น</t>
  </si>
  <si>
    <t xml:space="preserve">CON-02-BE, CON-02-FE</t>
  </si>
  <si>
    <t xml:space="preserve">CON-03-SA</t>
  </si>
  <si>
    <t xml:space="preserve">วิเคราะห์ business rules, ERD และ OpenAPI spec: บล็อกสคริปต์ก่อนได้รับความยินยอม</t>
  </si>
  <si>
    <t xml:space="preserve">CON-03-BE</t>
  </si>
  <si>
    <t xml:space="preserve">[Go] กฎ blocking ต่อ script / โดเมน</t>
  </si>
  <si>
    <t xml:space="preserve">CON-03-FE</t>
  </si>
  <si>
    <t xml:space="preserve">[Next.js] auto-blocking ใน SDK (MutationObserver + rewrite type=text/plain), Google Consent Mode v2, GTM template, event สำหรับ tag manager</t>
  </si>
  <si>
    <t xml:space="preserve">CON-03-QA</t>
  </si>
  <si>
    <t xml:space="preserve">test case + automated test: ก่อนยินยอมไม่มีคุกกี้ Analytics / Marketing ถูกตั้ง (Playwright test บนเว็บตัวอย่าง)</t>
  </si>
  <si>
    <t xml:space="preserve">CON-03-BE, CON-03-FE</t>
  </si>
  <si>
    <t xml:space="preserve">CON-04-SA</t>
  </si>
  <si>
    <t xml:space="preserve">วิเคราะห์ business rules, ERD และ OpenAPI spec: สแกนและจัดหมวดคุกกี้อัตโนมัติ</t>
  </si>
  <si>
    <t xml:space="preserve">CON-04-UX</t>
  </si>
  <si>
    <t xml:space="preserve">ออกแบบหน้าจอและ prototype: สแกนและจัดหมวดคุกกี้อัตโนมัติ</t>
  </si>
  <si>
    <t xml:space="preserve">CON-04-BE</t>
  </si>
  <si>
    <t xml:space="preserve">[Go] scanner worker (Go + chromedp): crawl sitemap / ลิงก์, เก็บคุกกี้ localStorage และ request ไปโดเมนภายนอก, จัดหมวดจากฐานข้อมูลคุกกี้ + กฎของ tenant, สแกนตามรอบ, แจ้งคุกกี้ใหม่</t>
  </si>
  <si>
    <t xml:space="preserve">CON-04-FE</t>
  </si>
  <si>
    <t xml:space="preserve">[Next.js] หน้าเริ่มสแกน / ผลสแกน, จัดหมวดคุกกี้ที่ไม่รู้จัก, เทียบกับรอบก่อน</t>
  </si>
  <si>
    <t xml:space="preserve">CON-04-QA</t>
  </si>
  <si>
    <t xml:space="preserve">test case + automated test: สแกนเว็บ 200 หน้าเสร็จภายใน 30 นาที และคุกกี้ใหม่ถูกแจ้งเตือน</t>
  </si>
  <si>
    <t xml:space="preserve">CON-04-BE, CON-04-FE</t>
  </si>
  <si>
    <t xml:space="preserve">CON-06-SA</t>
  </si>
  <si>
    <t xml:space="preserve">วิเคราะห์ business rules, ERD และ OpenAPI spec: ปรับแต่งดีไซน์และหลายภาษา</t>
  </si>
  <si>
    <t xml:space="preserve">CON-06-UX</t>
  </si>
  <si>
    <t xml:space="preserve">ออกแบบหน้าจอและ prototype: ปรับแต่งดีไซน์และหลายภาษา</t>
  </si>
  <si>
    <t xml:space="preserve">CON-06-BE</t>
  </si>
  <si>
    <t xml:space="preserve">[Go] theme (สี โลโก้ ตำแหน่ง layout), custom CSS แบบจำกัด, ข้อความ TH/EN + ภาษาอื่น, ตรวจภาษา browser</t>
  </si>
  <si>
    <t xml:space="preserve">CON-06-FE</t>
  </si>
  <si>
    <t xml:space="preserve">[Next.js] editor ปรับดีไซน์ + preview หลายขนาดจอ</t>
  </si>
  <si>
    <t xml:space="preserve">CON-06-QA</t>
  </si>
  <si>
    <t xml:space="preserve">test case + automated test: เปลี่ยนดีไซน์แล้วเห็นผลใน preview และบนเว็บหลัง publish</t>
  </si>
  <si>
    <t xml:space="preserve">CON-06-BE, CON-06-FE</t>
  </si>
  <si>
    <t xml:space="preserve">CON-09-SA</t>
  </si>
  <si>
    <t xml:space="preserve">วิเคราะห์ business rules, ERD และ OpenAPI spec: แบบฟอร์มขอความยินยอม (Collection Point)</t>
  </si>
  <si>
    <t xml:space="preserve">CON-09-UX</t>
  </si>
  <si>
    <t xml:space="preserve">ออกแบบหน้าจอและ prototype: แบบฟอร์มขอความยินยอม (Collection Point)</t>
  </si>
  <si>
    <t xml:space="preserve">CON-09-BE</t>
  </si>
  <si>
    <t xml:space="preserve">[Go] Purpose, Data Element, Purpose Preference, Collection Point ตาม FSD V3.2; ฟอร์มผูกหลาย Purpose, checklist ม.19 (แยกข้อความ / ไม่ผูกเงื่อนไขเกินจำเป็น) ก่อน publish</t>
  </si>
  <si>
    <t xml:space="preserve">CON-09-FE</t>
  </si>
  <si>
    <t xml:space="preserve">[Next.js] form builder (PLT-06) + ลิงก์ / embed / QR / API endpoint</t>
  </si>
  <si>
    <t xml:space="preserve">CON-09-QA</t>
  </si>
  <si>
    <t xml:space="preserve">test case + automated test: ฟอร์มที่ publish แล้วรับความยินยอมแยกรายวัตถุประสงค์และออก receipt ทุกครั้ง</t>
  </si>
  <si>
    <t xml:space="preserve">CON-09-BE, CON-09-FE</t>
  </si>
  <si>
    <t xml:space="preserve">CON-10-SA</t>
  </si>
  <si>
    <t xml:space="preserve">วิเคราะห์ business rules, ERD และ OpenAPI spec: ความยินยอมโดยชัดแจ้งสำหรับข้อมูลอ่อนไหว</t>
  </si>
  <si>
    <t xml:space="preserve">CON-10-BE</t>
  </si>
  <si>
    <t xml:space="preserve">[Go] Purpose ที่ใช้ข้อมูล ม.26 ต้องมีช่องยินยอมแยกและข้อความเฉพาะ ตรวจตอน publish</t>
  </si>
  <si>
    <t xml:space="preserve">CON-10-FE</t>
  </si>
  <si>
    <t xml:space="preserve">[Next.js] ส่วนตั้งค่าข้อมูลอ่อนไหวใน Purpose</t>
  </si>
  <si>
    <t xml:space="preserve">CON-10-QA</t>
  </si>
  <si>
    <t xml:space="preserve">test case + automated test: publish ไม่ได้ถ้า Purpose ข้อมูลอ่อนไหวไม่มีช่องยินยอมแยก</t>
  </si>
  <si>
    <t xml:space="preserve">CON-10-BE, CON-10-FE</t>
  </si>
  <si>
    <t xml:space="preserve">CON-11-SA</t>
  </si>
  <si>
    <t xml:space="preserve">วิเคราะห์ business rules, ERD และ OpenAPI spec: ความยินยอมผู้เยาว์และผู้ปกครอง</t>
  </si>
  <si>
    <t xml:space="preserve">CON-11-UX</t>
  </si>
  <si>
    <t xml:space="preserve">ออกแบบหน้าจอและ prototype: ความยินยอมผู้เยาว์และผู้ปกครอง</t>
  </si>
  <si>
    <t xml:space="preserve">CON-11-BE</t>
  </si>
  <si>
    <t xml:space="preserve">[Go] ตรวจอายุตาม ม.20 (ไม่เกิน 10 ปีผู้ปกครองให้ความยินยอม, 10-20 ปีตามเงื่อนไข), ผูกโปรไฟล์ผู้ปกครอง-ผู้เยาว์, ส่งคำขอยืนยันให้ผู้ปกครอง</t>
  </si>
  <si>
    <t xml:space="preserve">CON-11-FE</t>
  </si>
  <si>
    <t xml:space="preserve">[Next.js] ขั้นตอนผู้เยาว์ในฟอร์ม + หน้าผู้ปกครองยืนยัน</t>
  </si>
  <si>
    <t xml:space="preserve">CON-11-QA</t>
  </si>
  <si>
    <t xml:space="preserve">test case + automated test: ความยินยอมที่ต้องได้จากผู้ปกครองมีผลเมื่อผู้ปกครองยืนยันแล้วเท่านั้น</t>
  </si>
  <si>
    <t xml:space="preserve">CON-11-BE, CON-11-FE</t>
  </si>
  <si>
    <t xml:space="preserve">CON-12-SA</t>
  </si>
  <si>
    <t xml:space="preserve">วิเคราะห์ business rules, ERD และ OpenAPI spec: เวอร์ชันข้อความยินยอม</t>
  </si>
  <si>
    <t xml:space="preserve">CON-12-BE</t>
  </si>
  <si>
    <t xml:space="preserve">[Go] Purpose และข้อความมีเวอร์ชัน, receipt ผูกเวอร์ชัน, เปลี่ยนวัตถุประสงค์แล้วทำเครื่องหมาย re-consent</t>
  </si>
  <si>
    <t xml:space="preserve">CON-12-FE</t>
  </si>
  <si>
    <t xml:space="preserve">[Next.js] หน้าเวอร์ชันของ Purpose + diff</t>
  </si>
  <si>
    <t xml:space="preserve">CON-12-QA</t>
  </si>
  <si>
    <t xml:space="preserve">test case + automated test: ย้อนดูได้ว่าแต่ละคนยินยอมข้อความเวอร์ชันใด</t>
  </si>
  <si>
    <t xml:space="preserve">CON-12-BE, CON-12-FE</t>
  </si>
  <si>
    <t xml:space="preserve">CON-13-SA</t>
  </si>
  <si>
    <t xml:space="preserve">วิเคราะห์ business rules, ERD และ OpenAPI spec: ถอนความยินยอม</t>
  </si>
  <si>
    <t xml:space="preserve">CON-13-BE</t>
  </si>
  <si>
    <t xml:space="preserve">[Go] ถอนผ่าน preference center / API / พนักงาน, เลือกเหตุผล, มีผลทันที, event consent.withdrawn → webhook ไประบบปลายทาง + ติดตามการยืนยัน</t>
  </si>
  <si>
    <t xml:space="preserve">CON-13-FE</t>
  </si>
  <si>
    <t xml:space="preserve">[Next.js] ปุ่มถอนใน preference center และหน้าพนักงาน</t>
  </si>
  <si>
    <t xml:space="preserve">CON-13-QA</t>
  </si>
  <si>
    <t xml:space="preserve">test case + automated test: ถอนแล้วสถานะเปลี่ยนทันทีและระบบปลายทางได้รับ event ภายใน 1 นาที</t>
  </si>
  <si>
    <t xml:space="preserve">CON-13-BE, CON-13-FE</t>
  </si>
  <si>
    <t xml:space="preserve">CON-14-SA</t>
  </si>
  <si>
    <t xml:space="preserve">วิเคราะห์ business rules, ERD และ OpenAPI spec: เก็บความยินยอมหลายช่องทาง</t>
  </si>
  <si>
    <t xml:space="preserve">CON-14-UX</t>
  </si>
  <si>
    <t xml:space="preserve">ออกแบบหน้าจอและ prototype: เก็บความยินยอมหลายช่องทาง</t>
  </si>
  <si>
    <t xml:space="preserve">CON-14-BE</t>
  </si>
  <si>
    <t xml:space="preserve">[Go] API สำหรับ POS / Call center / Kiosk, บันทึกแทนลูกค้า (on behalf) พร้อมผู้บันทึกและสาขา, QR code ต่อ collection point, แนบไฟล์สแกนเอกสารกระดาษ</t>
  </si>
  <si>
    <t xml:space="preserve">CON-14-FE</t>
  </si>
  <si>
    <t xml:space="preserve">[Next.js] หน้าพนักงานบันทึกความยินยอม (โหมดแท็บเล็ต), สร้าง QR, ตัวอย่าง LINE LIFF</t>
  </si>
  <si>
    <t xml:space="preserve">CON-14-QA</t>
  </si>
  <si>
    <t xml:space="preserve">test case + automated test: ทุกช่องทางได้ receipt รูปแบบเดียวกันและระบุช่องทาง / ผู้บันทึก</t>
  </si>
  <si>
    <t xml:space="preserve">CON-14-BE, CON-14-FE</t>
  </si>
  <si>
    <t xml:space="preserve">CON-15-SA</t>
  </si>
  <si>
    <t xml:space="preserve">วิเคราะห์ business rules, ERD และ OpenAPI spec: หลักฐานความยินยอม (Receipt)</t>
  </si>
  <si>
    <t xml:space="preserve">CON-15-BE</t>
  </si>
  <si>
    <t xml:space="preserve">[Go] Consent Transaction แบบ append-only (partition รายเดือน), receipt ID, hash chain ต่อเจ้าของข้อมูล, ประเภทรายการ, IP / อุปกรณ์ / ช่องทาง / เวอร์ชัน; Data Subject Profile รวมสถานะล่าสุด; ส่ง receipt ทางอีเมล</t>
  </si>
  <si>
    <t xml:space="preserve">CON-15-FE</t>
  </si>
  <si>
    <t xml:space="preserve">[Next.js] หน้า profile + ประวัติรายการ</t>
  </si>
  <si>
    <t xml:space="preserve">CON-15-QA</t>
  </si>
  <si>
    <t xml:space="preserve">test case + automated test: แก้หรือลบ transaction ไม่ได้ และตรวจย้อนหลังได้ว่าความยินยอมมาจากเวอร์ชันและช่องทางใด</t>
  </si>
  <si>
    <t xml:space="preserve">CON-15-BE, CON-15-FE</t>
  </si>
  <si>
    <t xml:space="preserve">CON-16-SA</t>
  </si>
  <si>
    <t xml:space="preserve">วิเคราะห์ business rules, ERD และ OpenAPI spec: REST API และ Webhook</t>
  </si>
  <si>
    <t xml:space="preserve">CON-16-BE</t>
  </si>
  <si>
    <t xml:space="preserve">[Go] API ตรวจสถานะความยินยอม real-time (cache ใน Valkey), สร้าง/แก้ profile, บันทึก transaction (idempotency key), bulk query; webhook consent.changed</t>
  </si>
  <si>
    <t xml:space="preserve">CON-16-FE</t>
  </si>
  <si>
    <t xml:space="preserve">[Next.js] หน้าเอกสาร API และตัวอย่างใน developer portal</t>
  </si>
  <si>
    <t xml:space="preserve">CON-16-QA</t>
  </si>
  <si>
    <t xml:space="preserve">test case + automated test: ผ่าน load test ตามเป้า TPS ที่ตกลง (T22) และ p95 ต่ำกว่า 200 ms</t>
  </si>
  <si>
    <t xml:space="preserve">CON-16-BE, CON-16-FE</t>
  </si>
  <si>
    <t xml:space="preserve">CON-17-SA</t>
  </si>
  <si>
    <t xml:space="preserve">วิเคราะห์ business rules, ERD และ OpenAPI spec: ความปลอดภัยและที่เก็บข้อมูล</t>
  </si>
  <si>
    <t xml:space="preserve">CON-17-BE</t>
  </si>
  <si>
    <t xml:space="preserve">[Go] ใช้บริการกลาง: เข้ารหัส identifier, สิทธิ์ตาม role/scope, เก็บข้อมูลบน cloud ในไทย; งานที่เหลือคือ config และทดสอบ</t>
  </si>
  <si>
    <t xml:space="preserve">CON-17-FE</t>
  </si>
  <si>
    <t xml:space="preserve">[Next.js] แสดงตำแหน่งที่เก็บข้อมูลในหน้าตั้งค่า</t>
  </si>
  <si>
    <t xml:space="preserve">CON-17-QA</t>
  </si>
  <si>
    <t xml:space="preserve">test case + automated test: ผลทดสอบยืนยันว่าข้อมูลความยินยอมเข้ารหัสและอยู่ใน region ที่กำหนด</t>
  </si>
  <si>
    <t xml:space="preserve">CON-17-BE, CON-17-FE</t>
  </si>
  <si>
    <t xml:space="preserve">CON-18-SA</t>
  </si>
  <si>
    <t xml:space="preserve">วิเคราะห์ business rules, ERD และ OpenAPI spec: ศูนย์ตั้งค่าความเป็นส่วนตัว</t>
  </si>
  <si>
    <t xml:space="preserve">CON-18-UX</t>
  </si>
  <si>
    <t xml:space="preserve">ออกแบบหน้าจอและ prototype: ศูนย์ตั้งค่าความเป็นส่วนตัว</t>
  </si>
  <si>
    <t xml:space="preserve">CON-18-BE</t>
  </si>
  <si>
    <t xml:space="preserve">[Go] API preference center: ดู/แก้ความยินยอมและช่องทางสื่อสาร (Purpose Preference), session ของเจ้าของข้อมูล</t>
  </si>
  <si>
    <t xml:space="preserve">CON-18-FE</t>
  </si>
  <si>
    <t xml:space="preserve">[Next.js] หน้า preference center ใน portal (magic link / OTP, TH/EN, branding)</t>
  </si>
  <si>
    <t xml:space="preserve">CON-18-QA</t>
  </si>
  <si>
    <t xml:space="preserve">test case + automated test: เจ้าของข้อมูลแก้ทางเลือกได้เองและได้ receipt ทุกครั้ง</t>
  </si>
  <si>
    <t xml:space="preserve">CON-18-BE, CON-18-FE</t>
  </si>
  <si>
    <t xml:space="preserve">CON-19-SA</t>
  </si>
  <si>
    <t xml:space="preserve">วิเคราะห์ business rules, ERD และ OpenAPI spec: ยืนยันตัวตนก่อนบันทึก</t>
  </si>
  <si>
    <t xml:space="preserve">CON-19-BE</t>
  </si>
  <si>
    <t xml:space="preserve">[Go] ตั้งวิธียืนยันตัวตนต่อ collection point (ไม่ต้อง / OTP / magic link / IdP ภายนอก) ผ่าน IAM-05</t>
  </si>
  <si>
    <t xml:space="preserve">CON-19-FE</t>
  </si>
  <si>
    <t xml:space="preserve">[Next.js] ตัวเลือกวิธียืนยันในหน้าตั้งค่า collection point</t>
  </si>
  <si>
    <t xml:space="preserve">CON-19-QA</t>
  </si>
  <si>
    <t xml:space="preserve">test case + automated test: collection point ที่บังคับ OTP บันทึกได้เมื่อยืนยันผ่านเท่านั้น</t>
  </si>
  <si>
    <t xml:space="preserve">CON-19-BE, CON-19-FE</t>
  </si>
  <si>
    <t xml:space="preserve">CON-21-SA</t>
  </si>
  <si>
    <t xml:space="preserve">วิเคราะห์ business rules, ERD และ OpenAPI spec: ค้นหา แดชบอร์ด และส่งออก</t>
  </si>
  <si>
    <t xml:space="preserve">CON-21-UX</t>
  </si>
  <si>
    <t xml:space="preserve">ออกแบบหน้าจอและ prototype: ค้นหา แดชบอร์ด และส่งออก</t>
  </si>
  <si>
    <t xml:space="preserve">CON-21-BE</t>
  </si>
  <si>
    <t xml:space="preserve">[Go] ค้นหาตามบุคคล (blind index) / Purpose, สถิติอัตรายินยอม/ถอน, export แบบ async, Reconcile Report เทียบสถานะกับระบบปลายทาง</t>
  </si>
  <si>
    <t xml:space="preserve">CON-21-FE</t>
  </si>
  <si>
    <t xml:space="preserve">[Next.js] หน้าค้นหา, dashboard และหน้า reconcile</t>
  </si>
  <si>
    <t xml:space="preserve">CON-21-QA</t>
  </si>
  <si>
    <t xml:space="preserve">test case + automated test: ค้นหาด้วยอีเมลหรือเบอร์ได้โดยไม่ต้องถอดรหัสทั้งตาราง และรายงาน reconcile แสดงรายการที่ไม่ตรง</t>
  </si>
  <si>
    <t xml:space="preserve">CON-21-BE, CON-21-FE</t>
  </si>
  <si>
    <t xml:space="preserve">CON-22-SA</t>
  </si>
  <si>
    <t xml:space="preserve">วิเคราะห์ business rules, ERD และ OpenAPI spec: นำเข้าความยินยอมเดิม</t>
  </si>
  <si>
    <t xml:space="preserve">CON-22-BE</t>
  </si>
  <si>
    <t xml:space="preserve">[Go] นำเข้าความยินยอมเดิมพร้อมวันที่และช่องทางเดิม, map Purpose, ตรวจซ้ำ, ทำเครื่องหมายว่าเป็นข้อมูลนำเข้า</t>
  </si>
  <si>
    <t xml:space="preserve">CON-22-FE</t>
  </si>
  <si>
    <t xml:space="preserve">[Next.js] wizard นำเข้า (PLT-14) + รายงานผล</t>
  </si>
  <si>
    <t xml:space="preserve">CON-22-QA</t>
  </si>
  <si>
    <t xml:space="preserve">test case + automated test: ข้อมูลจากระบบ Consent เดิมนำเข้าครบและ reconcile ยอดตรง</t>
  </si>
  <si>
    <t xml:space="preserve">CON-22-BE, CON-22-FE</t>
  </si>
  <si>
    <t xml:space="preserve">CON-05-SA</t>
  </si>
  <si>
    <t xml:space="preserve">วิเคราะห์ business rules, ERD และ OpenAPI spec: นโยบายคุกกี้อัตโนมัติ</t>
  </si>
  <si>
    <t xml:space="preserve">CON-05-BE</t>
  </si>
  <si>
    <t xml:space="preserve">[Go] สร้างตารางคุกกี้ TH/EN จากผลสแกน อัปเดตเมื่อ publish</t>
  </si>
  <si>
    <t xml:space="preserve">CON-05-FE</t>
  </si>
  <si>
    <t xml:space="preserve">[Next.js] embed script / iframe สำหรับหน้า Cookie Policy</t>
  </si>
  <si>
    <t xml:space="preserve">CON-05-QA</t>
  </si>
  <si>
    <t xml:space="preserve">test case + automated test: ตารางในหน้า Cookie Policy ตรงกับผลสแกนล่าสุด</t>
  </si>
  <si>
    <t xml:space="preserve">CON-05-BE, CON-05-FE</t>
  </si>
  <si>
    <t xml:space="preserve">CON-07-SA</t>
  </si>
  <si>
    <t xml:space="preserve">วิเคราะห์ business rules, ERD และ OpenAPI spec: หลายโดเมนและ Mobile SDK</t>
  </si>
  <si>
    <t xml:space="preserve">CON-07-BE</t>
  </si>
  <si>
    <t xml:space="preserve">[Go] จัดการหลายโดเมน / แอปต่อ tenant, config แยก, API สำหรับ mobile</t>
  </si>
  <si>
    <t xml:space="preserve">CON-07-FE</t>
  </si>
  <si>
    <t xml:space="preserve">[Next.js] Mobile SDK (iOS Swift, Android Kotlin หรือ Flutter / React Native wrapper) + ตัวอย่าง LINE LIFF ด้วย JS SDK</t>
  </si>
  <si>
    <t xml:space="preserve">CON-07-QA</t>
  </si>
  <si>
    <t xml:space="preserve">test case + automated test: แอปตัวอย่างบันทึกและอ่านสถานะความยินยอมผ่าน SDK ได้</t>
  </si>
  <si>
    <t xml:space="preserve">CON-07-BE, CON-07-FE</t>
  </si>
  <si>
    <t xml:space="preserve">CON-20-SA</t>
  </si>
  <si>
    <t xml:space="preserve">วิเคราะห์ business rules, ERD และ OpenAPI spec: วันหมดอายุและต่ออายุ</t>
  </si>
  <si>
    <t xml:space="preserve">CON-20-BE</t>
  </si>
  <si>
    <t xml:space="preserve">[Go] อายุต่อ Purpose, job ตรวจหมดอายุรายวัน → สถานะ EXPIRED + event, แจ้งเตือนต่ออายุ, transaction EXTEND</t>
  </si>
  <si>
    <t xml:space="preserve">CON-20-FE</t>
  </si>
  <si>
    <t xml:space="preserve">[Next.js] ตั้งอายุใน Purpose + รายการที่ใกล้หมดอายุ</t>
  </si>
  <si>
    <t xml:space="preserve">CON-20-QA</t>
  </si>
  <si>
    <t xml:space="preserve">test case + automated test: ความยินยอมที่ครบอายุเปลี่ยนสถานะอัตโนมัติและระบบปลายทางได้รับ event</t>
  </si>
  <si>
    <t xml:space="preserve">CON-20-BE, CON-20-FE</t>
  </si>
  <si>
    <t xml:space="preserve">CON-23-SA</t>
  </si>
  <si>
    <t xml:space="preserve">วิเคราะห์ business rules, ERD และ OpenAPI spec: Double Opt-In</t>
  </si>
  <si>
    <t xml:space="preserve">CON-23-BE</t>
  </si>
  <si>
    <t xml:space="preserve">[Go] สถานะ PENDING → CONFIRMED / CANCELLED ผ่านลิงก์อีเมล / SMS ที่มีวันหมดอายุ</t>
  </si>
  <si>
    <t xml:space="preserve">CON-23-FE</t>
  </si>
  <si>
    <t xml:space="preserve">[Next.js] ตั้งค่า double opt-in ต่อ collection point + หน้ายืนยัน</t>
  </si>
  <si>
    <t xml:space="preserve">CON-23-QA</t>
  </si>
  <si>
    <t xml:space="preserve">test case + automated test: ความยินยอมมีผลหลังยืนยันเท่านั้น</t>
  </si>
  <si>
    <t xml:space="preserve">CON-23-BE, CON-23-FE</t>
  </si>
  <si>
    <t xml:space="preserve">CON-24-SA</t>
  </si>
  <si>
    <t xml:space="preserve">วิเคราะห์ business rules, ERD และ OpenAPI spec: ส่งคำขอความยินยอมแบบ Bulk</t>
  </si>
  <si>
    <t xml:space="preserve">CON-24-UX</t>
  </si>
  <si>
    <t xml:space="preserve">ออกแบบหน้าจอและ prototype: ส่งคำขอความยินยอมแบบ Bulk</t>
  </si>
  <si>
    <t xml:space="preserve">CON-24-BE</t>
  </si>
  <si>
    <t xml:space="preserve">[Go] เลือกกลุ่มเป้าหมาย, ส่งลิงก์ขอความยินยอมทางอีเมล / SMS / LINE แบบทยอย, ติดตามผู้ตอบ, ส่งซ้ำ</t>
  </si>
  <si>
    <t xml:space="preserve">CON-24-FE</t>
  </si>
  <si>
    <t xml:space="preserve">[Next.js] หน้าสร้างแคมเปญ + สถิติการตอบ</t>
  </si>
  <si>
    <t xml:space="preserve">CON-24-QA</t>
  </si>
  <si>
    <t xml:space="preserve">test case + automated test: แคมเปญแสดงจำนวนส่ง / เปิด / ตอบ และส่งซ้ำเฉพาะผู้ยังไม่ตอบได้</t>
  </si>
  <si>
    <t xml:space="preserve">CON-24-BE, CON-24-FE</t>
  </si>
  <si>
    <t xml:space="preserve">CON-08-SA</t>
  </si>
  <si>
    <t xml:space="preserve">วิเคราะห์ business rules, ERD และ OpenAPI spec: A/B testing และวัด consent rate</t>
  </si>
  <si>
    <t xml:space="preserve">CON-08-UX</t>
  </si>
  <si>
    <t xml:space="preserve">ออกแบบหน้าจอและ prototype: A/B testing และวัด consent rate</t>
  </si>
  <si>
    <t xml:space="preserve">CON-08-BE</t>
  </si>
  <si>
    <t xml:space="preserve">[Go] variant แบนเนอร์, สุ่มแบ่งผู้เข้าชม, วัด opt-in rate ต่อ variant</t>
  </si>
  <si>
    <t xml:space="preserve">CON-08-FE</t>
  </si>
  <si>
    <t xml:space="preserve">[Next.js] หน้าสร้าง variant และรายงานผลเปรียบเทียบ</t>
  </si>
  <si>
    <t xml:space="preserve">CON-08-QA</t>
  </si>
  <si>
    <t xml:space="preserve">test case + automated test: ผลการทดลองแสดงอัตรายินยอมต่อ variant พร้อมจำนวนตัวอย่าง</t>
  </si>
  <si>
    <t xml:space="preserve">CON-08-BE, CON-08-FE</t>
  </si>
  <si>
    <t xml:space="preserve">PNG-01-SA</t>
  </si>
  <si>
    <t xml:space="preserve">วิเคราะห์ business rules, ERD และ OpenAPI spec: สร้างประกาศแบบถาม-ตอบ</t>
  </si>
  <si>
    <t xml:space="preserve">PNG-01-UX</t>
  </si>
  <si>
    <t xml:space="preserve">ออกแบบหน้าจอและ prototype: สร้างประกาศแบบถาม-ตอบ</t>
  </si>
  <si>
    <t xml:space="preserve">PNG-01-BE</t>
  </si>
  <si>
    <t xml:space="preserve">[Go] wizard definition (คำถาม → ส่วนของประกาศ), ประกอบเนื้อหาจากคำตอบ + master data + ข้อมูลองค์กรด้วย document composer</t>
  </si>
  <si>
    <t xml:space="preserve">PNG-01-FE</t>
  </si>
  <si>
    <t xml:space="preserve">[Next.js] wizard ทีละขั้น + preview คู่ขนาน + แก้ข้อความใน editor</t>
  </si>
  <si>
    <t xml:space="preserve">PNG-01-QA</t>
  </si>
  <si>
    <t xml:space="preserve">test case + automated test: ผู้ใช้ที่ไม่มีพื้นฐานกฎหมายสร้างร่างประกาศครบหัวข้อได้ภายใน 30 นาที</t>
  </si>
  <si>
    <t xml:space="preserve">PNG-01-BE, PNG-01-FE</t>
  </si>
  <si>
    <t xml:space="preserve">PNG-02-SA</t>
  </si>
  <si>
    <t xml:space="preserve">วิเคราะห์ business rules, ERD และ OpenAPI spec: ตรวจเนื้อหาครบตาม ม.23</t>
  </si>
  <si>
    <t xml:space="preserve">PNG-02-BE</t>
  </si>
  <si>
    <t xml:space="preserve">[Go] rule ตรวจ 6 หัวข้อ ม.23 ก่อน publish, บล็อก publish ถ้าขาดหัวข้อบังคับ (ตั้งค่าได้)</t>
  </si>
  <si>
    <t xml:space="preserve">PNG-02-FE</t>
  </si>
  <si>
    <t xml:space="preserve">[Next.js] แผงตรวจความครบ + ลิงก์ไปส่วนที่ขาด</t>
  </si>
  <si>
    <t xml:space="preserve">PNG-02-QA</t>
  </si>
  <si>
    <t xml:space="preserve">test case + automated test: ประกาศที่ขาดหัวข้อบังคับ publish ไม่ได้</t>
  </si>
  <si>
    <t xml:space="preserve">PNG-02-BE, PNG-02-FE</t>
  </si>
  <si>
    <t xml:space="preserve">PNG-03-SA</t>
  </si>
  <si>
    <t xml:space="preserve">วิเคราะห์ business rules, ERD และ OpenAPI spec: แม่แบบตามกลุ่มเจ้าของข้อมูล</t>
  </si>
  <si>
    <t xml:space="preserve">PNG-03-BE</t>
  </si>
  <si>
    <t xml:space="preserve">[Go] template ตั้งต้น 8 กลุ่มเจ้าของข้อมูล TH/EN (เนื้อหาจาก T15)</t>
  </si>
  <si>
    <t xml:space="preserve">PNG-03-FE</t>
  </si>
  <si>
    <t xml:space="preserve">[Next.js] หน้าเลือก template ตามกลุ่ม</t>
  </si>
  <si>
    <t xml:space="preserve">PNG-03-QA</t>
  </si>
  <si>
    <t xml:space="preserve">test case + automated test: เลือก template แล้วได้ร่างประกาศของกลุ่มนั้นทันที</t>
  </si>
  <si>
    <t xml:space="preserve">PNG-03-BE, PNG-03-FE</t>
  </si>
  <si>
    <t xml:space="preserve">PNG-04-SA</t>
  </si>
  <si>
    <t xml:space="preserve">วิเคราะห์ business rules, ERD และ OpenAPI spec: ประกาศกรณีเก็บจากแหล่งอื่น</t>
  </si>
  <si>
    <t xml:space="preserve">PNG-04-BE</t>
  </si>
  <si>
    <t xml:space="preserve">[Go] บันทึกการได้ข้อมูลจากแหล่งอื่น (แหล่ง วันที่ จำนวน), นับ 30 วัน, แจ้งเตือน, ส่งประกาศทางอีเมล / SMS หรือบันทึกวิธีแจ้ง + หลักฐาน</t>
  </si>
  <si>
    <t xml:space="preserve">PNG-04-FE</t>
  </si>
  <si>
    <t xml:space="preserve">[Next.js] หน้ารายการที่ต้องแจ้ง + ตัวนับวัน</t>
  </si>
  <si>
    <t xml:space="preserve">PNG-04-QA</t>
  </si>
  <si>
    <t xml:space="preserve">test case + automated test: ระบบเตือนก่อนครบ 30 วัน และปิดรายการได้เมื่อมีหลักฐานการแจ้ง</t>
  </si>
  <si>
    <t xml:space="preserve">PNG-04-BE, PNG-04-FE</t>
  </si>
  <si>
    <t xml:space="preserve">PNG-05-SA</t>
  </si>
  <si>
    <t xml:space="preserve">วิเคราะห์ business rules, ERD และ OpenAPI spec: ประกาศสองภาษา</t>
  </si>
  <si>
    <t xml:space="preserve">PNG-05-BE</t>
  </si>
  <si>
    <t xml:space="preserve">[Go] เนื้อหาคู่ขนานหลายภาษาใน composer, ตรวจว่าทุกภาษาเผยแพร่เวอร์ชันเดียวกัน, เพิ่มภาษาแรงงานต่างชาติ</t>
  </si>
  <si>
    <t xml:space="preserve">PNG-05-FE</t>
  </si>
  <si>
    <t xml:space="preserve">[Next.js] สลับภาษาใน editor และ preview</t>
  </si>
  <si>
    <t xml:space="preserve">PNG-05-QA</t>
  </si>
  <si>
    <t xml:space="preserve">test case + automated test: publish ไม่ได้ถ้าฉบับแปลยังไม่อัปเดตตามเวอร์ชันล่าสุด (ตั้งค่าได้)</t>
  </si>
  <si>
    <t xml:space="preserve">PNG-05-BE, PNG-05-FE</t>
  </si>
  <si>
    <t xml:space="preserve">PNG-06-SA</t>
  </si>
  <si>
    <t xml:space="preserve">วิเคราะห์ business rules, ERD และ OpenAPI spec: จัดการเวอร์ชัน</t>
  </si>
  <si>
    <t xml:space="preserve">PNG-06-BE</t>
  </si>
  <si>
    <t xml:space="preserve">[Go] เวอร์ชัน + วันมีผล + diff (PLT-08 / PLT-16)</t>
  </si>
  <si>
    <t xml:space="preserve">PNG-06-FE</t>
  </si>
  <si>
    <t xml:space="preserve">[Next.js] หน้าประวัติเวอร์ชันและเปรียบเทียบ</t>
  </si>
  <si>
    <t xml:space="preserve">PNG-06-QA</t>
  </si>
  <si>
    <t xml:space="preserve">test case + automated test: หน้า public แสดงเวอร์ชันปัจจุบันและดูประวัติย้อนหลังได้</t>
  </si>
  <si>
    <t xml:space="preserve">PNG-06-BE, PNG-06-FE</t>
  </si>
  <si>
    <t xml:space="preserve">PNG-07-SA</t>
  </si>
  <si>
    <t xml:space="preserve">วิเคราะห์ business rules, ERD และ OpenAPI spec: แจ้งการเปลี่ยนแปลงและขอความยินยอมใหม่</t>
  </si>
  <si>
    <t xml:space="preserve">PNG-07-BE</t>
  </si>
  <si>
    <t xml:space="preserve">[Go] เมื่อ publish เวอร์ชันใหม่: ระบุว่าเปลี่ยนสาระสำคัญหรือไม่, ส่งแจ้งเจ้าของข้อมูล, ถ้าเปลี่ยนวัตถุประสงค์ → สร้างคำขอความยินยอมใหม่ใน CON</t>
  </si>
  <si>
    <t xml:space="preserve">PNG-07-FE</t>
  </si>
  <si>
    <t xml:space="preserve">[Next.js] ขั้นตอนยืนยันการแจ้งเปลี่ยนแปลงตอน publish</t>
  </si>
  <si>
    <t xml:space="preserve">PNG-07-QA</t>
  </si>
  <si>
    <t xml:space="preserve">test case + automated test: การเปลี่ยนวัตถุประสงค์สร้างงานขอความยินยอมใหม่อัตโนมัติ</t>
  </si>
  <si>
    <t xml:space="preserve">PNG-07-BE, PNG-07-FE</t>
  </si>
  <si>
    <t xml:space="preserve">PNG-08-SA</t>
  </si>
  <si>
    <t xml:space="preserve">วิเคราะห์ business rules, ERD และ OpenAPI spec: เผยแพร่และฝังในระบบ</t>
  </si>
  <si>
    <t xml:space="preserve">PNG-08-UX</t>
  </si>
  <si>
    <t xml:space="preserve">ออกแบบหน้าจอและ prototype: เผยแพร่และฝังในระบบ</t>
  </si>
  <si>
    <t xml:space="preserve">PNG-08-BE</t>
  </si>
  <si>
    <t xml:space="preserve">[Go] URL ถาวรและต่อเวอร์ชัน, embed script / iframe, ส่งออก Word / PDF, ลิงก์สำหรับ LINE OA และแอป</t>
  </si>
  <si>
    <t xml:space="preserve">PNG-08-FE</t>
  </si>
  <si>
    <t xml:space="preserve">[Next.js] หน้า public ของประกาศใน portal + ตัวสร้างโค้ดฝัง</t>
  </si>
  <si>
    <t xml:space="preserve">PNG-08-QA</t>
  </si>
  <si>
    <t xml:space="preserve">test case + automated test: ประกาศแสดงบนเว็บลูกค้าผ่าน embed และอัปเดตเองเมื่อ publish</t>
  </si>
  <si>
    <t xml:space="preserve">PNG-08-BE, PNG-08-FE</t>
  </si>
  <si>
    <t xml:space="preserve">PNG-14-SA</t>
  </si>
  <si>
    <t xml:space="preserve">วิเคราะห์ business rules, ERD และ OpenAPI spec: อนุมัติก่อนเผยแพร่</t>
  </si>
  <si>
    <t xml:space="preserve">PNG-14-BE</t>
  </si>
  <si>
    <t xml:space="preserve">[Go] ใช้ workflow อนุมัติกลาง: DPO / กฎหมายตรวจ แสดงความเห็น อนุมัติก่อน publish</t>
  </si>
  <si>
    <t xml:space="preserve">PNG-14-FE</t>
  </si>
  <si>
    <t xml:space="preserve">[Next.js] ปุ่มส่งตรวจ + กล่องความเห็น</t>
  </si>
  <si>
    <t xml:space="preserve">PNG-14-QA</t>
  </si>
  <si>
    <t xml:space="preserve">test case + automated test: ประกาศเผยแพร่ได้หลังอนุมัติเท่านั้น</t>
  </si>
  <si>
    <t xml:space="preserve">PNG-14-BE, PNG-14-FE</t>
  </si>
  <si>
    <t xml:space="preserve">PNG-09-SA</t>
  </si>
  <si>
    <t xml:space="preserve">วิเคราะห์ business rules, ERD และ OpenAPI spec: บันทึกการรับทราบ</t>
  </si>
  <si>
    <t xml:space="preserve">PNG-09-BE</t>
  </si>
  <si>
    <t xml:space="preserve">[Go] บันทึกการรับทราบ (ใคร เวอร์ชัน ช่องทาง เวลา) ผ่าน API / SDK / หน้า public</t>
  </si>
  <si>
    <t xml:space="preserve">PNG-09-FE</t>
  </si>
  <si>
    <t xml:space="preserve">[Next.js] รายงานการรับทราบต่อเวอร์ชัน</t>
  </si>
  <si>
    <t xml:space="preserve">PNG-09-QA</t>
  </si>
  <si>
    <t xml:space="preserve">test case + automated test: ตรวจได้ว่าบุคคลรับทราบประกาศเวอร์ชันใด</t>
  </si>
  <si>
    <t xml:space="preserve">PNG-09-BE, PNG-09-FE</t>
  </si>
  <si>
    <t xml:space="preserve">PNG-10-SA</t>
  </si>
  <si>
    <t xml:space="preserve">วิเคราะห์ business rules, ERD และ OpenAPI spec: ดึงเนื้อหาจาก RoPA</t>
  </si>
  <si>
    <t xml:space="preserve">PNG-10-BE</t>
  </si>
  <si>
    <t xml:space="preserve">[Go] เลือกกิจกรรม RoPA → ประกอบหัวข้อวัตถุประสงค์ / ฐาน / ข้อมูล / ระยะเวลา / ผู้รับ; event ropa.updated → แจ้งให้ทบทวนประกาศ</t>
  </si>
  <si>
    <t xml:space="preserve">PNG-10-FE</t>
  </si>
  <si>
    <t xml:space="preserve">[Next.js] ปุ่มดึงข้อมูลจาก RoPA ใน wizard</t>
  </si>
  <si>
    <t xml:space="preserve">PNG-10-QA</t>
  </si>
  <si>
    <t xml:space="preserve">test case + automated test: RoPA เปลี่ยนแล้วประกาศที่เกี่ยวข้องถูกทำเครื่องหมายให้ทบทวน</t>
  </si>
  <si>
    <t xml:space="preserve">PNG-10-BE, PNG-10-FE</t>
  </si>
  <si>
    <t xml:space="preserve">PNG-11-SA</t>
  </si>
  <si>
    <t xml:space="preserve">วิเคราะห์ business rules, ERD และ OpenAPI spec: แม่แบบตามอุตสาหกรรม</t>
  </si>
  <si>
    <t xml:space="preserve">PNG-11-BE</t>
  </si>
  <si>
    <t xml:space="preserve">[Go] ชุด template 6 อุตสาหกรรม (เนื้อหาจาก T40)</t>
  </si>
  <si>
    <t xml:space="preserve">PNG-11-FE</t>
  </si>
  <si>
    <t xml:space="preserve">[Next.js] ตัวกรอง template ตามอุตสาหกรรม</t>
  </si>
  <si>
    <t xml:space="preserve">PNG-11-QA</t>
  </si>
  <si>
    <t xml:space="preserve">test case + automated test: มี template ครบ 6 อุตสาหกรรมทั้ง TH/EN</t>
  </si>
  <si>
    <t xml:space="preserve">PNG-11-BE, PNG-11-FE</t>
  </si>
  <si>
    <t xml:space="preserve">PNG-12-SA</t>
  </si>
  <si>
    <t xml:space="preserve">วิเคราะห์ business rules, ERD และ OpenAPI spec: ประกาศแบบหลายชั้นและป้าย CCTV</t>
  </si>
  <si>
    <t xml:space="preserve">PNG-12-UX</t>
  </si>
  <si>
    <t xml:space="preserve">ออกแบบหน้าจอและ prototype: ประกาศแบบหลายชั้นและป้าย CCTV</t>
  </si>
  <si>
    <t xml:space="preserve">PNG-12-BE</t>
  </si>
  <si>
    <t xml:space="preserve">[Go] ฉบับย่อ + ฉบับเต็ม, สร้างป้าย CCTV พร้อม QR (PDF A4 / A3)</t>
  </si>
  <si>
    <t xml:space="preserve">PNG-12-FE</t>
  </si>
  <si>
    <t xml:space="preserve">[Next.js] หน้าออกแบบประกาศหลายชั้นและป้าย CCTV</t>
  </si>
  <si>
    <t xml:space="preserve">PNG-12-QA</t>
  </si>
  <si>
    <t xml:space="preserve">test case + automated test: ป้าย CCTV พิมพ์ได้และ QR เปิดฉบับเต็มได้</t>
  </si>
  <si>
    <t xml:space="preserve">PNG-12-BE, PNG-12-FE</t>
  </si>
  <si>
    <t xml:space="preserve">PNG-15-SA</t>
  </si>
  <si>
    <t xml:space="preserve">วิเคราะห์ business rules, ERD และ OpenAPI spec: แจ้งเตือนทบทวนตามรอบ</t>
  </si>
  <si>
    <t xml:space="preserve">PNG-15-BE</t>
  </si>
  <si>
    <t xml:space="preserve">[Go] รอบทบทวนต่อประกาศ + trigger เมื่อ RoPA เปลี่ยน</t>
  </si>
  <si>
    <t xml:space="preserve">PNG-15-FE</t>
  </si>
  <si>
    <t xml:space="preserve">[Next.js] ตั้งรอบทบทวนในหน้าประกาศ</t>
  </si>
  <si>
    <t xml:space="preserve">PNG-15-QA</t>
  </si>
  <si>
    <t xml:space="preserve">test case + automated test: เจ้าของประกาศได้รับงานทบทวนตามรอบ</t>
  </si>
  <si>
    <t xml:space="preserve">PNG-15-BE, PNG-15-FE</t>
  </si>
  <si>
    <t xml:space="preserve">PNG-16-SA</t>
  </si>
  <si>
    <t xml:space="preserve">วิเคราะห์ business rules, ERD และ OpenAPI spec: สร้างนโยบายความเป็นส่วนตัวและนโยบายคุกกี้</t>
  </si>
  <si>
    <t xml:space="preserve">PNG-16-BE</t>
  </si>
  <si>
    <t xml:space="preserve">[Go] template นโยบายระดับองค์กร ประกอบจากข้อมูลองค์กร ประกาศทุกกลุ่ม และตารางคุกกี้</t>
  </si>
  <si>
    <t xml:space="preserve">PNG-16-FE</t>
  </si>
  <si>
    <t xml:space="preserve">[Next.js] wizard นโยบายองค์กร</t>
  </si>
  <si>
    <t xml:space="preserve">PNG-16-QA</t>
  </si>
  <si>
    <t xml:space="preserve">test case + automated test: นโยบายที่สร้างอ้างถึงประกาศและตารางคุกกี้เวอร์ชันล่าสุด</t>
  </si>
  <si>
    <t xml:space="preserve">PNG-16-BE, PNG-16-FE</t>
  </si>
  <si>
    <t xml:space="preserve">PNG-13-SA</t>
  </si>
  <si>
    <t xml:space="preserve">วิเคราะห์ business rules, ERD และ OpenAPI spec: ลิงก์เอกสารอ้างอิงในประกาศ</t>
  </si>
  <si>
    <t xml:space="preserve">PNG-13-BE</t>
  </si>
  <si>
    <t xml:space="preserve">[Go] ลิงก์เอกสารอ้างอิง + รูปแบบการแสดง (inline / popup)</t>
  </si>
  <si>
    <t xml:space="preserve">PNG-13-FE</t>
  </si>
  <si>
    <t xml:space="preserve">[Next.js] ส่วนจัดการลิงก์ใน editor</t>
  </si>
  <si>
    <t xml:space="preserve">PNG-13-QA</t>
  </si>
  <si>
    <t xml:space="preserve">test case + automated test: ลิงก์แสดงตามรูปแบบที่ตั้ง</t>
  </si>
  <si>
    <t xml:space="preserve">PNG-13-BE, PNG-13-FE</t>
  </si>
  <si>
    <t xml:space="preserve">ROPA-01-SA</t>
  </si>
  <si>
    <t xml:space="preserve">วิเคราะห์ business rules, ERD และ OpenAPI spec: ทะเบียนข้อมูลส่วนบุคคล</t>
  </si>
  <si>
    <t xml:space="preserve">ROPA-01-UX</t>
  </si>
  <si>
    <t xml:space="preserve">ออกแบบหน้าจอและ prototype: ทะเบียนข้อมูลส่วนบุคคล</t>
  </si>
  <si>
    <t xml:space="preserve">ROPA-01-BE</t>
  </si>
  <si>
    <t xml:space="preserve">[Go] ทะเบียนข้อมูล: ประเภท / หมวดทั่วไป-อ่อนไหว (ม.26), แหล่งที่มา, ระบบที่จัดเก็บ, ผู้รับผิดชอบ; scope ตามหน่วยงาน</t>
  </si>
  <si>
    <t xml:space="preserve">ROPA-01-FE</t>
  </si>
  <si>
    <t xml:space="preserve">[Next.js] หน้ารายการ + ฟอร์ม + ตัวกรองข้อมูลอ่อนไหว</t>
  </si>
  <si>
    <t xml:space="preserve">ROPA-01-QA</t>
  </si>
  <si>
    <t xml:space="preserve">test case + automated test: ข้อมูลอ่อนไหวถูกระบุและกรองได้ทุกหน่วยงาน</t>
  </si>
  <si>
    <t xml:space="preserve">ROPA-01-BE, ROPA-01-FE</t>
  </si>
  <si>
    <t xml:space="preserve">ROPA-02-SA</t>
  </si>
  <si>
    <t xml:space="preserve">วิเคราะห์ business rules, ERD และ OpenAPI spec: ทะเบียนระบบและทรัพย์สิน</t>
  </si>
  <si>
    <t xml:space="preserve">ROPA-02-UX</t>
  </si>
  <si>
    <t xml:space="preserve">ออกแบบหน้าจอและ prototype: ทะเบียนระบบและทรัพย์สิน</t>
  </si>
  <si>
    <t xml:space="preserve">ROPA-02-BE</t>
  </si>
  <si>
    <t xml:space="preserve">[Go] asset: ระบบ แอป ฐานข้อมูล ผู้ให้บริการ ประเทศที่ตั้งเซิร์ฟเวอร์ เจ้าของระบบ</t>
  </si>
  <si>
    <t xml:space="preserve">ROPA-02-FE</t>
  </si>
  <si>
    <t xml:space="preserve">[Next.js] หน้าทะเบียนระบบ + ฟอร์ม</t>
  </si>
  <si>
    <t xml:space="preserve">ROPA-02-QA</t>
  </si>
  <si>
    <t xml:space="preserve">test case + automated test: กิจกรรมอ้างถึงระบบจากทะเบียนเดียวกัน</t>
  </si>
  <si>
    <t xml:space="preserve">ROPA-02-BE, ROPA-02-FE</t>
  </si>
  <si>
    <t xml:space="preserve">ROPA-03-SA</t>
  </si>
  <si>
    <t xml:space="preserve">วิเคราะห์ business rules, ERD และ OpenAPI spec: RoPA ของผู้ควบคุมข้อมูล</t>
  </si>
  <si>
    <t xml:space="preserve">ROPA-03-UX</t>
  </si>
  <si>
    <t xml:space="preserve">ออกแบบหน้าจอและ prototype: RoPA ของผู้ควบคุมข้อมูล</t>
  </si>
  <si>
    <t xml:space="preserve">ROPA-03-BE</t>
  </si>
  <si>
    <t xml:space="preserve">[Go] processing activity ครบ 8 หัวข้อ ม.39 เป็นข้อมูลโครงสร้าง ผูก master data, scope ตามแผนก, คะแนนความครบถ้วน</t>
  </si>
  <si>
    <t xml:space="preserve">ROPA-03-FE</t>
  </si>
  <si>
    <t xml:space="preserve">[Next.js] ฟอร์มหลายขั้นตอน + มุมมองตาราง + ตัวบ่งชี้ความครบถ้วน</t>
  </si>
  <si>
    <t xml:space="preserve">ROPA-03-QA</t>
  </si>
  <si>
    <t xml:space="preserve">test case + automated test: กิจกรรมที่ขาดหัวข้อบังคับแสดงสถานะ 'ไม่ครบ' พร้อมรายการที่ขาด</t>
  </si>
  <si>
    <t xml:space="preserve">ROPA-03-BE, ROPA-03-FE</t>
  </si>
  <si>
    <t xml:space="preserve">ROPA-04-SA</t>
  </si>
  <si>
    <t xml:space="preserve">วิเคราะห์ business rules, ERD และ OpenAPI spec: RoPA ของผู้ประมวลผลข้อมูล</t>
  </si>
  <si>
    <t xml:space="preserve">ROPA-04-BE</t>
  </si>
  <si>
    <t xml:space="preserve">[Go] โหมดผู้ประมวลผล: ฟิลด์ตามประกาศ สคส. RoPA ผู้ประมวลผล พ.ศ. 2565</t>
  </si>
  <si>
    <t xml:space="preserve">ROPA-04-FE</t>
  </si>
  <si>
    <t xml:space="preserve">[Next.js] ฟอร์มและรายการ RoPA ผู้ประมวลผล</t>
  </si>
  <si>
    <t xml:space="preserve">ROPA-04-QA</t>
  </si>
  <si>
    <t xml:space="preserve">test case + automated test: ส่งออก RoPA ผู้ประมวลผลได้ครบหัวข้อตามประกาศ</t>
  </si>
  <si>
    <t xml:space="preserve">ROPA-04-BE, ROPA-04-FE</t>
  </si>
  <si>
    <t xml:space="preserve">ROPA-05-SA</t>
  </si>
  <si>
    <t xml:space="preserve">วิเคราะห์ business rules, ERD และ OpenAPI spec: เพิ่มกิจกรรมแบบปกติและแบบมาตรฐาน</t>
  </si>
  <si>
    <t xml:space="preserve">ROPA-05-BE</t>
  </si>
  <si>
    <t xml:space="preserve">[Go] สร้างกิจกรรมเปล่าหรือเลือกจากคลัง RTG</t>
  </si>
  <si>
    <t xml:space="preserve">ROPA-05-FE</t>
  </si>
  <si>
    <t xml:space="preserve">[Next.js] ปุ่มสร้างแบบเปล่า / จาก template</t>
  </si>
  <si>
    <t xml:space="preserve">ROPA-05-QA</t>
  </si>
  <si>
    <t xml:space="preserve">test case + automated test: สร้างจาก template แล้วได้ค่าตั้งต้นครบทุกหัวข้อ</t>
  </si>
  <si>
    <t xml:space="preserve">ROPA-05-BE, ROPA-05-FE</t>
  </si>
  <si>
    <t xml:space="preserve">ROPA-06-SA</t>
  </si>
  <si>
    <t xml:space="preserve">วิเคราะห์ business rules, ERD และ OpenAPI spec: ฐานกฎหมายต่อวัตถุประสงค์</t>
  </si>
  <si>
    <t xml:space="preserve">ROPA-06-BE</t>
  </si>
  <si>
    <t xml:space="preserve">[Go] ฐาน ม.24/26 ต่อวัตถุประสงค์; ถ้าเป็นฐานความยินยอม → ผูก Purpose ใน CON และแสดงสถิติความยินยอม</t>
  </si>
  <si>
    <t xml:space="preserve">ROPA-06-FE</t>
  </si>
  <si>
    <t xml:space="preserve">[Next.js] เลือกฐานต่อวัตถุประสงค์ + ลิงก์ Purpose</t>
  </si>
  <si>
    <t xml:space="preserve">ROPA-06-QA</t>
  </si>
  <si>
    <t xml:space="preserve">test case + automated test: วัตถุประสงค์ที่ใช้ฐานความยินยอมต้องผูก Purpose ก่อนบันทึก</t>
  </si>
  <si>
    <t xml:space="preserve">ROPA-06-BE, ROPA-06-FE</t>
  </si>
  <si>
    <t xml:space="preserve">ROPA-07-SA</t>
  </si>
  <si>
    <t xml:space="preserve">วิเคราะห์ business rules, ERD และ OpenAPI spec: ระยะเวลาเก็บรักษาและวิธีทำลาย</t>
  </si>
  <si>
    <t xml:space="preserve">ROPA-07-BE</t>
  </si>
  <si>
    <t xml:space="preserve">[Go] ระยะเวลาเก็บ + เหตุผล / กฎหมายอ้างอิง + วิธีทำลาย ต่อข้อมูล/กิจกรรม; ส่งต่อ DPX-05</t>
  </si>
  <si>
    <t xml:space="preserve">ROPA-07-FE</t>
  </si>
  <si>
    <t xml:space="preserve">[Next.js] ส่วนระยะเวลาเก็บในฟอร์มกิจกรรม</t>
  </si>
  <si>
    <t xml:space="preserve">ROPA-07-QA</t>
  </si>
  <si>
    <t xml:space="preserve">test case + automated test: ทุกกิจกรรมมีระยะเวลาเก็บและวิธีทำลาย</t>
  </si>
  <si>
    <t xml:space="preserve">ROPA-07-BE, ROPA-07-FE</t>
  </si>
  <si>
    <t xml:space="preserve">ROPA-08-SA</t>
  </si>
  <si>
    <t xml:space="preserve">วิเคราะห์ business rules, ERD และ OpenAPI spec: ผู้รับข้อมูลและการโอนต่างประเทศ</t>
  </si>
  <si>
    <t xml:space="preserve">ROPA-08-BE</t>
  </si>
  <si>
    <t xml:space="preserve">[Go] ผู้รับ (จาก ORG-06), การเปิดเผยที่ยกเว้นความยินยอม (ม.27), การโอนต่างประเทศ + ฐานการโอน ม.28/29</t>
  </si>
  <si>
    <t xml:space="preserve">ROPA-08-FE</t>
  </si>
  <si>
    <t xml:space="preserve">[Next.js] ส่วนผู้รับและการโอนในฟอร์ม</t>
  </si>
  <si>
    <t xml:space="preserve">ROPA-08-QA</t>
  </si>
  <si>
    <t xml:space="preserve">test case + automated test: การโอนที่ไม่มีฐานการโอนถูกเตือน</t>
  </si>
  <si>
    <t xml:space="preserve">ROPA-08-BE, ROPA-08-FE</t>
  </si>
  <si>
    <t xml:space="preserve">ROPA-09-SA</t>
  </si>
  <si>
    <t xml:space="preserve">วิเคราะห์ business rules, ERD และ OpenAPI spec: มาตรการความปลอดภัยต่อกิจกรรม</t>
  </si>
  <si>
    <t xml:space="preserve">ROPA-09-BE</t>
  </si>
  <si>
    <t xml:space="preserve">[Go] เลือกมาตรการจากคลัง control / ผลประเมิน DPO-09 + คำอธิบาย</t>
  </si>
  <si>
    <t xml:space="preserve">ROPA-09-FE</t>
  </si>
  <si>
    <t xml:space="preserve">[Next.js] ส่วนมาตรการความปลอดภัยในฟอร์ม</t>
  </si>
  <si>
    <t xml:space="preserve">ROPA-09-QA</t>
  </si>
  <si>
    <t xml:space="preserve">test case + automated test: ทุกกิจกรรมอ้างอิงมาตรการตาม ม.37(1)</t>
  </si>
  <si>
    <t xml:space="preserve">ROPA-09-BE, ROPA-09-FE</t>
  </si>
  <si>
    <t xml:space="preserve">ROPA-10-SA</t>
  </si>
  <si>
    <t xml:space="preserve">วิเคราะห์ business rules, ERD และ OpenAPI spec: บันทึกการปฏิเสธคำขอใช้สิทธิ</t>
  </si>
  <si>
    <t xml:space="preserve">ROPA-10-BE</t>
  </si>
  <si>
    <t xml:space="preserve">[Go] event dsar.rejected → ผูกกับกิจกรรมที่เกี่ยวข้อง แสดงในหัวข้อ ม.39(7) และในรายงาน</t>
  </si>
  <si>
    <t xml:space="preserve">ROPA-10-FE</t>
  </si>
  <si>
    <t xml:space="preserve">[Next.js] แท็บการปฏิเสธคำขอในหน้ากิจกรรม</t>
  </si>
  <si>
    <t xml:space="preserve">ROPA-10-QA</t>
  </si>
  <si>
    <t xml:space="preserve">test case + automated test: คำขอที่ถูกปฏิเสธปรากฏใน RoPA ของกิจกรรมที่เกี่ยวข้องอัตโนมัติ</t>
  </si>
  <si>
    <t xml:space="preserve">ROPA-10-BE, ROPA-10-FE</t>
  </si>
  <si>
    <t xml:space="preserve">ROPA-13-SA</t>
  </si>
  <si>
    <t xml:space="preserve">ROPA-13-BE</t>
  </si>
  <si>
    <t xml:space="preserve">[Go] เวอร์ชัน + diff + อนุมัติโดย DPO</t>
  </si>
  <si>
    <t xml:space="preserve">ROPA-13-FE</t>
  </si>
  <si>
    <t xml:space="preserve">[Next.js] หน้าประวัติเวอร์ชัน + ปุ่มส่งอนุมัติ</t>
  </si>
  <si>
    <t xml:space="preserve">ROPA-13-QA</t>
  </si>
  <si>
    <t xml:space="preserve">test case + automated test: กิจกรรมที่อนุมัติแล้วแก้ได้ผ่านเวอร์ชันใหม่เท่านั้น</t>
  </si>
  <si>
    <t xml:space="preserve">ROPA-13-BE, ROPA-13-FE</t>
  </si>
  <si>
    <t xml:space="preserve">ROPA-16-SA</t>
  </si>
  <si>
    <t xml:space="preserve">วิเคราะห์ business rules, ERD และ OpenAPI spec: ออกรายงาน RoPA</t>
  </si>
  <si>
    <t xml:space="preserve">ROPA-16-BE</t>
  </si>
  <si>
    <t xml:space="preserve">[Go] export Excel / PDF / CSV ครบ 8 หัวข้อ ม.39 (layout แบบที่ใช้ในไทย), เลือกบริษัท / แผนก, รูปแบบผู้ประมวลผลแยก</t>
  </si>
  <si>
    <t xml:space="preserve">ROPA-16-FE</t>
  </si>
  <si>
    <t xml:space="preserve">[Next.js] ปุ่มส่งออก + เลือกขอบเขต</t>
  </si>
  <si>
    <t xml:space="preserve">ROPA-16-QA</t>
  </si>
  <si>
    <t xml:space="preserve">test case + automated test: ไฟล์ที่ส่งออกพร้อมส่ง สคส. เมื่อร้องขอ</t>
  </si>
  <si>
    <t xml:space="preserve">ROPA-16-BE, ROPA-16-FE</t>
  </si>
  <si>
    <t xml:space="preserve">ROPA-18-SA</t>
  </si>
  <si>
    <t xml:space="preserve">วิเคราะห์ business rules, ERD และ OpenAPI spec: นำเข้า RoPA จาก Excel เดิม</t>
  </si>
  <si>
    <t xml:space="preserve">ROPA-18-BE</t>
  </si>
  <si>
    <t xml:space="preserve">[Go] template Excel ภาษาไทย, map คอลัมน์ ↔ ฟิลด์ RoPA, จับคู่ master data แบบ fuzzy, รายงานแถวที่ไม่ครบ</t>
  </si>
  <si>
    <t xml:space="preserve">ROPA-18-FE</t>
  </si>
  <si>
    <t xml:space="preserve">[Next.js] wizard นำเข้า RoPA</t>
  </si>
  <si>
    <t xml:space="preserve">ROPA-18-QA</t>
  </si>
  <si>
    <t xml:space="preserve">test case + automated test: นำเข้า RoPA 500 กิจกรรมจาก Excel ได้ และรายงานรายการที่ต้องแก้</t>
  </si>
  <si>
    <t xml:space="preserve">ROPA-18-BE, ROPA-18-FE</t>
  </si>
  <si>
    <t xml:space="preserve">ROPA-11-SA</t>
  </si>
  <si>
    <t xml:space="preserve">วิเคราะห์ business rules, ERD และ OpenAPI spec: แบบสอบถามเก็บข้อมูลจากหน่วยงาน</t>
  </si>
  <si>
    <t xml:space="preserve">ROPA-11-BE</t>
  </si>
  <si>
    <t xml:space="preserve">[Go] ส่งแบบสอบถาม (PLT-06) ให้แผนก, map คำตอบ → ฟิลด์ RoPA, DPO อนุมัติก่อนบันทึก</t>
  </si>
  <si>
    <t xml:space="preserve">ROPA-11-FE</t>
  </si>
  <si>
    <t xml:space="preserve">[Next.js] หน้าส่งแบบสอบถามและติดตามผู้ตอบ</t>
  </si>
  <si>
    <t xml:space="preserve">ROPA-11-QA</t>
  </si>
  <si>
    <t xml:space="preserve">test case + automated test: คำตอบที่อนุมัติแล้วเข้า RoPA อัตโนมัติ</t>
  </si>
  <si>
    <t xml:space="preserve">ROPA-11-BE, ROPA-11-FE</t>
  </si>
  <si>
    <t xml:space="preserve">ROPA-12-SA</t>
  </si>
  <si>
    <t xml:space="preserve">วิเคราะห์ business rules, ERD และ OpenAPI spec: ถาม-ตอบกับ DPO หรือที่ปรึกษา</t>
  </si>
  <si>
    <t xml:space="preserve">ROPA-12-BE</t>
  </si>
  <si>
    <t xml:space="preserve">[Go] ใช้ comment / mention กลาง + สถานะคำถาม (เปิด / ตอบแล้ว)</t>
  </si>
  <si>
    <t xml:space="preserve">ROPA-12-FE</t>
  </si>
  <si>
    <t xml:space="preserve">[Next.js] แท็บถาม-ตอบในหน้ากิจกรรม</t>
  </si>
  <si>
    <t xml:space="preserve">ROPA-12-QA</t>
  </si>
  <si>
    <t xml:space="preserve">test case + automated test: คำถามที่ยังไม่ตอบแสดงในรายการงานของผู้รับ</t>
  </si>
  <si>
    <t xml:space="preserve">ROPA-12-BE, ROPA-12-FE</t>
  </si>
  <si>
    <t xml:space="preserve">ROPA-14-SA</t>
  </si>
  <si>
    <t xml:space="preserve">วิเคราะห์ business rules, ERD และ OpenAPI spec: วงจรชีวิตของกิจกรรม</t>
  </si>
  <si>
    <t xml:space="preserve">ROPA-14-BE</t>
  </si>
  <si>
    <t xml:space="preserve">[Go] สถานะ ร่าง → ใช้งาน → สิ้นสุด, ปิดโดยเก็บประวัติและเหตุผล</t>
  </si>
  <si>
    <t xml:space="preserve">ROPA-14-FE</t>
  </si>
  <si>
    <t xml:space="preserve">[Next.js] ปุ่มเปลี่ยนสถานะ + ตัวกรอง</t>
  </si>
  <si>
    <t xml:space="preserve">ROPA-14-QA</t>
  </si>
  <si>
    <t xml:space="preserve">test case + automated test: กิจกรรมที่สิ้นสุดไม่ปรากฏในรายงานปัจจุบันแต่ค้นย้อนหลังได้</t>
  </si>
  <si>
    <t xml:space="preserve">ROPA-14-BE, ROPA-14-FE</t>
  </si>
  <si>
    <t xml:space="preserve">ROPA-15-SA</t>
  </si>
  <si>
    <t xml:space="preserve">วิเคราะห์ business rules, ERD และ OpenAPI spec: แจ้งเตือนทบทวน RoPA ตามรอบ</t>
  </si>
  <si>
    <t xml:space="preserve">ROPA-15-BE</t>
  </si>
  <si>
    <t xml:space="preserve">[Go] รอบทบทวนต่อกิจกรรม, River cron แจ้งเจ้าของ</t>
  </si>
  <si>
    <t xml:space="preserve">ROPA-15-FE</t>
  </si>
  <si>
    <t xml:space="preserve">[Next.js] ตั้งรอบทบทวนในหน้ากิจกรรม</t>
  </si>
  <si>
    <t xml:space="preserve">ROPA-15-QA</t>
  </si>
  <si>
    <t xml:space="preserve">test case + automated test: เจ้าของกิจกรรมได้รับงานทบทวนตามรอบ</t>
  </si>
  <si>
    <t xml:space="preserve">ROPA-15-BE, ROPA-15-FE</t>
  </si>
  <si>
    <t xml:space="preserve">ROPA-17-SA</t>
  </si>
  <si>
    <t xml:space="preserve">วิเคราะห์ business rules, ERD และ OpenAPI spec: แดชบอร์ด RoPA</t>
  </si>
  <si>
    <t xml:space="preserve">ROPA-17-UX</t>
  </si>
  <si>
    <t xml:space="preserve">ออกแบบหน้าจอและ prototype: แดชบอร์ด RoPA</t>
  </si>
  <si>
    <t xml:space="preserve">ROPA-17-BE</t>
  </si>
  <si>
    <t xml:space="preserve">[Go] API สถิติกิจกรรม / สถานะ / ฐาน / ข้อมูลอ่อนไหว ตามหน่วยงาน</t>
  </si>
  <si>
    <t xml:space="preserve">ROPA-17-FE</t>
  </si>
  <si>
    <t xml:space="preserve">[Next.js] dashboard RoPA</t>
  </si>
  <si>
    <t xml:space="preserve">ROPA-17-QA</t>
  </si>
  <si>
    <t xml:space="preserve">test case + automated test: ตัวเลขใน dashboard ตรงกับทะเบียน</t>
  </si>
  <si>
    <t xml:space="preserve">ROPA-17-BE, ROPA-17-FE</t>
  </si>
  <si>
    <t xml:space="preserve">ROPA-19-SA</t>
  </si>
  <si>
    <t xml:space="preserve">วิเคราะห์ business rules, ERD และ OpenAPI spec: เชื่อม RoPA กับโมดูลอื่น</t>
  </si>
  <si>
    <t xml:space="preserve">ROPA-19-BE</t>
  </si>
  <si>
    <t xml:space="preserve">[Go] event ropa.updated → งานทบทวนใน Notice / DPIA / Data Flow / Purpose ที่เกี่ยวข้อง</t>
  </si>
  <si>
    <t xml:space="preserve">ROPA-19-FE</t>
  </si>
  <si>
    <t xml:space="preserve">[Next.js] แท็บความเชื่อมโยงในหน้ากิจกรรม</t>
  </si>
  <si>
    <t xml:space="preserve">ROPA-19-QA</t>
  </si>
  <si>
    <t xml:space="preserve">test case + automated test: แก้ RoPA แล้วเจ้าของเอกสารที่เกี่ยวข้องได้รับงานทบทวน</t>
  </si>
  <si>
    <t xml:space="preserve">ROPA-19-BE, ROPA-19-FE</t>
  </si>
  <si>
    <t xml:space="preserve">ROPA-20-SA</t>
  </si>
  <si>
    <t xml:space="preserve">วิเคราะห์ business rules, ERD และ OpenAPI spec: ตรวจสิทธิ์ยกเว้นกิจการขนาดเล็ก</t>
  </si>
  <si>
    <t xml:space="preserve">ROPA-20-BE</t>
  </si>
  <si>
    <t xml:space="preserve">[Go] แบบประเมินตามประกาศยกเว้นกิจการขนาดเล็ก 2565 / 2567 (PLT-06) + ผลและเหตุผล</t>
  </si>
  <si>
    <t xml:space="preserve">ROPA-20-FE</t>
  </si>
  <si>
    <t xml:space="preserve">[Next.js] wizard ตรวจสิทธิ์ยกเว้น</t>
  </si>
  <si>
    <t xml:space="preserve">ROPA-20-QA</t>
  </si>
  <si>
    <t xml:space="preserve">test case + automated test: ผลประเมินระบุว่าได้รับยกเว้นหรือไม่พร้อมเหตุผลอ้างประกาศ</t>
  </si>
  <si>
    <t xml:space="preserve">ROPA-20-BE, ROPA-20-FE</t>
  </si>
  <si>
    <t xml:space="preserve">RTG-01-SA</t>
  </si>
  <si>
    <t xml:space="preserve">วิเคราะห์ business rules, ERD และ OpenAPI spec: คลังกิจกรรมมาตรฐานตามหมวดงาน</t>
  </si>
  <si>
    <t xml:space="preserve">RTG-01-UX</t>
  </si>
  <si>
    <t xml:space="preserve">ออกแบบหน้าจอและ prototype: คลังกิจกรรมมาตรฐานตามหมวดงาน</t>
  </si>
  <si>
    <t xml:space="preserve">RTG-01-BE</t>
  </si>
  <si>
    <t xml:space="preserve">[Go] คลังกิจกรรมมาตรฐาน (reference data ระดับแพลตฟอร์ม มีเวอร์ชัน) + ค่าตั้งต้นครบ ม.39</t>
  </si>
  <si>
    <t xml:space="preserve">RTG-01-FE</t>
  </si>
  <si>
    <t xml:space="preserve">[Next.js] หน้าเลือกหมวดงาน / กิจกรรม + ดูค่าตั้งต้น</t>
  </si>
  <si>
    <t xml:space="preserve">RTG-01-QA</t>
  </si>
  <si>
    <t xml:space="preserve">test case + automated test: มีกิจกรรมมาตรฐานอย่างน้อย 50 รายการใน P1 ครบทุกหัวข้อ ม.39</t>
  </si>
  <si>
    <t xml:space="preserve">RTG-01-BE, RTG-01-FE</t>
  </si>
  <si>
    <t xml:space="preserve">RTG-04-SA</t>
  </si>
  <si>
    <t xml:space="preserve">วิเคราะห์ business rules, ERD และ OpenAPI spec: สร้าง RoPA จาก template ในไม่กี่ขั้นตอน</t>
  </si>
  <si>
    <t xml:space="preserve">RTG-04-UX</t>
  </si>
  <si>
    <t xml:space="preserve">ออกแบบหน้าจอและ prototype: สร้าง RoPA จาก template ในไม่กี่ขั้นตอน</t>
  </si>
  <si>
    <t xml:space="preserve">RTG-04-BE</t>
  </si>
  <si>
    <t xml:space="preserve">[Go] เลือกหมวด → กิจกรรม → แผนก → สร้างร่าง RoPA หลายรายการพร้อมกัน (clone ค่าตั้งต้น + ผูก master data ของ tenant)</t>
  </si>
  <si>
    <t xml:space="preserve">RTG-04-FE</t>
  </si>
  <si>
    <t xml:space="preserve">[Next.js] wizard 3 ขั้นตอน + สรุปก่อนสร้าง</t>
  </si>
  <si>
    <t xml:space="preserve">RTG-04-QA</t>
  </si>
  <si>
    <t xml:space="preserve">test case + automated test: สร้างร่าง RoPA 20 กิจกรรมได้ในครั้งเดียว</t>
  </si>
  <si>
    <t xml:space="preserve">RTG-04-BE, RTG-04-FE</t>
  </si>
  <si>
    <t xml:space="preserve">RTG-05-SA</t>
  </si>
  <si>
    <t xml:space="preserve">วิเคราะห์ business rules, ERD และ OpenAPI spec: Wizard ถาม-ตอบภาษาง่าย</t>
  </si>
  <si>
    <t xml:space="preserve">RTG-05-UX</t>
  </si>
  <si>
    <t xml:space="preserve">ออกแบบหน้าจอและ prototype: Wizard ถาม-ตอบภาษาง่าย</t>
  </si>
  <si>
    <t xml:space="preserve">RTG-05-BE</t>
  </si>
  <si>
    <t xml:space="preserve">[Go] คำถามภาษาง่าย → map เป็นฟิลด์ RoPA (rule mapping), สรุปก่อนบันทึก</t>
  </si>
  <si>
    <t xml:space="preserve">RTG-05-FE</t>
  </si>
  <si>
    <t xml:space="preserve">[Next.js] wizard ถาม-ตอบทีละขั้น + preview RoPA</t>
  </si>
  <si>
    <t xml:space="preserve">RTG-05-QA</t>
  </si>
  <si>
    <t xml:space="preserve">test case + automated test: ผู้ใช้ทั่วไปสร้าง RoPA ครบหัวข้อได้โดยไม่ต้องรู้ศัพท์กฎหมาย</t>
  </si>
  <si>
    <t xml:space="preserve">RTG-05-BE, RTG-05-FE</t>
  </si>
  <si>
    <t xml:space="preserve">RTG-06-SA</t>
  </si>
  <si>
    <t xml:space="preserve">วิเคราะห์ business rules, ERD และ OpenAPI spec: ค่าแนะนำพร้อมเหตุผล</t>
  </si>
  <si>
    <t xml:space="preserve">RTG-06-BE</t>
  </si>
  <si>
    <t xml:space="preserve">[Go] rule แนะนำฐานกฎหมาย / ระยะเวลาเก็บ / ประเภทข้อมูลจากกิจกรรม + คำอธิบายอ้างมาตรา; ผู้ใช้ยืนยันทีละข้อ</t>
  </si>
  <si>
    <t xml:space="preserve">RTG-06-FE</t>
  </si>
  <si>
    <t xml:space="preserve">[Next.js] ป้ายค่าแนะนำ + เหตุผล + ปุ่มยืนยัน</t>
  </si>
  <si>
    <t xml:space="preserve">RTG-06-QA</t>
  </si>
  <si>
    <t xml:space="preserve">test case + automated test: ค่าแนะนำทุกข้อมีเหตุผลอ้างมาตรา และไม่ถูกบันทึกจนกว่าผู้ใช้ยืนยัน</t>
  </si>
  <si>
    <t xml:space="preserve">RTG-06-BE, RTG-06-FE</t>
  </si>
  <si>
    <t xml:space="preserve">RTG-12-SA</t>
  </si>
  <si>
    <t xml:space="preserve">วิเคราะห์ business rules, ERD และ OpenAPI spec: ส่งออก template และร่าง RoPA</t>
  </si>
  <si>
    <t xml:space="preserve">RTG-12-BE</t>
  </si>
  <si>
    <t xml:space="preserve">[Go] export template และร่าง RoPA เป็น Excel / Word ตามแบบฟอร์มมาตรฐาน</t>
  </si>
  <si>
    <t xml:space="preserve">RTG-12-FE</t>
  </si>
  <si>
    <t xml:space="preserve">[Next.js] ปุ่มส่งออก</t>
  </si>
  <si>
    <t xml:space="preserve">RTG-12-QA</t>
  </si>
  <si>
    <t xml:space="preserve">test case + automated test: ไฟล์ส่งออกเปิดได้ทั้ง Excel และ Word</t>
  </si>
  <si>
    <t xml:space="preserve">RTG-12-BE, RTG-12-FE</t>
  </si>
  <si>
    <t xml:space="preserve">RTG-02-SA</t>
  </si>
  <si>
    <t xml:space="preserve">วิเคราะห์ business rules, ERD และ OpenAPI spec: Template ตามอุตสาหกรรม</t>
  </si>
  <si>
    <t xml:space="preserve">RTG-02-BE</t>
  </si>
  <si>
    <t xml:space="preserve">[Go] ชุดกิจกรรมตามอุตสาหกรรม (เนื้อหาจาก T40)</t>
  </si>
  <si>
    <t xml:space="preserve">RTG-02-FE</t>
  </si>
  <si>
    <t xml:space="preserve">[Next.js] ตัวกรองตามอุตสาหกรรม</t>
  </si>
  <si>
    <t xml:space="preserve">RTG-02-QA</t>
  </si>
  <si>
    <t xml:space="preserve">test case + automated test: มีชุดกิจกรรมครบ 6 อุตสาหกรรม</t>
  </si>
  <si>
    <t xml:space="preserve">RTG-02-BE, RTG-02-FE</t>
  </si>
  <si>
    <t xml:space="preserve">RTG-03-SA</t>
  </si>
  <si>
    <t xml:space="preserve">วิเคราะห์ business rules, ERD และ OpenAPI spec: Template ภาครัฐตามแม่แบบ สพร.</t>
  </si>
  <si>
    <t xml:space="preserve">RTG-03-BE</t>
  </si>
  <si>
    <t xml:space="preserve">[Go] ชุด template ตามแม่แบบผู้ควบคุมข้อมูลภาครัฐของ สพร.</t>
  </si>
  <si>
    <t xml:space="preserve">RTG-03-FE</t>
  </si>
  <si>
    <t xml:space="preserve">[Next.js] ตัวกรองภาครัฐ</t>
  </si>
  <si>
    <t xml:space="preserve">RTG-03-QA</t>
  </si>
  <si>
    <t xml:space="preserve">test case + automated test: RoPA ที่สร้างมีหัวข้อตามแม่แบบ สพร.</t>
  </si>
  <si>
    <t xml:space="preserve">RTG-03-BE, RTG-03-FE</t>
  </si>
  <si>
    <t xml:space="preserve">RTG-07-SA</t>
  </si>
  <si>
    <t xml:space="preserve">วิเคราะห์ business rules, ERD และ OpenAPI spec: สร้าง RoPA ผู้ประมวลผลจาก template</t>
  </si>
  <si>
    <t xml:space="preserve">RTG-07-BE</t>
  </si>
  <si>
    <t xml:space="preserve">[Go] template สำหรับองค์กรที่เป็นผู้ประมวลผล</t>
  </si>
  <si>
    <t xml:space="preserve">RTG-07-FE</t>
  </si>
  <si>
    <t xml:space="preserve">[Next.js] ตัวกรอง template ผู้ประมวลผล</t>
  </si>
  <si>
    <t xml:space="preserve">RTG-07-QA</t>
  </si>
  <si>
    <t xml:space="preserve">test case + automated test: สร้าง RoPA ผู้ประมวลผลจาก template ได้</t>
  </si>
  <si>
    <t xml:space="preserve">RTG-07-BE, RTG-07-FE</t>
  </si>
  <si>
    <t xml:space="preserve">RTG-08-SA</t>
  </si>
  <si>
    <t xml:space="preserve">วิเคราะห์ business rules, ERD และ OpenAPI spec: แก้ไขและสร้าง template ขององค์กร</t>
  </si>
  <si>
    <t xml:space="preserve">RTG-08-BE</t>
  </si>
  <si>
    <t xml:space="preserve">[Go] clone template กลาง → template ของกลุ่มบริษัท, publish ให้บริษัทในเครือ</t>
  </si>
  <si>
    <t xml:space="preserve">RTG-08-FE</t>
  </si>
  <si>
    <t xml:space="preserve">[Next.js] หน้าแก้ไข template ขององค์กร</t>
  </si>
  <si>
    <t xml:space="preserve">RTG-08-QA</t>
  </si>
  <si>
    <t xml:space="preserve">test case + automated test: บริษัทในเครือใช้ template มาตรฐานของกลุ่มได้</t>
  </si>
  <si>
    <t xml:space="preserve">RTG-08-BE, RTG-08-FE</t>
  </si>
  <si>
    <t xml:space="preserve">RTG-09-SA</t>
  </si>
  <si>
    <t xml:space="preserve">วิเคราะห์ business rules, ERD และ OpenAPI spec: Template สองภาษา</t>
  </si>
  <si>
    <t xml:space="preserve">RTG-09-BE</t>
  </si>
  <si>
    <t xml:space="preserve">[Go] เนื้อหา template TH/EN ครบทุกรายการ</t>
  </si>
  <si>
    <t xml:space="preserve">RTG-09-FE</t>
  </si>
  <si>
    <t xml:space="preserve">[Next.js] สลับภาษาในหน้า template</t>
  </si>
  <si>
    <t xml:space="preserve">RTG-09-QA</t>
  </si>
  <si>
    <t xml:space="preserve">test case + automated test: ทุก template มีทั้ง TH และ EN</t>
  </si>
  <si>
    <t xml:space="preserve">RTG-09-BE, RTG-09-FE</t>
  </si>
  <si>
    <t xml:space="preserve">RTG-10-SA</t>
  </si>
  <si>
    <t xml:space="preserve">วิเคราะห์ business rules, ERD และ OpenAPI spec: เวอร์ชัน template และแจ้งเมื่อกฎหมายเปลี่ยน</t>
  </si>
  <si>
    <t xml:space="preserve">RTG-10-BE</t>
  </si>
  <si>
    <t xml:space="preserve">[Go] เวอร์ชัน template; ออกเวอร์ชันใหม่แล้วหา RoPA ที่สร้างจากเวอร์ชันเก่าและสร้างงานทบทวน</t>
  </si>
  <si>
    <t xml:space="preserve">RTG-10-FE</t>
  </si>
  <si>
    <t xml:space="preserve">[Next.js] หน้าประวัติ template + รายการที่ต้องทบทวน</t>
  </si>
  <si>
    <t xml:space="preserve">RTG-10-QA</t>
  </si>
  <si>
    <t xml:space="preserve">test case + automated test: ประกาศ สคส. ใหม่ → กิจกรรมที่ได้รับผลกระทบได้รับงานทบทวน</t>
  </si>
  <si>
    <t xml:space="preserve">RTG-10-BE, RTG-10-FE</t>
  </si>
  <si>
    <t xml:space="preserve">RTG-11-SA</t>
  </si>
  <si>
    <t xml:space="preserve">วิเคราะห์ business rules, ERD และ OpenAPI spec: มอบหมายร่าง RoPA ให้หน่วยงานยืนยัน</t>
  </si>
  <si>
    <t xml:space="preserve">RTG-11-BE</t>
  </si>
  <si>
    <t xml:space="preserve">[Go] สร้างงานให้แผนกเจ้าของยืนยันร่างอัตโนมัติ + SLA</t>
  </si>
  <si>
    <t xml:space="preserve">RTG-11-FE</t>
  </si>
  <si>
    <t xml:space="preserve">[Next.js] กล่องงานยืนยันร่างของแผนก</t>
  </si>
  <si>
    <t xml:space="preserve">RTG-11-QA</t>
  </si>
  <si>
    <t xml:space="preserve">test case + automated test: ร่างที่ยังไม่ยืนยันถูกเตือนตาม SLA</t>
  </si>
  <si>
    <t xml:space="preserve">RTG-11-BE, RTG-11-FE</t>
  </si>
  <si>
    <t xml:space="preserve">RTG-13-SA</t>
  </si>
  <si>
    <t xml:space="preserve">วิเคราะห์ business rules, ERD และ OpenAPI spec: AI แนะนำกิจกรรมจากคำอธิบายงาน</t>
  </si>
  <si>
    <t xml:space="preserve">RTG-13-BE</t>
  </si>
  <si>
    <t xml:space="preserve">[Go] AI วิเคราะห์คำอธิบายงาน / เอกสาร → แนะนำกิจกรรมจากคลังและฟิลด์ที่ควรมี</t>
  </si>
  <si>
    <t xml:space="preserve">RTG-13-FE</t>
  </si>
  <si>
    <t xml:space="preserve">[Next.js] ช่องใส่คำอธิบายงาน + รายการคำแนะนำให้ยืนยัน</t>
  </si>
  <si>
    <t xml:space="preserve">RTG-13-QA</t>
  </si>
  <si>
    <t xml:space="preserve">test case + automated test: คำแนะนำทุกข้อต้องมีคนยืนยันก่อนสร้างกิจกรรม</t>
  </si>
  <si>
    <t xml:space="preserve">RTG-13-BE, RTG-13-FE</t>
  </si>
  <si>
    <t xml:space="preserve">DFG-01-SA</t>
  </si>
  <si>
    <t xml:space="preserve">วิเคราะห์ business rules, ERD และ OpenAPI spec: สร้างแผนผังอัตโนมัติจาก RoPA</t>
  </si>
  <si>
    <t xml:space="preserve">DFG-01-UX</t>
  </si>
  <si>
    <t xml:space="preserve">ออกแบบหน้าจอและ prototype: สร้างแผนผังอัตโนมัติจาก RoPA</t>
  </si>
  <si>
    <t xml:space="preserve">DFG-01-BE</t>
  </si>
  <si>
    <t xml:space="preserve">[Go] graph API: node (แหล่ง / ระบบ / หน่วยงาน / ผู้รับ / ประเทศ) และ edge (เก็บ / ใช้ / ส่ง / โอน / ทำลาย) สร้างจาก RoPA</t>
  </si>
  <si>
    <t xml:space="preserve">DFG-01-FE</t>
  </si>
  <si>
    <t xml:space="preserve">[Next.js] React Flow + ELK auto-layout แยก swimlane ตามหน่วยงาน, legend, zoom / filter</t>
  </si>
  <si>
    <t xml:space="preserve">DFG-01-QA</t>
  </si>
  <si>
    <t xml:space="preserve">test case + automated test: แผนผังของ 50 กิจกรรมแสดงภายใน 3 วินาทีและตรงกับข้อมูล RoPA</t>
  </si>
  <si>
    <t xml:space="preserve">DFG-01-BE, DFG-01-FE</t>
  </si>
  <si>
    <t xml:space="preserve">DFG-02-SA</t>
  </si>
  <si>
    <t xml:space="preserve">วิเคราะห์ business rules, ERD และ OpenAPI spec: อัปเดตแผนผังเมื่อข้อมูลเปลี่ยน</t>
  </si>
  <si>
    <t xml:space="preserve">DFG-02-BE</t>
  </si>
  <si>
    <t xml:space="preserve">[Go] ฟัง event ropa.updated / masterdata.updated → rebuild graph เฉพาะส่วน, คงตำแหน่งที่ผู้ใช้จัดไว้</t>
  </si>
  <si>
    <t xml:space="preserve">DFG-02-FE</t>
  </si>
  <si>
    <t xml:space="preserve">[Next.js] ป้ายแจ้งว่าแผนผังอัปเดตแล้ว</t>
  </si>
  <si>
    <t xml:space="preserve">DFG-02-QA</t>
  </si>
  <si>
    <t xml:space="preserve">test case + automated test: แก้ RoPA แล้วแผนผังเปลี่ยนตามโดยไม่ต้องสร้างใหม่</t>
  </si>
  <si>
    <t xml:space="preserve">DFG-02-BE, DFG-02-FE</t>
  </si>
  <si>
    <t xml:space="preserve">DFG-03-SA</t>
  </si>
  <si>
    <t xml:space="preserve">วิเคราะห์ business rules, ERD และ OpenAPI spec: แสดงการโอนไปต่างประเทศ</t>
  </si>
  <si>
    <t xml:space="preserve">DFG-03-BE</t>
  </si>
  <si>
    <t xml:space="preserve">[Go] node ประเทศปลายทาง + ป้ายฐานการโอน, เตือนเส้นทางที่ไม่มีฐาน</t>
  </si>
  <si>
    <t xml:space="preserve">DFG-03-FE</t>
  </si>
  <si>
    <t xml:space="preserve">[Next.js] สัญลักษณ์การโอนต่างประเทศบนแผนผัง</t>
  </si>
  <si>
    <t xml:space="preserve">DFG-03-QA</t>
  </si>
  <si>
    <t xml:space="preserve">test case + automated test: เส้นทางโอนที่ไม่มีฐานการโอนแสดงเป็นสีเตือน</t>
  </si>
  <si>
    <t xml:space="preserve">DFG-03-BE, DFG-03-FE</t>
  </si>
  <si>
    <t xml:space="preserve">DFG-04-SA</t>
  </si>
  <si>
    <t xml:space="preserve">วิเคราะห์ business rules, ERD และ OpenAPI spec: แสดงผู้ประมวลผลและผู้รับข้อมูล</t>
  </si>
  <si>
    <t xml:space="preserve">DFG-04-BE</t>
  </si>
  <si>
    <t xml:space="preserve">[Go] node ผู้รับ + ลิงก์ DPA / DSA, เตือนผู้ประมวลผลที่ไม่มี DPA</t>
  </si>
  <si>
    <t xml:space="preserve">DFG-04-FE</t>
  </si>
  <si>
    <t xml:space="preserve">[Next.js] คลิก node เพื่อดูสัญญา</t>
  </si>
  <si>
    <t xml:space="preserve">DFG-04-QA</t>
  </si>
  <si>
    <t xml:space="preserve">test case + automated test: ผู้ประมวลผลที่ไม่มี DPA แสดงเตือนบนแผนผัง</t>
  </si>
  <si>
    <t xml:space="preserve">DFG-04-BE, DFG-04-FE</t>
  </si>
  <si>
    <t xml:space="preserve">DFG-08-SA</t>
  </si>
  <si>
    <t xml:space="preserve">วิเคราะห์ business rules, ERD และ OpenAPI spec: ส่งออกภาพและรายงาน</t>
  </si>
  <si>
    <t xml:space="preserve">DFG-08-BE</t>
  </si>
  <si>
    <t xml:space="preserve">[Go] export PNG / SVG / PDF กำหนดขนาดได้ (render ฝั่ง server ด้วย headless Chromium) + รายงานประกอบ</t>
  </si>
  <si>
    <t xml:space="preserve">DFG-08-FE</t>
  </si>
  <si>
    <t xml:space="preserve">[Next.js] ตัวเลือกขนาดและรูปแบบไฟล์</t>
  </si>
  <si>
    <t xml:space="preserve">DFG-08-QA</t>
  </si>
  <si>
    <t xml:space="preserve">test case + automated test: ภาพที่ส่งออกอ่านได้ชัดในขนาด A3</t>
  </si>
  <si>
    <t xml:space="preserve">DFG-08-BE, DFG-08-FE</t>
  </si>
  <si>
    <t xml:space="preserve">DFG-05-SA</t>
  </si>
  <si>
    <t xml:space="preserve">วิเคราะห์ business rules, ERD และ OpenAPI spec: แก้ไขแผนผังแบบลากวาง</t>
  </si>
  <si>
    <t xml:space="preserve">DFG-05-UX</t>
  </si>
  <si>
    <t xml:space="preserve">ออกแบบหน้าจอและ prototype: แก้ไขแผนผังแบบลากวาง</t>
  </si>
  <si>
    <t xml:space="preserve">DFG-05-BE</t>
  </si>
  <si>
    <t xml:space="preserve">[Go] บันทึก layout overlay (ตำแหน่ง / คำอธิบาย) ต่อเวอร์ชัน</t>
  </si>
  <si>
    <t xml:space="preserve">DFG-05-FE</t>
  </si>
  <si>
    <t xml:space="preserve">[Next.js] ลากวาง, เพิ่มคำอธิบาย, undo / redo, คืนค่าเดิม</t>
  </si>
  <si>
    <t xml:space="preserve">DFG-05-QA</t>
  </si>
  <si>
    <t xml:space="preserve">test case + automated test: ตำแหน่งที่จัดเองยังอยู่หลังข้อมูลอัปเดต</t>
  </si>
  <si>
    <t xml:space="preserve">DFG-05-BE, DFG-05-FE</t>
  </si>
  <si>
    <t xml:space="preserve">DFG-06-SA</t>
  </si>
  <si>
    <t xml:space="preserve">วิเคราะห์ business rules, ERD และ OpenAPI spec: มุมมองหลายระดับ</t>
  </si>
  <si>
    <t xml:space="preserve">DFG-06-BE</t>
  </si>
  <si>
    <t xml:space="preserve">[Go] query graph หลายมุม: รายแผนก / ระบบ / บริษัท / ประเภทข้อมูล</t>
  </si>
  <si>
    <t xml:space="preserve">DFG-06-FE</t>
  </si>
  <si>
    <t xml:space="preserve">[Next.js] ตัวเลือกมุมมอง</t>
  </si>
  <si>
    <t xml:space="preserve">DFG-06-QA</t>
  </si>
  <si>
    <t xml:space="preserve">test case + automated test: สลับมุมมองได้โดยข้อมูลตรงกัน</t>
  </si>
  <si>
    <t xml:space="preserve">DFG-06-BE, DFG-06-FE</t>
  </si>
  <si>
    <t xml:space="preserve">DFG-07-SA</t>
  </si>
  <si>
    <t xml:space="preserve">วิเคราะห์ business rules, ERD และ OpenAPI spec: เผยแพร่และประวัติเวอร์ชันแผนผัง</t>
  </si>
  <si>
    <t xml:space="preserve">DFG-07-BE</t>
  </si>
  <si>
    <t xml:space="preserve">[Go] snapshot แผนผังที่ publish + ประวัติ</t>
  </si>
  <si>
    <t xml:space="preserve">DFG-07-FE</t>
  </si>
  <si>
    <t xml:space="preserve">[Next.js] ปุ่ม publish + ดูเวอร์ชันเก่า</t>
  </si>
  <si>
    <t xml:space="preserve">DFG-07-QA</t>
  </si>
  <si>
    <t xml:space="preserve">test case + automated test: ดูแผนผังที่ publish ย้อนหลังได้</t>
  </si>
  <si>
    <t xml:space="preserve">DFG-07-BE, DFG-07-FE</t>
  </si>
  <si>
    <t xml:space="preserve">DFG-09-SA</t>
  </si>
  <si>
    <t xml:space="preserve">วิเคราะห์ business rules, ERD และ OpenAPI spec: ค้นหาข้อมูลส่วนบุคคลอัตโนมัติ (Data Discovery)</t>
  </si>
  <si>
    <t xml:space="preserve">DFG-09-UX</t>
  </si>
  <si>
    <t xml:space="preserve">ออกแบบหน้าจอและ prototype: ค้นหาข้อมูลส่วนบุคคลอัตโนมัติ (Data Discovery)</t>
  </si>
  <si>
    <t xml:space="preserve">DFG-09-BE</t>
  </si>
  <si>
    <t xml:space="preserve">[Go] discovery ผ่าน connector: sampling จาก DB / ไฟล์ / S3, classifier ข้อมูลไทย (เลขบัตร 13 หลัก + checksum, เบอร์ไทย, ชื่อ-สกุลไทยด้วยพจนานุกรม / ML), เก็บเฉพาะ metadata ไม่เก็บค่าจริง, เสนอเพิ่มในทะเบียน</t>
  </si>
  <si>
    <t xml:space="preserve">DFG-09-FE</t>
  </si>
  <si>
    <t xml:space="preserve">[Next.js] หน้าผลสแกน + ยืนยัน / ปฏิเสธข้อเสนอ</t>
  </si>
  <si>
    <t xml:space="preserve">DFG-09-QA</t>
  </si>
  <si>
    <t xml:space="preserve">test case + automated test: ตรวจจับเลขบัตรประชาชนในชุดทดสอบได้อย่างน้อย 95% และไม่มีค่าจริงถูกเก็บในระบบ</t>
  </si>
  <si>
    <t xml:space="preserve">DFG-09-BE, DFG-09-FE</t>
  </si>
  <si>
    <t xml:space="preserve">DFG-10-SA</t>
  </si>
  <si>
    <t xml:space="preserve">วิเคราะห์ business rules, ERD และ OpenAPI spec: แผนผังระดับระบบ (Data lineage)</t>
  </si>
  <si>
    <t xml:space="preserve">DFG-10-BE</t>
  </si>
  <si>
    <t xml:space="preserve">[Go] แผนผังระดับระบบจากทะเบียน asset และการเชื่อมต่อ</t>
  </si>
  <si>
    <t xml:space="preserve">DFG-10-FE</t>
  </si>
  <si>
    <t xml:space="preserve">[Next.js] มุมมอง lineage ระดับระบบ</t>
  </si>
  <si>
    <t xml:space="preserve">DFG-10-QA</t>
  </si>
  <si>
    <t xml:space="preserve">test case + automated test: แสดงการไหลระหว่างระบบตรงกับทะเบียน asset</t>
  </si>
  <si>
    <t xml:space="preserve">DFG-10-BE, DFG-10-FE</t>
  </si>
  <si>
    <t xml:space="preserve">DFG-11-SA</t>
  </si>
  <si>
    <t xml:space="preserve">วิเคราะห์ business rules, ERD และ OpenAPI spec: แผนที่โลกของการโอนข้อมูล</t>
  </si>
  <si>
    <t xml:space="preserve">DFG-11-BE</t>
  </si>
  <si>
    <t xml:space="preserve">[Go] ข้อมูลเส้นทางการโอนรายประเทศ</t>
  </si>
  <si>
    <t xml:space="preserve">DFG-11-FE</t>
  </si>
  <si>
    <t xml:space="preserve">[Next.js] แผนที่โลก (ECharts geo) แสดงเส้นทางการโอน</t>
  </si>
  <si>
    <t xml:space="preserve">DFG-11-QA</t>
  </si>
  <si>
    <t xml:space="preserve">test case + automated test: คลิกประเทศแล้วเห็นกิจกรรมที่โอนไปประเทศนั้น</t>
  </si>
  <si>
    <t xml:space="preserve">DFG-11-BE, DFG-11-FE</t>
  </si>
  <si>
    <t xml:space="preserve">DSAR-01-SA</t>
  </si>
  <si>
    <t xml:space="preserve">วิเคราะห์ business rules, ERD และ OpenAPI spec: แบบฟอร์มขอใช้สิทธิออนไลน์</t>
  </si>
  <si>
    <t xml:space="preserve">DSAR-01-UX</t>
  </si>
  <si>
    <t xml:space="preserve">ออกแบบหน้าจอและ prototype: แบบฟอร์มขอใช้สิทธิออนไลน์</t>
  </si>
  <si>
    <t xml:space="preserve">DSAR-01-BE</t>
  </si>
  <si>
    <t xml:space="preserve">[Go] ฟอร์มจาก PLT-06, เวอร์ชัน, เผยแพร่ลิงก์ / embed / QR, สร้างเลขที่คำขอและส่งให้ผู้ยื่นทางอีเมล / SMS ทันที</t>
  </si>
  <si>
    <t xml:space="preserve">DSAR-01-FE</t>
  </si>
  <si>
    <t xml:space="preserve">[Next.js] ฟอร์มใน portal + หน้าตั้งค่าฟอร์มใน admin</t>
  </si>
  <si>
    <t xml:space="preserve">DSAR-01-QA</t>
  </si>
  <si>
    <t xml:space="preserve">test case + automated test: ผู้ยื่นได้เลขที่คำขอทันทีหลังส่ง</t>
  </si>
  <si>
    <t xml:space="preserve">DSAR-01-BE, DSAR-01-FE</t>
  </si>
  <si>
    <t xml:space="preserve">DSAR-02-SA</t>
  </si>
  <si>
    <t xml:space="preserve">วิเคราะห์ business rules, ERD และ OpenAPI spec: รับคำขอหลายช่องทาง</t>
  </si>
  <si>
    <t xml:space="preserve">DSAR-02-BE</t>
  </si>
  <si>
    <t xml:space="preserve">[Go] เจ้าหน้าที่ลงคำขอแทน (ช่องทาง อีเมล / โทร / สาขา / จดหมาย / LINE) + แนบไฟล์, API รับคำขอจากแอป</t>
  </si>
  <si>
    <t xml:space="preserve">DSAR-02-FE</t>
  </si>
  <si>
    <t xml:space="preserve">[Next.js] หน้าเจ้าหน้าที่บันทึกคำขอ</t>
  </si>
  <si>
    <t xml:space="preserve">DSAR-02-QA</t>
  </si>
  <si>
    <t xml:space="preserve">test case + automated test: คำขอทุกช่องทางเข้าคิวเดียวกันและระบุช่องทางที่มา</t>
  </si>
  <si>
    <t xml:space="preserve">DSAR-02-BE, DSAR-02-FE</t>
  </si>
  <si>
    <t xml:space="preserve">DSAR-03-SA</t>
  </si>
  <si>
    <t xml:space="preserve">วิเคราะห์ business rules, ERD และ OpenAPI spec: ครอบคลุมสิทธิทุกประเภท</t>
  </si>
  <si>
    <t xml:space="preserve">DSAR-03-BE</t>
  </si>
  <si>
    <t xml:space="preserve">[Go] ประเภทคำขอตาม ม.19, 30-36 + ขั้นตอนเฉพาะของแต่ละสิทธิ (เช่น ขอสำเนาต้องแจ้งแหล่งที่มา)</t>
  </si>
  <si>
    <t xml:space="preserve">DSAR-03-FE</t>
  </si>
  <si>
    <t xml:space="preserve">[Next.js] ตัวเลือกประเภทสิทธิในฟอร์มและหน้าคำขอ</t>
  </si>
  <si>
    <t xml:space="preserve">DSAR-03-QA</t>
  </si>
  <si>
    <t xml:space="preserve">test case + automated test: ทุกประเภทสิทธิมี workflow และหนังสือตอบของตนเอง</t>
  </si>
  <si>
    <t xml:space="preserve">DSAR-03-BE, DSAR-03-FE</t>
  </si>
  <si>
    <t xml:space="preserve">DSAR-04-SA</t>
  </si>
  <si>
    <t xml:space="preserve">วิเคราะห์ business rules, ERD และ OpenAPI spec: ยื่นคำขอแทนเจ้าของข้อมูล</t>
  </si>
  <si>
    <t xml:space="preserve">DSAR-04-BE</t>
  </si>
  <si>
    <t xml:space="preserve">[Go] ผู้ยื่นแทน: ประเภทอำนาจ (ม.20), เอกสารมอบอำนาจ / เอกสารผู้ปกครอง, ยืนยันทั้งผู้ยื่นและเจ้าของข้อมูล</t>
  </si>
  <si>
    <t xml:space="preserve">DSAR-04-FE</t>
  </si>
  <si>
    <t xml:space="preserve">[Next.js] ส่วนผู้ยื่นแทนในฟอร์ม</t>
  </si>
  <si>
    <t xml:space="preserve">DSAR-04-QA</t>
  </si>
  <si>
    <t xml:space="preserve">test case + automated test: คำขอแทนต้องมีเอกสารยืนยันอำนาจก่อนดำเนินการ</t>
  </si>
  <si>
    <t xml:space="preserve">DSAR-04-BE, DSAR-04-FE</t>
  </si>
  <si>
    <t xml:space="preserve">DSAR-06-SA</t>
  </si>
  <si>
    <t xml:space="preserve">วิเคราะห์ business rules, ERD และ OpenAPI spec: ยืนยันตัวตนผู้ยื่นคำขอ</t>
  </si>
  <si>
    <t xml:space="preserve">DSAR-06-BE</t>
  </si>
  <si>
    <t xml:space="preserve">[Go] OTP (IAM-05), แนบสำเนาบัตรและปกปิดเลขอัตโนมัติ (หาเลข 13 หลักด้วย OCR แล้ว mask), ตรวจกับข้อมูลในระบบ, บันทึกเวลายืนยัน</t>
  </si>
  <si>
    <t xml:space="preserve">DSAR-06-FE</t>
  </si>
  <si>
    <t xml:space="preserve">[Next.js] ขั้นตอนยืนยันตัวตนใน portal + หน้าตรวจของเจ้าหน้าที่</t>
  </si>
  <si>
    <t xml:space="preserve">DSAR-06-QA</t>
  </si>
  <si>
    <t xml:space="preserve">test case + automated test: เลขบัตรในไฟล์ที่เก็บถูกปกปิดเสมอ และบันทึกวันยืนยันตัวตน</t>
  </si>
  <si>
    <t xml:space="preserve">DSAR-06-BE, DSAR-06-FE</t>
  </si>
  <si>
    <t xml:space="preserve">DSAR-07-SA</t>
  </si>
  <si>
    <t xml:space="preserve">วิเคราะห์ business rules, ERD และ OpenAPI spec: นับเวลา SLA 30 วัน</t>
  </si>
  <si>
    <t xml:space="preserve">DSAR-07-BE</t>
  </si>
  <si>
    <t xml:space="preserve">[Go] SLA 30 วันนับจากวันรับคำขอ (PLT-05), แจ้งเตือนและ escalate</t>
  </si>
  <si>
    <t xml:space="preserve">DSAR-07-FE</t>
  </si>
  <si>
    <t xml:space="preserve">[Next.js] ป้าย SLA และรายการใกล้ / เกินกำหนด</t>
  </si>
  <si>
    <t xml:space="preserve">DSAR-07-QA</t>
  </si>
  <si>
    <t xml:space="preserve">test case + automated test: คำขอที่เหลือ 7 วันถูกแจ้งเตือนผู้รับผิดชอบและ DPO</t>
  </si>
  <si>
    <t xml:space="preserve">DSAR-07-BE, DSAR-07-FE</t>
  </si>
  <si>
    <t xml:space="preserve">DSAR-08-SA</t>
  </si>
  <si>
    <t xml:space="preserve">วิเคราะห์ business rules, ERD และ OpenAPI spec: Workflow และงานย่อย</t>
  </si>
  <si>
    <t xml:space="preserve">DSAR-08-UX</t>
  </si>
  <si>
    <t xml:space="preserve">ออกแบบหน้าจอและ prototype: Workflow และงานย่อย</t>
  </si>
  <si>
    <t xml:space="preserve">DSAR-08-BE</t>
  </si>
  <si>
    <t xml:space="preserve">[Go] workflow มาตรฐาน พิจารณา → ยืนยันตัวตน → รวบรวม → ดำเนินการ → แจ้งผล, subtask ให้เจ้าของระบบ / ทีม, rule มอบหมายตามประเภทและบริษัท</t>
  </si>
  <si>
    <t xml:space="preserve">DSAR-08-FE</t>
  </si>
  <si>
    <t xml:space="preserve">[Next.js] หน้าคำขอ (timeline, subtask, เอกสาร), กระดานคิวคำขอ</t>
  </si>
  <si>
    <t xml:space="preserve">DSAR-08-QA</t>
  </si>
  <si>
    <t xml:space="preserve">test case + automated test: คำขอเดินครบทุกขั้นตอนและปิดได้เมื่อ subtask เสร็จทั้งหมด</t>
  </si>
  <si>
    <t xml:space="preserve">DSAR-08-BE, DSAR-08-FE</t>
  </si>
  <si>
    <t xml:space="preserve">DSAR-11-SA</t>
  </si>
  <si>
    <t xml:space="preserve">วิเคราะห์ business rules, ERD และ OpenAPI spec: ปฏิเสธคำขอพร้อมเหตุผล</t>
  </si>
  <si>
    <t xml:space="preserve">DSAR-11-BE</t>
  </si>
  <si>
    <t xml:space="preserve">[Go] เลือกเหตุปฏิเสธตามกฎหมาย, ต้องมีผู้อนุมัติ, ส่งหนังสือแจ้ง, event dsar.rejected (→ ROPA-10)</t>
  </si>
  <si>
    <t xml:space="preserve">DSAR-11-FE</t>
  </si>
  <si>
    <t xml:space="preserve">[Next.js] ขั้นตอนปฏิเสธ + เลือกเหตุผล</t>
  </si>
  <si>
    <t xml:space="preserve">DSAR-11-QA</t>
  </si>
  <si>
    <t xml:space="preserve">test case + automated test: การปฏิเสธต้องมีเหตุผลและผู้อนุมัติ และถูกบันทึกเข้า RoPA อัตโนมัติ</t>
  </si>
  <si>
    <t xml:space="preserve">DSAR-11-BE, DSAR-11-FE</t>
  </si>
  <si>
    <t xml:space="preserve">DSAR-13-SA</t>
  </si>
  <si>
    <t xml:space="preserve">วิเคราะห์ business rules, ERD และ OpenAPI spec: template หนังสือตอบกลับ</t>
  </si>
  <si>
    <t xml:space="preserve">DSAR-13-BE</t>
  </si>
  <si>
    <t xml:space="preserve">[Go] template หนังสือตอบ TH/EN ต่อประเภทสิทธิและผล (document composer) + merge ข้อมูลคำขอ</t>
  </si>
  <si>
    <t xml:space="preserve">DSAR-13-FE</t>
  </si>
  <si>
    <t xml:space="preserve">[Next.js] เลือก template + แก้ก่อนส่ง</t>
  </si>
  <si>
    <t xml:space="preserve">DSAR-13-QA</t>
  </si>
  <si>
    <t xml:space="preserve">test case + automated test: หนังสือตอบถูกสร้างอัตโนมัติตามประเภทสิทธิและผลการพิจารณา</t>
  </si>
  <si>
    <t xml:space="preserve">DSAR-13-BE, DSAR-13-FE</t>
  </si>
  <si>
    <t xml:space="preserve">DSAR-14-SA</t>
  </si>
  <si>
    <t xml:space="preserve">วิเคราะห์ business rules, ERD และ OpenAPI spec: ส่งข้อมูลให้เจ้าของข้อมูลอย่างปลอดภัย</t>
  </si>
  <si>
    <t xml:space="preserve">DSAR-14-BE</t>
  </si>
  <si>
    <t xml:space="preserve">[Go] แพ็กไฟล์ผลลัพธ์เข้ารหัส, ลิงก์หมดอายุ + รหัสผ่าน / OTP, บันทึกการดาวน์โหลด, ลบไฟล์อัตโนมัติเมื่อหมดอายุ</t>
  </si>
  <si>
    <t xml:space="preserve">DSAR-14-FE</t>
  </si>
  <si>
    <t xml:space="preserve">[Next.js] หน้ารับไฟล์ใน portal</t>
  </si>
  <si>
    <t xml:space="preserve">DSAR-14-QA</t>
  </si>
  <si>
    <t xml:space="preserve">test case + automated test: ลิงก์หมดอายุตามที่ตั้งและมี log การดาวน์โหลด</t>
  </si>
  <si>
    <t xml:space="preserve">DSAR-14-BE, DSAR-14-FE</t>
  </si>
  <si>
    <t xml:space="preserve">DSAR-15-SA</t>
  </si>
  <si>
    <t xml:space="preserve">วิเคราะห์ business rules, ERD และ OpenAPI spec: ส่งออกข้อมูลแบบอ่านได้ด้วยเครื่อง</t>
  </si>
  <si>
    <t xml:space="preserve">DSAR-15-BE</t>
  </si>
  <si>
    <t xml:space="preserve">[Go] รวมข้อมูลเป็น CSV / JSON / XML ตาม schema มาตรฐาน; ส่งให้ผู้ควบคุมรายอื่นผ่าน API / SFTP เมื่อทำได้</t>
  </si>
  <si>
    <t xml:space="preserve">DSAR-15-FE</t>
  </si>
  <si>
    <t xml:space="preserve">[Next.js] ตัวเลือกรูปแบบไฟล์</t>
  </si>
  <si>
    <t xml:space="preserve">DSAR-15-QA</t>
  </si>
  <si>
    <t xml:space="preserve">test case + automated test: ไฟล์ portability เปิดอ่านด้วยเครื่องได้และตรงกับข้อมูลในระบบ</t>
  </si>
  <si>
    <t xml:space="preserve">DSAR-15-BE, DSAR-15-FE</t>
  </si>
  <si>
    <t xml:space="preserve">DSAR-17-SA</t>
  </si>
  <si>
    <t xml:space="preserve">วิเคราะห์ business rules, ERD และ OpenAPI spec: ประวัติและสืบค้นคำขอ</t>
  </si>
  <si>
    <t xml:space="preserve">DSAR-17-BE</t>
  </si>
  <si>
    <t xml:space="preserve">[Go] ประวัติ / timeline, วันกำหนด, วันยืนยันตัวตน, ค้นหาย้อนหลังตามเลขคำขอ / บุคคล (blind index)</t>
  </si>
  <si>
    <t xml:space="preserve">DSAR-17-FE</t>
  </si>
  <si>
    <t xml:space="preserve">[Next.js] หน้าค้นหาคำขอ + timeline</t>
  </si>
  <si>
    <t xml:space="preserve">DSAR-17-QA</t>
  </si>
  <si>
    <t xml:space="preserve">test case + automated test: ค้นหาคำขอย้อนหลังด้วยเลขคำขอหรืออีเมลได้</t>
  </si>
  <si>
    <t xml:space="preserve">DSAR-17-BE, DSAR-17-FE</t>
  </si>
  <si>
    <t xml:space="preserve">DSAR-18-SA</t>
  </si>
  <si>
    <t xml:space="preserve">วิเคราะห์ business rules, ERD และ OpenAPI spec: รายงานและแดชบอร์ดคำขอ</t>
  </si>
  <si>
    <t xml:space="preserve">DSAR-18-UX</t>
  </si>
  <si>
    <t xml:space="preserve">ออกแบบหน้าจอและ prototype: รายงานและแดชบอร์ดคำขอ</t>
  </si>
  <si>
    <t xml:space="preserve">DSAR-18-BE</t>
  </si>
  <si>
    <t xml:space="preserve">[Go] API สถิติคำขอตามประเภท / สถานะ / ตรงเวลา-เกินกำหนด + export</t>
  </si>
  <si>
    <t xml:space="preserve">DSAR-18-FE</t>
  </si>
  <si>
    <t xml:space="preserve">[Next.js] dashboard คำขอใช้สิทธิ</t>
  </si>
  <si>
    <t xml:space="preserve">DSAR-18-QA</t>
  </si>
  <si>
    <t xml:space="preserve">test case + automated test: ตัวเลขใน dashboard ตรงกับรายการคำขอ</t>
  </si>
  <si>
    <t xml:space="preserve">DSAR-18-BE, DSAR-18-FE</t>
  </si>
  <si>
    <t xml:space="preserve">DSAR-05-SA</t>
  </si>
  <si>
    <t xml:space="preserve">วิเคราะห์ business rules, ERD และ OpenAPI spec: รับเรื่องร้องเรียนและสอบถาม</t>
  </si>
  <si>
    <t xml:space="preserve">DSAR-05-BE</t>
  </si>
  <si>
    <t xml:space="preserve">[Go] ประเภทร้องเรียน / สอบถามใช้ workflow เดียวกัน</t>
  </si>
  <si>
    <t xml:space="preserve">DSAR-05-FE</t>
  </si>
  <si>
    <t xml:space="preserve">[Next.js] ตัวเลือกประเภทในฟอร์มและตัวกรอง</t>
  </si>
  <si>
    <t xml:space="preserve">DSAR-05-QA</t>
  </si>
  <si>
    <t xml:space="preserve">test case + automated test: เรื่องร้องเรียนติดตามจนปิดได้เหมือนคำขอ</t>
  </si>
  <si>
    <t xml:space="preserve">DSAR-05-BE, DSAR-05-FE</t>
  </si>
  <si>
    <t xml:space="preserve">DSAR-09-SA</t>
  </si>
  <si>
    <t xml:space="preserve">วิเคราะห์ business rules, ERD และ OpenAPI spec: ค้นหาข้อมูลของเจ้าของข้อมูลข้ามระบบ</t>
  </si>
  <si>
    <t xml:space="preserve">DSAR-09-BE</t>
  </si>
  <si>
    <t xml:space="preserve">[Go] ส่งคำค้น (identifier) ไปยัง connector แต่ละระบบ, รวมผลเป็นรายการข้อมูลในคำขอ, เก็บผลเข้ารหัสชั่วคราว</t>
  </si>
  <si>
    <t xml:space="preserve">DSAR-09-FE</t>
  </si>
  <si>
    <t xml:space="preserve">[Next.js] แท็บผลค้นหาข้ามระบบในหน้าคำขอ</t>
  </si>
  <si>
    <t xml:space="preserve">DSAR-09-QA</t>
  </si>
  <si>
    <t xml:space="preserve">test case + automated test: ค้นข้อมูลจากระบบที่เชื่อมได้ในคำสั่งเดียว และผลถูกลบเมื่อปิดคำขอ</t>
  </si>
  <si>
    <t xml:space="preserve">DSAR-09-BE, DSAR-09-FE</t>
  </si>
  <si>
    <t xml:space="preserve">DSAR-10-SA</t>
  </si>
  <si>
    <t xml:space="preserve">วิเคราะห์ business rules, ERD และ OpenAPI spec: ตรวจข้อยกเว้นก่อนลบข้อมูล</t>
  </si>
  <si>
    <t xml:space="preserve">DSAR-10-BE</t>
  </si>
  <si>
    <t xml:space="preserve">[Go] rule legal hold ต่อประเภทข้อมูล / ระบบ (อ้างระยะเวลาเก็บตามกฎหมายอื่น) ตรวจก่อนลบ + บันทึกเหตุผล</t>
  </si>
  <si>
    <t xml:space="preserve">DSAR-10-FE</t>
  </si>
  <si>
    <t xml:space="preserve">[Next.js] ผลตรวจข้อยกเว้นในหน้าคำขอลบ</t>
  </si>
  <si>
    <t xml:space="preserve">DSAR-10-QA</t>
  </si>
  <si>
    <t xml:space="preserve">test case + automated test: ข้อมูลที่ติด legal hold ไม่ถูกลบและมีเหตุผลอ้างอิง</t>
  </si>
  <si>
    <t xml:space="preserve">DSAR-10-BE, DSAR-10-FE</t>
  </si>
  <si>
    <t xml:space="preserve">DSAR-12-SA</t>
  </si>
  <si>
    <t xml:space="preserve">วิเคราะห์ business rules, ERD และ OpenAPI spec: แจ้งผู้รับข้อมูลให้ดำเนินการตาม</t>
  </si>
  <si>
    <t xml:space="preserve">DSAR-12-BE</t>
  </si>
  <si>
    <t xml:space="preserve">[Go] สร้างงานให้ผู้ประมวลผล / ระบบปลายทาง (webhook / connector / guest link) และเก็บหลักฐานการดำเนินการ</t>
  </si>
  <si>
    <t xml:space="preserve">DSAR-12-FE</t>
  </si>
  <si>
    <t xml:space="preserve">[Next.js] แท็บผู้รับข้อมูลในหน้าคำขอ</t>
  </si>
  <si>
    <t xml:space="preserve">DSAR-12-QA</t>
  </si>
  <si>
    <t xml:space="preserve">test case + automated test: ทุกผู้รับข้อมูลยืนยันการลบ/แก้ไขพร้อมหลักฐานก่อนปิดคำขอ</t>
  </si>
  <si>
    <t xml:space="preserve">DSAR-12-BE, DSAR-12-FE</t>
  </si>
  <si>
    <t xml:space="preserve">DSAR-16-SA</t>
  </si>
  <si>
    <t xml:space="preserve">วิเคราะห์ business rules, ERD และ OpenAPI spec: ปกปิดข้อมูลของบุคคลอื่น</t>
  </si>
  <si>
    <t xml:space="preserve">DSAR-16-UX</t>
  </si>
  <si>
    <t xml:space="preserve">ออกแบบหน้าจอและ prototype: ปกปิดข้อมูลของบุคคลอื่น</t>
  </si>
  <si>
    <t xml:space="preserve">DSAR-16-BE</t>
  </si>
  <si>
    <t xml:space="preserve">[Go] ปิดทับ PDF / รูปภาพ (ตรวจหาเลขบัตร / เบอร์ / ชื่อด้วย OCR ภาษาไทย + ผู้ใช้เลือกเพิ่ม) แล้วสร้างไฟล์ใหม่ที่ลบข้อมูลจริง</t>
  </si>
  <si>
    <t xml:space="preserve">DSAR-16-FE</t>
  </si>
  <si>
    <t xml:space="preserve">[Next.js] หน้าตรวจและเลือกพื้นที่ปิดทับ</t>
  </si>
  <si>
    <t xml:space="preserve">DSAR-16-QA</t>
  </si>
  <si>
    <t xml:space="preserve">test case + automated test: ข้อมูลที่ปิดทับกู้คืนจากไฟล์ผลลัพธ์ไม่ได้</t>
  </si>
  <si>
    <t xml:space="preserve">DSAR-16-BE, DSAR-16-FE</t>
  </si>
  <si>
    <t xml:space="preserve">DSAR-19-SA</t>
  </si>
  <si>
    <t xml:space="preserve">วิเคราะห์ business rules, ERD และ OpenAPI spec: พอร์ทัลติดตามสถานะสำหรับผู้ยื่น</t>
  </si>
  <si>
    <t xml:space="preserve">DSAR-19-UX</t>
  </si>
  <si>
    <t xml:space="preserve">ออกแบบหน้าจอและ prototype: พอร์ทัลติดตามสถานะสำหรับผู้ยื่น</t>
  </si>
  <si>
    <t xml:space="preserve">DSAR-19-BE</t>
  </si>
  <si>
    <t xml:space="preserve">[Go] portal เจ้าของข้อมูล: ดูสถานะ ส่งเอกสารเพิ่ม รับผล ข้อความโต้ตอบ</t>
  </si>
  <si>
    <t xml:space="preserve">DSAR-19-FE</t>
  </si>
  <si>
    <t xml:space="preserve">[Next.js] หน้าติดตามสถานะใน portal</t>
  </si>
  <si>
    <t xml:space="preserve">DSAR-19-QA</t>
  </si>
  <si>
    <t xml:space="preserve">test case + automated test: เจ้าของข้อมูลเห็นสถานะล่าสุดและส่งเอกสารเพิ่มได้เอง</t>
  </si>
  <si>
    <t xml:space="preserve">DSAR-19-BE, DSAR-19-FE</t>
  </si>
  <si>
    <t xml:space="preserve">DSAR-20-SA</t>
  </si>
  <si>
    <t xml:space="preserve">วิเคราะห์ business rules, ERD และ OpenAPI spec: ตั้งค่า workflow แยกตามประเภทสิทธิ</t>
  </si>
  <si>
    <t xml:space="preserve">DSAR-20-UX</t>
  </si>
  <si>
    <t xml:space="preserve">ออกแบบหน้าจอและ prototype: ตั้งค่า workflow แยกตามประเภทสิทธิ</t>
  </si>
  <si>
    <t xml:space="preserve">DSAR-20-BE</t>
  </si>
  <si>
    <t xml:space="preserve">[Go] ตั้งค่าขั้นตอน ผู้รับผิดชอบ และ template ต่อสิทธิ (UI บน PLT-05)</t>
  </si>
  <si>
    <t xml:space="preserve">DSAR-20-FE</t>
  </si>
  <si>
    <t xml:space="preserve">[Next.js] หน้าตั้งค่า workflow ต่อประเภทสิทธิ</t>
  </si>
  <si>
    <t xml:space="preserve">DSAR-20-QA</t>
  </si>
  <si>
    <t xml:space="preserve">test case + automated test: เปลี่ยน workflow แล้วมีผลกับคำขอใหม่โดยไม่ต้อง deploy</t>
  </si>
  <si>
    <t xml:space="preserve">DSAR-20-BE, DSAR-20-FE</t>
  </si>
  <si>
    <t xml:space="preserve">DSAR-21-SA</t>
  </si>
  <si>
    <t xml:space="preserve">วิเคราะห์ business rules, ERD และ OpenAPI spec: เชื่อมกับระบบ Consent</t>
  </si>
  <si>
    <t xml:space="preserve">DSAR-21-BE</t>
  </si>
  <si>
    <t xml:space="preserve">[Go] คำขอถอน / คัดค้านการตลาด → เรียก Consent API ถอน Purpose ที่เกี่ยวข้อง + แนบ receipt ในคำขอ</t>
  </si>
  <si>
    <t xml:space="preserve">DSAR-21-FE</t>
  </si>
  <si>
    <t xml:space="preserve">[Next.js] แสดงผลการอัปเดตความยินยอมในหน้าคำขอ</t>
  </si>
  <si>
    <t xml:space="preserve">DSAR-21-QA</t>
  </si>
  <si>
    <t xml:space="preserve">test case + automated test: คำขอถอนความยินยอมอัปเดตสถานะใน CON อัตโนมัติ</t>
  </si>
  <si>
    <t xml:space="preserve">DSAR-21-BE, DSAR-21-FE</t>
  </si>
  <si>
    <t xml:space="preserve">BRE-01-SA</t>
  </si>
  <si>
    <t xml:space="preserve">วิเคราะห์ business rules, ERD และ OpenAPI spec: แบบฟอร์มแจ้งเหตุ</t>
  </si>
  <si>
    <t xml:space="preserve">BRE-01-UX</t>
  </si>
  <si>
    <t xml:space="preserve">ออกแบบหน้าจอและ prototype: แบบฟอร์มแจ้งเหตุ</t>
  </si>
  <si>
    <t xml:space="preserve">BRE-01-BE</t>
  </si>
  <si>
    <t xml:space="preserve">[Go] ฟอร์มแจ้งเหตุ (PLT-06) สำหรับพนักงาน (login) และบุคคลภายนอก (ลิงก์ / QR + CAPTCHA), TH/EN, สร้าง incident และเริ่มนับเวลา</t>
  </si>
  <si>
    <t xml:space="preserve">BRE-01-FE</t>
  </si>
  <si>
    <t xml:space="preserve">[Next.js] ฟอร์มใน portal และใน admin</t>
  </si>
  <si>
    <t xml:space="preserve">BRE-01-QA</t>
  </si>
  <si>
    <t xml:space="preserve">test case + automated test: แจ้งเหตุแล้วทีมที่กำหนดได้รับแจ้งเตือนทันที</t>
  </si>
  <si>
    <t xml:space="preserve">BRE-01-BE, BRE-01-FE</t>
  </si>
  <si>
    <t xml:space="preserve">BRE-02-SA</t>
  </si>
  <si>
    <t xml:space="preserve">วิเคราะห์ business rules, ERD และ OpenAPI spec: ทะเบียนเหตุละเมิด</t>
  </si>
  <si>
    <t xml:space="preserve">BRE-02-UX</t>
  </si>
  <si>
    <t xml:space="preserve">ออกแบบหน้าจอและ prototype: ทะเบียนเหตุละเมิด</t>
  </si>
  <si>
    <t xml:space="preserve">BRE-02-BE</t>
  </si>
  <si>
    <t xml:space="preserve">[Go] incident: ประเภท C/I/A, ข้อมูลที่เกี่ยวข้อง (ผูก RoPA / asset), จำนวนเจ้าของข้อมูล, สถานะ; workflow รับเรื่อง → ประเมิน → แจ้ง → ปิด</t>
  </si>
  <si>
    <t xml:space="preserve">BRE-02-FE</t>
  </si>
  <si>
    <t xml:space="preserve">[Next.js] หน้าทะเบียนเหตุ + หน้ารายละเอียด</t>
  </si>
  <si>
    <t xml:space="preserve">BRE-02-QA</t>
  </si>
  <si>
    <t xml:space="preserve">test case + automated test: ทุกเหตุมีสถานะและผู้รับผิดชอบชัดเจน</t>
  </si>
  <si>
    <t xml:space="preserve">BRE-02-BE, BRE-02-FE</t>
  </si>
  <si>
    <t xml:space="preserve">BRE-03-SA</t>
  </si>
  <si>
    <t xml:space="preserve">วิเคราะห์ business rules, ERD และ OpenAPI spec: รับแจ้งเหตุจากผู้ประมวลผล</t>
  </si>
  <si>
    <t xml:space="preserve">BRE-03-BE</t>
  </si>
  <si>
    <t xml:space="preserve">[Go] ลิงก์แจ้งเหตุเฉพาะผู้ประมวลผล (guest) ผูกคู่ค้า, เวลาที่ผู้ประมวลผลทราบเหตุ, เริ่มนับเวลา</t>
  </si>
  <si>
    <t xml:space="preserve">BRE-03-FE</t>
  </si>
  <si>
    <t xml:space="preserve">[Next.js] หน้าแจ้งเหตุของผู้ประมวลผลใน portal</t>
  </si>
  <si>
    <t xml:space="preserve">BRE-03-QA</t>
  </si>
  <si>
    <t xml:space="preserve">test case + automated test: เหตุจากผู้ประมวลผลผูกกับคู่ค้าและเริ่มนับเวลาอัตโนมัติ</t>
  </si>
  <si>
    <t xml:space="preserve">BRE-03-BE, BRE-03-FE</t>
  </si>
  <si>
    <t xml:space="preserve">BRE-04-SA</t>
  </si>
  <si>
    <t xml:space="preserve">วิเคราะห์ business rules, ERD และ OpenAPI spec: กำหนดผู้รับแจ้งและทีมตอบสนอง</t>
  </si>
  <si>
    <t xml:space="preserve">BRE-04-BE</t>
  </si>
  <si>
    <t xml:space="preserve">[Go] rule ผู้รับแจ้งตามประเภท / ระดับ / บริษัท → มอบหมายอัตโนมัติ + แจ้งเตือนหลายช่องทาง (LINE / SMS สำหรับเหตุเร่งด่วน)</t>
  </si>
  <si>
    <t xml:space="preserve">BRE-04-FE</t>
  </si>
  <si>
    <t xml:space="preserve">[Next.js] หน้าตั้งค่าทีมตอบสนอง</t>
  </si>
  <si>
    <t xml:space="preserve">BRE-04-QA</t>
  </si>
  <si>
    <t xml:space="preserve">test case + automated test: เหตุระดับสูงถูกมอบหมายและแจ้งทีมภายใน 5 นาที</t>
  </si>
  <si>
    <t xml:space="preserve">BRE-04-BE, BRE-04-FE</t>
  </si>
  <si>
    <t xml:space="preserve">BRE-05-SA</t>
  </si>
  <si>
    <t xml:space="preserve">วิเคราะห์ business rules, ERD และ OpenAPI spec: ประเมินความเสี่ยงของเหตุ</t>
  </si>
  <si>
    <t xml:space="preserve">BRE-05-BE</t>
  </si>
  <si>
    <t xml:space="preserve">[Go] แบบประเมินปัจจัยตามประกาศแจ้งเหตุ พ.ศ. 2565 (PLT-06 + คะแนน) → ระดับความเสี่ยง</t>
  </si>
  <si>
    <t xml:space="preserve">BRE-05-FE</t>
  </si>
  <si>
    <t xml:space="preserve">[Next.js] หน้าประเมินความเสี่ยงของเหตุ</t>
  </si>
  <si>
    <t xml:space="preserve">BRE-05-QA</t>
  </si>
  <si>
    <t xml:space="preserve">test case + automated test: ผลประเมินได้ระดับความเสี่ยงพร้อมเหตุผลตามปัจจัย</t>
  </si>
  <si>
    <t xml:space="preserve">BRE-05-BE, BRE-05-FE</t>
  </si>
  <si>
    <t xml:space="preserve">BRE-06-SA</t>
  </si>
  <si>
    <t xml:space="preserve">วิเคราะห์ business rules, ERD และ OpenAPI spec: ตัดสินหน้าที่แจ้งพร้อมเหตุผล</t>
  </si>
  <si>
    <t xml:space="preserve">BRE-06-BE</t>
  </si>
  <si>
    <t xml:space="preserve">[Go] rule: ไม่มีความเสี่ยง / แจ้ง สคส. / แจ้ง สคส. และเจ้าของข้อมูล; บันทึกเหตุผลและผู้ตัดสิน (DPO อนุมัติ)</t>
  </si>
  <si>
    <t xml:space="preserve">BRE-06-FE</t>
  </si>
  <si>
    <t xml:space="preserve">[Next.js] ขั้นตอนตัดสินหน้าที่แจ้ง</t>
  </si>
  <si>
    <t xml:space="preserve">BRE-06-QA</t>
  </si>
  <si>
    <t xml:space="preserve">test case + automated test: ทุกการตัดสินมีเหตุผลและผู้อนุมัติ</t>
  </si>
  <si>
    <t xml:space="preserve">BRE-06-BE, BRE-06-FE</t>
  </si>
  <si>
    <t xml:space="preserve">BRE-07-SA</t>
  </si>
  <si>
    <t xml:space="preserve">วิเคราะห์ business rules, ERD และ OpenAPI spec: นับเวลา 72 ชั่วโมง</t>
  </si>
  <si>
    <t xml:space="preserve">BRE-07-BE</t>
  </si>
  <si>
    <t xml:space="preserve">[Go] timer 72 ชั่วโมงจริงนับจากเวลาที่ทราบเหตุ, แจ้งเตือนที่ 24 / 48 / 66 ชั่วโมง, escalate ถึงผู้บริหาร</t>
  </si>
  <si>
    <t xml:space="preserve">BRE-07-FE</t>
  </si>
  <si>
    <t xml:space="preserve">[Next.js] ตัวนับถอยหลังในหน้าเหตุ</t>
  </si>
  <si>
    <t xml:space="preserve">BRE-07-QA</t>
  </si>
  <si>
    <t xml:space="preserve">test case + automated test: แจ้งเตือนครบทุกจุดเวลาและ escalate เมื่อใกล้ครบ 72 ชั่วโมง</t>
  </si>
  <si>
    <t xml:space="preserve">BRE-07-BE, BRE-07-FE</t>
  </si>
  <si>
    <t xml:space="preserve">BRE-08-SA</t>
  </si>
  <si>
    <t xml:space="preserve">วิเคราะห์ business rules, ERD และ OpenAPI spec: แจ้งล่าช้าพร้อมเหตุผล</t>
  </si>
  <si>
    <t xml:space="preserve">BRE-08-BE</t>
  </si>
  <si>
    <t xml:space="preserve">[Go] เกิน 72 ชั่วโมง: บังคับบันทึกเหตุผลความล่าช้า, นับกรอบ 15 วัน, แนบในแบบแจ้ง</t>
  </si>
  <si>
    <t xml:space="preserve">BRE-08-FE</t>
  </si>
  <si>
    <t xml:space="preserve">[Next.js] ส่วนเหตุผลความล่าช้า</t>
  </si>
  <si>
    <t xml:space="preserve">BRE-08-QA</t>
  </si>
  <si>
    <t xml:space="preserve">test case + automated test: แบบแจ้งที่ล่าช้าส่งไม่ได้ถ้าไม่มีเหตุผล</t>
  </si>
  <si>
    <t xml:space="preserve">BRE-08-BE, BRE-08-FE</t>
  </si>
  <si>
    <t xml:space="preserve">BRE-09-SA</t>
  </si>
  <si>
    <t xml:space="preserve">วิเคราะห์ business rules, ERD และ OpenAPI spec: แบบแจ้ง สคส. และแจ้งเพิ่มเติมเป็นระยะ</t>
  </si>
  <si>
    <t xml:space="preserve">BRE-09-UX</t>
  </si>
  <si>
    <t xml:space="preserve">ออกแบบหน้าจอและ prototype: แบบแจ้ง สคส. และแจ้งเพิ่มเติมเป็นระยะ</t>
  </si>
  <si>
    <t xml:space="preserve">BRE-09-BE</t>
  </si>
  <si>
    <t xml:space="preserve">[Go] แบบแจ้ง สคส. ครบหัวข้อตามประกาศ (document composer), ฉบับเบื้องต้น + ฉบับเพิ่มเติมเป็นระยะ, เก็บหลักฐานการยื่น (เลขรับ / วันที่)</t>
  </si>
  <si>
    <t xml:space="preserve">BRE-09-FE</t>
  </si>
  <si>
    <t xml:space="preserve">[Next.js] หน้าร่างแบบแจ้ง + ประวัติการแจ้งแต่ละรอบ</t>
  </si>
  <si>
    <t xml:space="preserve">BRE-09-QA</t>
  </si>
  <si>
    <t xml:space="preserve">test case + automated test: แบบแจ้งมีหัวข้อครบตามประกาศและเก็บหลักฐานการยื่นทุกรอบ</t>
  </si>
  <si>
    <t xml:space="preserve">BRE-09-BE, BRE-09-FE</t>
  </si>
  <si>
    <t xml:space="preserve">BRE-10-SA</t>
  </si>
  <si>
    <t xml:space="preserve">วิเคราะห์ business rules, ERD และ OpenAPI spec: แจ้งเจ้าของข้อมูลเมื่อความเสี่ยงสูง</t>
  </si>
  <si>
    <t xml:space="preserve">BRE-10-BE</t>
  </si>
  <si>
    <t xml:space="preserve">[Go] template TH/EN, ส่งอีเมล / SMS / LINE แบบทยอยจำนวนมาก, สถานะการส่งรายคน, export รายชื่อ</t>
  </si>
  <si>
    <t xml:space="preserve">BRE-10-FE</t>
  </si>
  <si>
    <t xml:space="preserve">[Next.js] หน้าส่งแจ้งเจ้าของข้อมูล + สถานะ</t>
  </si>
  <si>
    <t xml:space="preserve">BRE-10-QA</t>
  </si>
  <si>
    <t xml:space="preserve">test case + automated test: ส่งแจ้ง 10,000 รายได้และติดตามผลการส่งรายคน</t>
  </si>
  <si>
    <t xml:space="preserve">BRE-10-BE, BRE-10-FE</t>
  </si>
  <si>
    <t xml:space="preserve">BRE-12-SA</t>
  </si>
  <si>
    <t xml:space="preserve">วิเคราะห์ business rules, ERD และ OpenAPI spec: หลักฐานและลำดับเหตุการณ์</t>
  </si>
  <si>
    <t xml:space="preserve">BRE-12-BE</t>
  </si>
  <si>
    <t xml:space="preserve">[Go] ไฟล์หลักฐาน (hash), timeline อัตโนมัติ + บันทึกเอง, การตัดสินใจทุกจุด</t>
  </si>
  <si>
    <t xml:space="preserve">BRE-12-FE</t>
  </si>
  <si>
    <t xml:space="preserve">[Next.js] แท็บหลักฐานและ timeline</t>
  </si>
  <si>
    <t xml:space="preserve">BRE-12-QA</t>
  </si>
  <si>
    <t xml:space="preserve">test case + automated test: timeline แสดงทุกการตัดสินใจพร้อมเวลาและผู้ตัดสิน</t>
  </si>
  <si>
    <t xml:space="preserve">BRE-12-BE, BRE-12-FE</t>
  </si>
  <si>
    <t xml:space="preserve">BRE-13-SA</t>
  </si>
  <si>
    <t xml:space="preserve">วิเคราะห์ business rules, ERD และ OpenAPI spec: ประวัติและสืบค้นเหตุ</t>
  </si>
  <si>
    <t xml:space="preserve">BRE-13-BE</t>
  </si>
  <si>
    <t xml:space="preserve">[Go] ค้นหาย้อนหลังตามช่วงเวลา / ประเภท / สถานะ</t>
  </si>
  <si>
    <t xml:space="preserve">BRE-13-FE</t>
  </si>
  <si>
    <t xml:space="preserve">[Next.js] ตัวกรองในทะเบียนเหตุ</t>
  </si>
  <si>
    <t xml:space="preserve">BRE-13-QA</t>
  </si>
  <si>
    <t xml:space="preserve">test case + automated test: ค้นหาเหตุย้อนหลังได้ครบ</t>
  </si>
  <si>
    <t xml:space="preserve">BRE-13-BE, BRE-13-FE</t>
  </si>
  <si>
    <t xml:space="preserve">BRE-11-SA</t>
  </si>
  <si>
    <t xml:space="preserve">วิเคราะห์ business rules, ERD และ OpenAPI spec: แผนตอบสนองและงานควบคุมเหตุ</t>
  </si>
  <si>
    <t xml:space="preserve">BRE-11-UX</t>
  </si>
  <si>
    <t xml:space="preserve">ออกแบบหน้าจอและ prototype: แผนตอบสนองและงานควบคุมเหตุ</t>
  </si>
  <si>
    <t xml:space="preserve">BRE-11-BE</t>
  </si>
  <si>
    <t xml:space="preserve">[Go] playbook ต่อประเภทเหตุ (ransomware, ส่งอีเมลผิดคน, ข้อมูลรั่วจากคู่ค้า) → สร้าง task อัตโนมัติ</t>
  </si>
  <si>
    <t xml:space="preserve">BRE-11-FE</t>
  </si>
  <si>
    <t xml:space="preserve">[Next.js] หน้าตั้งค่า playbook + checklist ในหน้าเหตุ</t>
  </si>
  <si>
    <t xml:space="preserve">BRE-11-QA</t>
  </si>
  <si>
    <t xml:space="preserve">test case + automated test: เลือกประเภทเหตุแล้วได้ชุดงานตาม playbook</t>
  </si>
  <si>
    <t xml:space="preserve">BRE-11-BE, BRE-11-FE</t>
  </si>
  <si>
    <t xml:space="preserve">BRE-14-SA</t>
  </si>
  <si>
    <t xml:space="preserve">วิเคราะห์ business rules, ERD และ OpenAPI spec: รายงานและสถิติเหตุละเมิด</t>
  </si>
  <si>
    <t xml:space="preserve">BRE-14-BE</t>
  </si>
  <si>
    <t xml:space="preserve">[Go] สถิติจำนวน ประเภท เวลาตอบสนอง + export</t>
  </si>
  <si>
    <t xml:space="preserve">BRE-14-FE</t>
  </si>
  <si>
    <t xml:space="preserve">[Next.js] dashboard เหตุละเมิด</t>
  </si>
  <si>
    <t xml:space="preserve">BRE-14-QA</t>
  </si>
  <si>
    <t xml:space="preserve">test case + automated test: รายงานแสดงเวลาตั้งแต่ทราบเหตุถึงแจ้ง สคส. ของทุกเหตุ</t>
  </si>
  <si>
    <t xml:space="preserve">BRE-14-BE, BRE-14-FE</t>
  </si>
  <si>
    <t xml:space="preserve">BRE-15-SA</t>
  </si>
  <si>
    <t xml:space="preserve">วิเคราะห์ business rules, ERD และ OpenAPI spec: วิเคราะห์สาเหตุและบทเรียน</t>
  </si>
  <si>
    <t xml:space="preserve">BRE-15-BE</t>
  </si>
  <si>
    <t xml:space="preserve">[Go] บันทึกสาเหตุ (หมวดสาเหตุ), มาตรการป้องกันซ้ำ → สร้าง task / risk</t>
  </si>
  <si>
    <t xml:space="preserve">BRE-15-FE</t>
  </si>
  <si>
    <t xml:space="preserve">[Next.js] แท็บวิเคราะห์สาเหตุ</t>
  </si>
  <si>
    <t xml:space="preserve">BRE-15-QA</t>
  </si>
  <si>
    <t xml:space="preserve">test case + automated test: มาตรการป้องกันซ้ำถูกติดตามจนเสร็จ</t>
  </si>
  <si>
    <t xml:space="preserve">BRE-15-BE, BRE-15-FE</t>
  </si>
  <si>
    <t xml:space="preserve">BRE-16-SA</t>
  </si>
  <si>
    <t xml:space="preserve">วิเคราะห์ business rules, ERD และ OpenAPI spec: ซ้อมรับมือเหตุละเมิด</t>
  </si>
  <si>
    <t xml:space="preserve">BRE-16-BE</t>
  </si>
  <si>
    <t xml:space="preserve">[Go] โหมดซ้อม: flag แยก, ไม่ส่งแจ้งจริง, ไม่นับในสถิติ, บันทึกบทเรียน</t>
  </si>
  <si>
    <t xml:space="preserve">BRE-16-FE</t>
  </si>
  <si>
    <t xml:space="preserve">[Next.js] ปุ่มสร้างเหตุซ้อม + ป้ายแยก</t>
  </si>
  <si>
    <t xml:space="preserve">BRE-16-QA</t>
  </si>
  <si>
    <t xml:space="preserve">test case + automated test: เหตุซ้อมไม่ปนกับเหตุจริงในรายงาน</t>
  </si>
  <si>
    <t xml:space="preserve">BRE-16-BE, BRE-16-FE</t>
  </si>
  <si>
    <t xml:space="preserve">BRE-17-SA</t>
  </si>
  <si>
    <t xml:space="preserve">วิเคราะห์ business rules, ERD และ OpenAPI spec: AI ช่วยประเมินเหตุและร่างรายงาน</t>
  </si>
  <si>
    <t xml:space="preserve">BRE-17-BE</t>
  </si>
  <si>
    <t xml:space="preserve">[Go] AI สรุปขอบเขตเหตุ ประเมินหน้าที่แจ้ง และร่างแบบแจ้ง / หนังสือแจ้ง</t>
  </si>
  <si>
    <t xml:space="preserve">BRE-17-FE</t>
  </si>
  <si>
    <t xml:space="preserve">[Next.js] แผง AI ในหน้าเหตุ + ปุ่มยืนยัน</t>
  </si>
  <si>
    <t xml:space="preserve">BRE-17-QA</t>
  </si>
  <si>
    <t xml:space="preserve">test case + automated test: ร่างจาก AI ต้องมีคนยืนยันก่อนใช้</t>
  </si>
  <si>
    <t xml:space="preserve">BRE-17-BE, BRE-17-FE</t>
  </si>
  <si>
    <t xml:space="preserve">DPO-01-SA</t>
  </si>
  <si>
    <t xml:space="preserve">วิเคราะห์ business rules, ERD และ OpenAPI spec: ทะเบียนการแต่งตั้งและข้อมูล DPO</t>
  </si>
  <si>
    <t xml:space="preserve">DPO-01-BE</t>
  </si>
  <si>
    <t xml:space="preserve">[Go] ทะเบียน DPO (ภายใน / ภายนอก), คำสั่งแต่งตั้ง (ไฟล์), ช่องทางติดต่อ (merge field ในประกาศ), บันทึกการแจ้ง สคส.</t>
  </si>
  <si>
    <t xml:space="preserve">DPO-01-FE</t>
  </si>
  <si>
    <t xml:space="preserve">[Next.js] หน้าข้อมูล DPO</t>
  </si>
  <si>
    <t xml:space="preserve">DPO-01-QA</t>
  </si>
  <si>
    <t xml:space="preserve">test case + automated test: ประกาศทุกฉบับแสดงช่องทางติดต่อ DPO ล่าสุด</t>
  </si>
  <si>
    <t xml:space="preserve">DPO-01-BE, DPO-01-FE</t>
  </si>
  <si>
    <t xml:space="preserve">DPO-04-SA</t>
  </si>
  <si>
    <t xml:space="preserve">วิเคราะห์ business rules, ERD และ OpenAPI spec: แดชบอร์ด DPO</t>
  </si>
  <si>
    <t xml:space="preserve">DPO-04-UX</t>
  </si>
  <si>
    <t xml:space="preserve">ออกแบบหน้าจอและ prototype: แดชบอร์ด DPO</t>
  </si>
  <si>
    <t xml:space="preserve">DPO-04-BE</t>
  </si>
  <si>
    <t xml:space="preserve">[Go] API widget ข้ามโมดูล (คำขอ เหตุละเมิด DPIA ความเสี่ยง สัญญา) — P1 แสดงโมดูลที่มี แล้วเพิ่มตาม phase</t>
  </si>
  <si>
    <t xml:space="preserve">DPO-04-FE</t>
  </si>
  <si>
    <t xml:space="preserve">[Next.js] dashboard DPO</t>
  </si>
  <si>
    <t xml:space="preserve">DPO-04-QA</t>
  </si>
  <si>
    <t xml:space="preserve">test case + automated test: ตัวเลขทุก widget ตรงกับข้อมูลในโมดูล</t>
  </si>
  <si>
    <t xml:space="preserve">DPO-04-BE, DPO-04-FE</t>
  </si>
  <si>
    <t xml:space="preserve">DPO-05-SA</t>
  </si>
  <si>
    <t xml:space="preserve">วิเคราะห์ business rules, ERD และ OpenAPI spec: ศูนย์แจ้งเตือนรวม</t>
  </si>
  <si>
    <t xml:space="preserve">DPO-05-UX</t>
  </si>
  <si>
    <t xml:space="preserve">ออกแบบหน้าจอและ prototype: ศูนย์แจ้งเตือนรวม</t>
  </si>
  <si>
    <t xml:space="preserve">DPO-05-BE</t>
  </si>
  <si>
    <t xml:space="preserve">[Go] รวม deadline ทุกโมดูลจาก SLA engine (SLA 30 วัน, 72 ชั่วโมง, ทบทวน, สัญญาหมดอายุ) + ตั้งค่าการแจ้งเตือนส่วนตัว</t>
  </si>
  <si>
    <t xml:space="preserve">DPO-05-FE</t>
  </si>
  <si>
    <t xml:space="preserve">[Next.js] หน้าศูนย์แจ้งเตือน</t>
  </si>
  <si>
    <t xml:space="preserve">DPO-05-QA</t>
  </si>
  <si>
    <t xml:space="preserve">test case + automated test: งานใกล้ครบกำหนดจากทุกโมดูลแสดงในหน้าเดียว</t>
  </si>
  <si>
    <t xml:space="preserve">DPO-05-BE, DPO-05-FE</t>
  </si>
  <si>
    <t xml:space="preserve">DPO-09-SA</t>
  </si>
  <si>
    <t xml:space="preserve">วิเคราะห์ business rules, ERD และ OpenAPI spec: ประเมินมาตรการความปลอดภัย</t>
  </si>
  <si>
    <t xml:space="preserve">DPO-09-BE</t>
  </si>
  <si>
    <t xml:space="preserve">[Go] checklist ตามประกาศมาตรการความปลอดภัย พ.ศ. 2565 (PLT-06) + หลักฐาน + คะแนน + งานแก้ไข</t>
  </si>
  <si>
    <t xml:space="preserve">DPO-09-FE</t>
  </si>
  <si>
    <t xml:space="preserve">[Next.js] หน้าประเมินและผลคะแนน</t>
  </si>
  <si>
    <t xml:space="preserve">DPO-09-QA</t>
  </si>
  <si>
    <t xml:space="preserve">test case + automated test: ข้อที่ไม่ผ่านสร้างงานแก้ไขอัตโนมัติ</t>
  </si>
  <si>
    <t xml:space="preserve">DPO-09-BE, DPO-09-FE</t>
  </si>
  <si>
    <t xml:space="preserve">DPO-02-SA</t>
  </si>
  <si>
    <t xml:space="preserve">วิเคราะห์ business rules, ERD และ OpenAPI spec: ประเมินหน้าที่ต้องแต่งตั้ง DPO</t>
  </si>
  <si>
    <t xml:space="preserve">DPO-02-BE</t>
  </si>
  <si>
    <t xml:space="preserve">[Go] แบบประเมินตาม ม.41 และประกาศ พ.ศ. 2566 (เช่น เกณฑ์ 100,000 ราย) → ผลและเหตุผล</t>
  </si>
  <si>
    <t xml:space="preserve">DPO-02-FE</t>
  </si>
  <si>
    <t xml:space="preserve">[Next.js] wizard ประเมินหน้าที่แต่งตั้ง DPO</t>
  </si>
  <si>
    <t xml:space="preserve">DPO-02-QA</t>
  </si>
  <si>
    <t xml:space="preserve">test case + automated test: ผลประเมินระบุว่าต้องแต่งตั้งหรือไม่พร้อมเหตุผลอ้างประกาศ</t>
  </si>
  <si>
    <t xml:space="preserve">DPO-02-BE, DPO-02-FE</t>
  </si>
  <si>
    <t xml:space="preserve">DPO-06-SA</t>
  </si>
  <si>
    <t xml:space="preserve">วิเคราะห์ business rules, ERD และ OpenAPI spec: Tasks Management</t>
  </si>
  <si>
    <t xml:space="preserve">DPO-06-UX</t>
  </si>
  <si>
    <t xml:space="preserve">ออกแบบหน้าจอและ prototype: Tasks Management</t>
  </si>
  <si>
    <t xml:space="preserve">DPO-06-BE</t>
  </si>
  <si>
    <t xml:space="preserve">[Go] ticket 5 สถานะ (สร้าง → มอบหมาย → รอตรวจ → เสร็จ → สิ้นสุด), สร้างอัตโนมัติจาก RoPA / ช่องว่าง / DPIA</t>
  </si>
  <si>
    <t xml:space="preserve">DPO-06-FE</t>
  </si>
  <si>
    <t xml:space="preserve">[Next.js] kanban + รายการงาน</t>
  </si>
  <si>
    <t xml:space="preserve">DPO-06-QA</t>
  </si>
  <si>
    <t xml:space="preserve">test case + automated test: งานที่สร้างอัตโนมัติมีที่มาและลิงก์กลับ</t>
  </si>
  <si>
    <t xml:space="preserve">DPO-06-BE, DPO-06-FE</t>
  </si>
  <si>
    <t xml:space="preserve">DPO-07-SA</t>
  </si>
  <si>
    <t xml:space="preserve">วิเคราะห์ business rules, ERD และ OpenAPI spec: รับคำปรึกษาจากหน่วยงาน</t>
  </si>
  <si>
    <t xml:space="preserve">DPO-07-BE</t>
  </si>
  <si>
    <t xml:space="preserve">[Go] หน่วยงานส่งคำถาม → DPO ตอบ → เก็บเป็นคลังคำตอบ</t>
  </si>
  <si>
    <t xml:space="preserve">DPO-07-FE</t>
  </si>
  <si>
    <t xml:space="preserve">[Next.js] หน้าส่งคำถามและกล่องงานของ DPO</t>
  </si>
  <si>
    <t xml:space="preserve">DPO-07-QA</t>
  </si>
  <si>
    <t xml:space="preserve">test case + automated test: คำถามที่ตอบแล้วค้นได้ในคลังคำตอบ</t>
  </si>
  <si>
    <t xml:space="preserve">DPO-07-BE, DPO-07-FE</t>
  </si>
  <si>
    <t xml:space="preserve">DPO-08-SA</t>
  </si>
  <si>
    <t xml:space="preserve">วิเคราะห์ business rules, ERD และ OpenAPI spec: ปฏิทินงาน compliance</t>
  </si>
  <si>
    <t xml:space="preserve">DPO-08-BE</t>
  </si>
  <si>
    <t xml:space="preserve">[Go] รวมรอบทบทวน / อบรม / ประเมินเป็นปฏิทิน + export iCal</t>
  </si>
  <si>
    <t xml:space="preserve">DPO-08-FE</t>
  </si>
  <si>
    <t xml:space="preserve">[Next.js] ปฏิทินงาน compliance</t>
  </si>
  <si>
    <t xml:space="preserve">DPO-08-QA</t>
  </si>
  <si>
    <t xml:space="preserve">test case + automated test: ปฏิทินแสดงกิจกรรมจากทุกโมดูลตรงกับกำหนดการจริง</t>
  </si>
  <si>
    <t xml:space="preserve">DPO-08-BE, DPO-08-FE</t>
  </si>
  <si>
    <t xml:space="preserve">DPO-10-SA</t>
  </si>
  <si>
    <t xml:space="preserve">วิเคราะห์ business rules, ERD และ OpenAPI spec: คะแนนความพร้อมรายหน่วยงาน</t>
  </si>
  <si>
    <t xml:space="preserve">DPO-10-UX</t>
  </si>
  <si>
    <t xml:space="preserve">ออกแบบหน้าจอและ prototype: คะแนนความพร้อมรายหน่วยงาน</t>
  </si>
  <si>
    <t xml:space="preserve">DPO-10-BE</t>
  </si>
  <si>
    <t xml:space="preserve">[Go] สูตรคะแนนต่อหน่วยงานจากทุกโมดูล (RoPA ครบ, DPIA, คำขอเกินกำหนด, อบรม) + แนวโน้ม</t>
  </si>
  <si>
    <t xml:space="preserve">DPO-10-FE</t>
  </si>
  <si>
    <t xml:space="preserve">[Next.js] scorecard รายหน่วยงาน</t>
  </si>
  <si>
    <t xml:space="preserve">DPO-10-QA</t>
  </si>
  <si>
    <t xml:space="preserve">test case + automated test: คะแนนคำนวณซ้ำได้และอธิบายที่มาได้</t>
  </si>
  <si>
    <t xml:space="preserve">DPO-10-BE, DPO-10-FE</t>
  </si>
  <si>
    <t xml:space="preserve">DPO-11-SA</t>
  </si>
  <si>
    <t xml:space="preserve">วิเคราะห์ business rules, ERD และ OpenAPI spec: รายงานการปฏิบัติหน้าที่ DPO และรายงานผู้บริหาร</t>
  </si>
  <si>
    <t xml:space="preserve">DPO-11-BE</t>
  </si>
  <si>
    <t xml:space="preserve">[Go] รายงานรายเดือน / ไตรมาส (PDF) + ตั้งเวลาส่ง</t>
  </si>
  <si>
    <t xml:space="preserve">DPO-11-FE</t>
  </si>
  <si>
    <t xml:space="preserve">[Next.js] หน้าสร้างและตั้งเวลารายงาน</t>
  </si>
  <si>
    <t xml:space="preserve">DPO-11-QA</t>
  </si>
  <si>
    <t xml:space="preserve">test case + automated test: รายงานถูกส่งตามเวลาที่ตั้ง</t>
  </si>
  <si>
    <t xml:space="preserve">DPO-11-BE, DPO-11-FE</t>
  </si>
  <si>
    <t xml:space="preserve">DPO-12-SA</t>
  </si>
  <si>
    <t xml:space="preserve">วิเคราะห์ business rules, ERD และ OpenAPI spec: คลังเอกสารกฎหมายและ FAQ</t>
  </si>
  <si>
    <t xml:space="preserve">DPO-12-BE</t>
  </si>
  <si>
    <t xml:space="preserve">[Go] คลังเอกสาร (หมวด ค้นหา เวอร์ชัน) + FAQ; เนื้อหาตั้งต้นจากทีมกฎหมาย</t>
  </si>
  <si>
    <t xml:space="preserve">DPO-12-FE</t>
  </si>
  <si>
    <t xml:space="preserve">[Next.js] หน้าคลังความรู้</t>
  </si>
  <si>
    <t xml:space="preserve">DPO-12-QA</t>
  </si>
  <si>
    <t xml:space="preserve">test case + automated test: ค้นหาเอกสารภาษาไทยได้</t>
  </si>
  <si>
    <t xml:space="preserve">DPO-12-BE, DPO-12-FE</t>
  </si>
  <si>
    <t xml:space="preserve">DPO-03-SA</t>
  </si>
  <si>
    <t xml:space="preserve">วิเคราะห์ business rules, ERD และ OpenAPI spec: ความเป็นอิสระและผลประโยชน์ทับซ้อน</t>
  </si>
  <si>
    <t xml:space="preserve">DPO-03-BE</t>
  </si>
  <si>
    <t xml:space="preserve">[Go] แบบคำรับรองประจำปี + บันทึกหน้าที่อื่นของ DPO</t>
  </si>
  <si>
    <t xml:space="preserve">DPO-03-FE</t>
  </si>
  <si>
    <t xml:space="preserve">[Next.js] หน้าคำรับรอง</t>
  </si>
  <si>
    <t xml:space="preserve">DPO-03-QA</t>
  </si>
  <si>
    <t xml:space="preserve">test case + automated test: มีคำรับรองที่ลงนามทุกปี</t>
  </si>
  <si>
    <t xml:space="preserve">DPO-03-BE, DPO-03-FE</t>
  </si>
  <si>
    <t xml:space="preserve">DPIA-01-SA</t>
  </si>
  <si>
    <t xml:space="preserve">วิเคราะห์ business rules, ERD และ OpenAPI spec: แบบคัดกรองความจำเป็นในการทำ DPIA</t>
  </si>
  <si>
    <t xml:space="preserve">DPIA-01-BE</t>
  </si>
  <si>
    <t xml:space="preserve">[Go] แบบคัดกรองตามปัจจัยเสี่ยงสูง (TDPG) บน PLT-06 → สรุป ต้องทำ / ควรทำ / ไม่ต้องทำ</t>
  </si>
  <si>
    <t xml:space="preserve">DPIA-01-FE</t>
  </si>
  <si>
    <t xml:space="preserve">[Next.js] หน้าคัดกรองจากกิจกรรม RoPA</t>
  </si>
  <si>
    <t xml:space="preserve">DPIA-01-QA</t>
  </si>
  <si>
    <t xml:space="preserve">test case + automated test: ผลคัดกรองตรงตามเกณฑ์ที่ตั้งทุกกรณีทดสอบ</t>
  </si>
  <si>
    <t xml:space="preserve">DPIA-01-BE, DPIA-01-FE</t>
  </si>
  <si>
    <t xml:space="preserve">DPIA-02-SA</t>
  </si>
  <si>
    <t xml:space="preserve">วิเคราะห์ business rules, ERD และ OpenAPI spec: เกณฑ์คะแนนและเงื่อนไขบังคับทำ DPIA</t>
  </si>
  <si>
    <t xml:space="preserve">DPIA-02-BE</t>
  </si>
  <si>
    <t xml:space="preserve">[Go] ตั้งเกณฑ์คะแนน / จำนวนปัจจัยที่บังคับทำ DPIA, บันทึกเหตุผลกรณีตัดสินใจไม่ทำ</t>
  </si>
  <si>
    <t xml:space="preserve">DPIA-02-FE</t>
  </si>
  <si>
    <t xml:space="preserve">[Next.js] หน้าตั้งค่าเกณฑ์</t>
  </si>
  <si>
    <t xml:space="preserve">DPIA-02-QA</t>
  </si>
  <si>
    <t xml:space="preserve">test case + automated test: เปลี่ยนเกณฑ์แล้วผลคัดกรองรอบใหม่ใช้เกณฑ์ใหม่</t>
  </si>
  <si>
    <t xml:space="preserve">DPIA-02-BE, DPIA-02-FE</t>
  </si>
  <si>
    <t xml:space="preserve">DPIA-03-SA</t>
  </si>
  <si>
    <t xml:space="preserve">วิเคราะห์ business rules, ERD และ OpenAPI spec: คลัง template แบบประเมิน</t>
  </si>
  <si>
    <t xml:space="preserve">DPIA-03-BE</t>
  </si>
  <si>
    <t xml:space="preserve">[Go] template DPIA / PIA มาตรฐาน TH/EN (เนื้อหา T34), clone / แก้ / เวอร์ชัน</t>
  </si>
  <si>
    <t xml:space="preserve">DPIA-03-FE</t>
  </si>
  <si>
    <t xml:space="preserve">[Next.js] หน้าคลัง template</t>
  </si>
  <si>
    <t xml:space="preserve">DPIA-03-QA</t>
  </si>
  <si>
    <t xml:space="preserve">test case + automated test: clone template แล้วแก้ได้โดยไม่กระทบต้นฉบับ</t>
  </si>
  <si>
    <t xml:space="preserve">DPIA-03-BE, DPIA-03-FE</t>
  </si>
  <si>
    <t xml:space="preserve">DPIA-04-SA</t>
  </si>
  <si>
    <t xml:space="preserve">วิเคราะห์ business rules, ERD และ OpenAPI spec: อธิบายกิจกรรมโดยดึงข้อมูลจาก RoPA</t>
  </si>
  <si>
    <t xml:space="preserve">DPIA-04-BE</t>
  </si>
  <si>
    <t xml:space="preserve">[Go] เลือกกิจกรรม RoPA → pre-fill ส่วนอธิบายการประมวลผล, sync เมื่อ RoPA เปลี่ยน</t>
  </si>
  <si>
    <t xml:space="preserve">DPIA-04-FE</t>
  </si>
  <si>
    <t xml:space="preserve">[Next.js] ส่วนอธิบายกิจกรรมที่เติมอัตโนมัติ</t>
  </si>
  <si>
    <t xml:space="preserve">DPIA-04-QA</t>
  </si>
  <si>
    <t xml:space="preserve">test case + automated test: ข้อมูลที่ดึงจาก RoPA ตรงกับกิจกรรมต้นทาง</t>
  </si>
  <si>
    <t xml:space="preserve">DPIA-04-BE, DPIA-04-FE</t>
  </si>
  <si>
    <t xml:space="preserve">DPIA-05-SA</t>
  </si>
  <si>
    <t xml:space="preserve">วิเคราะห์ business rules, ERD และ OpenAPI spec: ประเมินความจำเป็นและความได้สัดส่วน</t>
  </si>
  <si>
    <t xml:space="preserve">DPIA-05-BE</t>
  </si>
  <si>
    <t xml:space="preserve">[Go] ส่วนประเมินตาม ม.22 / 24 / 26 (คำถาม + หลักฐาน)</t>
  </si>
  <si>
    <t xml:space="preserve">DPIA-05-FE</t>
  </si>
  <si>
    <t xml:space="preserve">[Next.js] section ความจำเป็นและความได้สัดส่วน</t>
  </si>
  <si>
    <t xml:space="preserve">DPIA-05-QA</t>
  </si>
  <si>
    <t xml:space="preserve">test case + automated test: ตอบครบแล้วสรุปผลความจำเป็นได้</t>
  </si>
  <si>
    <t xml:space="preserve">DPIA-05-BE, DPIA-05-FE</t>
  </si>
  <si>
    <t xml:space="preserve">DPIA-06-SA</t>
  </si>
  <si>
    <t xml:space="preserve">วิเคราะห์ business rules, ERD และ OpenAPI spec: ระบุและให้คะแนนความเสี่ยง</t>
  </si>
  <si>
    <t xml:space="preserve">DPIA-06-UX</t>
  </si>
  <si>
    <t xml:space="preserve">ออกแบบหน้าจอและ prototype: ระบุและให้คะแนนความเสี่ยง</t>
  </si>
  <si>
    <t xml:space="preserve">DPIA-06-BE</t>
  </si>
  <si>
    <t xml:space="preserve">[Go] คลังความเสี่ยงสำเร็จรูป, matrix โอกาส × ผลกระทบ (ใช้ risk engine ร่วมกับ RRA)</t>
  </si>
  <si>
    <t xml:space="preserve">DPIA-06-FE</t>
  </si>
  <si>
    <t xml:space="preserve">[Next.js] หน้าระบุความเสี่ยง + matrix</t>
  </si>
  <si>
    <t xml:space="preserve">DPIA-06-QA</t>
  </si>
  <si>
    <t xml:space="preserve">test case + automated test: คะแนนความเสี่ยงคำนวณตาม matrix ของ tenant</t>
  </si>
  <si>
    <t xml:space="preserve">DPIA-06-BE, DPIA-06-FE</t>
  </si>
  <si>
    <t xml:space="preserve">DPIA-07-SA</t>
  </si>
  <si>
    <t xml:space="preserve">วิเคราะห์ business rules, ERD และ OpenAPI spec: มาตรการลดความเสี่ยงและความเสี่ยงคงเหลือ</t>
  </si>
  <si>
    <t xml:space="preserve">DPIA-07-BE</t>
  </si>
  <si>
    <t xml:space="preserve">[Go] คลัง control, ผูกมาตรการ, คำนวณความเสี่ยงคงเหลือ, ผู้รับผิดชอบ / วันเสร็จ → task</t>
  </si>
  <si>
    <t xml:space="preserve">DPIA-07-FE</t>
  </si>
  <si>
    <t xml:space="preserve">[Next.js] หน้ามาตรการและความเสี่ยงคงเหลือ</t>
  </si>
  <si>
    <t xml:space="preserve">DPIA-07-QA</t>
  </si>
  <si>
    <t xml:space="preserve">test case + automated test: ความเสี่ยงคงเหลือคำนวณใหม่เมื่อเพิ่มมาตรการ</t>
  </si>
  <si>
    <t xml:space="preserve">DPIA-07-BE, DPIA-07-FE</t>
  </si>
  <si>
    <t xml:space="preserve">DPIA-09-SA</t>
  </si>
  <si>
    <t xml:space="preserve">วิเคราะห์ business rules, ERD และ OpenAPI spec: เชิญผู้ร่วมประเมิน</t>
  </si>
  <si>
    <t xml:space="preserve">DPIA-09-UX</t>
  </si>
  <si>
    <t xml:space="preserve">ออกแบบหน้าจอและ prototype: เชิญผู้ร่วมประเมิน</t>
  </si>
  <si>
    <t xml:space="preserve">DPIA-09-BE</t>
  </si>
  <si>
    <t xml:space="preserve">[Go] มอบหมายรายส่วน, เชิญผู้ใช้ภายใน / ภายนอก (guest), comment + แนบหลักฐาน</t>
  </si>
  <si>
    <t xml:space="preserve">DPIA-09-FE</t>
  </si>
  <si>
    <t xml:space="preserve">[Next.js] หน้าเชิญผู้ร่วมประเมิน + มุมมองของผู้ร่วมประเมิน</t>
  </si>
  <si>
    <t xml:space="preserve">DPIA-09-QA</t>
  </si>
  <si>
    <t xml:space="preserve">test case + automated test: ผู้ร่วมประเมินแก้ได้เฉพาะส่วนที่ได้รับมอบหมาย</t>
  </si>
  <si>
    <t xml:space="preserve">DPIA-09-BE, DPIA-09-FE</t>
  </si>
  <si>
    <t xml:space="preserve">DPIA-10-SA</t>
  </si>
  <si>
    <t xml:space="preserve">วิเคราะห์ business rules, ERD และ OpenAPI spec: ความเห็น DPO และการอนุมัติ</t>
  </si>
  <si>
    <t xml:space="preserve">DPIA-10-BE</t>
  </si>
  <si>
    <t xml:space="preserve">[Go] ส่วนความเห็น DPO, อนุมัติ / ยอมรับความเสี่ยงโดยผู้บริหาร (หลายระดับ)</t>
  </si>
  <si>
    <t xml:space="preserve">DPIA-10-FE</t>
  </si>
  <si>
    <t xml:space="preserve">[Next.js] ขั้นตอนความเห็นและอนุมัติ</t>
  </si>
  <si>
    <t xml:space="preserve">DPIA-10-QA</t>
  </si>
  <si>
    <t xml:space="preserve">test case + automated test: DPIA ปิดได้เมื่อมีความเห็น DPO และการอนุมัติครบ</t>
  </si>
  <si>
    <t xml:space="preserve">DPIA-10-BE, DPIA-10-FE</t>
  </si>
  <si>
    <t xml:space="preserve">DPIA-12-SA</t>
  </si>
  <si>
    <t xml:space="preserve">วิเคราะห์ business rules, ERD และ OpenAPI spec: ทะเบียนและสถานะ DPIA</t>
  </si>
  <si>
    <t xml:space="preserve">DPIA-12-UX</t>
  </si>
  <si>
    <t xml:space="preserve">ออกแบบหน้าจอและ prototype: ทะเบียนและสถานะ DPIA</t>
  </si>
  <si>
    <t xml:space="preserve">DPIA-12-BE</t>
  </si>
  <si>
    <t xml:space="preserve">[Go] ทะเบียน DPIA + สถานะ (คัดกรอง / กำลังประเมิน / รอตรวจ / อนุมัติ / ต้องทบทวน) ตามกิจกรรม / หน่วยงาน</t>
  </si>
  <si>
    <t xml:space="preserve">DPIA-12-FE</t>
  </si>
  <si>
    <t xml:space="preserve">[Next.js] หน้าทะเบียน + ตัวกรอง</t>
  </si>
  <si>
    <t xml:space="preserve">DPIA-12-QA</t>
  </si>
  <si>
    <t xml:space="preserve">test case + automated test: สถานะในทะเบียนตรงกับขั้นตอนจริงของแต่ละ DPIA</t>
  </si>
  <si>
    <t xml:space="preserve">DPIA-12-BE, DPIA-12-FE</t>
  </si>
  <si>
    <t xml:space="preserve">DPIA-14-SA</t>
  </si>
  <si>
    <t xml:space="preserve">วิเคราะห์ business rules, ERD และ OpenAPI spec: ประวัติเวอร์ชันและ audit trail</t>
  </si>
  <si>
    <t xml:space="preserve">DPIA-14-BE</t>
  </si>
  <si>
    <t xml:space="preserve">[Go] ใช้เวอร์ชันและ audit กลาง</t>
  </si>
  <si>
    <t xml:space="preserve">DPIA-14-FE</t>
  </si>
  <si>
    <t xml:space="preserve">[Next.js] หน้าเปรียบเทียบคำตอบระหว่างรอบ</t>
  </si>
  <si>
    <t xml:space="preserve">DPIA-14-QA</t>
  </si>
  <si>
    <t xml:space="preserve">test case + automated test: เห็นความต่างของคำตอบระหว่างรอบได้</t>
  </si>
  <si>
    <t xml:space="preserve">DPIA-14-BE, DPIA-14-FE</t>
  </si>
  <si>
    <t xml:space="preserve">DPIA-15-SA</t>
  </si>
  <si>
    <t xml:space="preserve">วิเคราะห์ business rules, ERD และ OpenAPI spec: ออกรายงาน DPIA</t>
  </si>
  <si>
    <t xml:space="preserve">DPIA-15-BE</t>
  </si>
  <si>
    <t xml:space="preserve">[Go] รายงาน DPIA PDF / Word TH/EN (document composer)</t>
  </si>
  <si>
    <t xml:space="preserve">DPIA-15-FE</t>
  </si>
  <si>
    <t xml:space="preserve">[Next.js] ปุ่มส่งออกรายงาน</t>
  </si>
  <si>
    <t xml:space="preserve">DPIA-15-QA</t>
  </si>
  <si>
    <t xml:space="preserve">test case + automated test: รายงานแสดงคะแนน มาตรการ และผู้อนุมัติครบ</t>
  </si>
  <si>
    <t xml:space="preserve">DPIA-15-BE, DPIA-15-FE</t>
  </si>
  <si>
    <t xml:space="preserve">DPIA-08-SA</t>
  </si>
  <si>
    <t xml:space="preserve">วิเคราะห์ business rules, ERD และ OpenAPI spec: เชื่อมทะเบียนความเสี่ยงและงานแก้ไข</t>
  </si>
  <si>
    <t xml:space="preserve">DPIA-08-BE</t>
  </si>
  <si>
    <t xml:space="preserve">[Go] ส่งความเสี่ยงคงเหลือเข้าทะเบียนความเสี่ยง + สร้างงานแก้ไข</t>
  </si>
  <si>
    <t xml:space="preserve">DPIA-08-FE</t>
  </si>
  <si>
    <t xml:space="preserve">[Next.js] ปุ่มส่งเข้าทะเบียน</t>
  </si>
  <si>
    <t xml:space="preserve">DPIA-08-QA</t>
  </si>
  <si>
    <t xml:space="preserve">test case + automated test: ความเสี่ยงคงเหลือปรากฏในทะเบียนพร้อมลิงก์กลับ</t>
  </si>
  <si>
    <t xml:space="preserve">DPIA-08-BE, DPIA-08-FE</t>
  </si>
  <si>
    <t xml:space="preserve">DPIA-11-SA</t>
  </si>
  <si>
    <t xml:space="preserve">วิเคราะห์ business rules, ERD และ OpenAPI spec: บันทึกการปรึกษาผู้มีส่วนได้เสีย</t>
  </si>
  <si>
    <t xml:space="preserve">DPIA-11-BE</t>
  </si>
  <si>
    <t xml:space="preserve">[Go] ส่วนบันทึกการปรึกษา (ผู้ถูกปรึกษา วันที่ ประเด็น คำชี้แจง)</t>
  </si>
  <si>
    <t xml:space="preserve">DPIA-11-FE</t>
  </si>
  <si>
    <t xml:space="preserve">[Next.js] section การปรึกษาผู้มีส่วนได้เสีย</t>
  </si>
  <si>
    <t xml:space="preserve">DPIA-11-QA</t>
  </si>
  <si>
    <t xml:space="preserve">test case + automated test: รายงาน DPIA แสดงบันทึกการปรึกษา</t>
  </si>
  <si>
    <t xml:space="preserve">DPIA-11-BE, DPIA-11-FE</t>
  </si>
  <si>
    <t xml:space="preserve">DPIA-13-SA</t>
  </si>
  <si>
    <t xml:space="preserve">วิเคราะห์ business rules, ERD และ OpenAPI spec: ทบทวนเมื่อกิจกรรมเปลี่ยนหรือครบรอบ</t>
  </si>
  <si>
    <t xml:space="preserve">DPIA-13-BE</t>
  </si>
  <si>
    <t xml:space="preserve">[Go] trigger เมื่อ RoPA เปลี่ยน / ครบรอบ / มีเหตุละเมิดที่เกี่ยวข้อง → เปิดรอบใหม่ (copy คำตอบเดิม)</t>
  </si>
  <si>
    <t xml:space="preserve">DPIA-13-FE</t>
  </si>
  <si>
    <t xml:space="preserve">[Next.js] ป้าย 'ต้องทบทวน' + ปุ่มเริ่มรอบใหม่</t>
  </si>
  <si>
    <t xml:space="preserve">DPIA-13-QA</t>
  </si>
  <si>
    <t xml:space="preserve">test case + automated test: เหตุละเมิดที่ผูกกิจกรรมทำให้ DPIA ที่เกี่ยวข้องถูกทำเครื่องหมายทบทวน</t>
  </si>
  <si>
    <t xml:space="preserve">DPIA-13-BE, DPIA-13-FE</t>
  </si>
  <si>
    <t xml:space="preserve">DPIA-16-SA</t>
  </si>
  <si>
    <t xml:space="preserve">วิเคราะห์ business rules, ERD และ OpenAPI spec: ประเมินฐานประโยชน์โดยชอบด้วยกฎหมาย (LIA)</t>
  </si>
  <si>
    <t xml:space="preserve">DPIA-16-BE</t>
  </si>
  <si>
    <t xml:space="preserve">[Go] template LIA 3 ขั้น (วัตถุประสงค์ / ความจำเป็น / ชั่งน้ำหนัก) ผูกกิจกรรมที่ใช้ฐาน ม.24(5)</t>
  </si>
  <si>
    <t xml:space="preserve">DPIA-16-FE</t>
  </si>
  <si>
    <t xml:space="preserve">[Next.js] หน้า LIA</t>
  </si>
  <si>
    <t xml:space="preserve">DPIA-16-QA</t>
  </si>
  <si>
    <t xml:space="preserve">test case + automated test: กิจกรรมที่ใช้ฐาน ม.24(5) ต้องมี LIA ที่อนุมัติ</t>
  </si>
  <si>
    <t xml:space="preserve">DPIA-16-BE, DPIA-16-FE</t>
  </si>
  <si>
    <t xml:space="preserve">DPIA-17-SA</t>
  </si>
  <si>
    <t xml:space="preserve">วิเคราะห์ business rules, ERD และ OpenAPI spec: ประเมินผลกระทบของระบบ AI</t>
  </si>
  <si>
    <t xml:space="preserve">DPIA-17-BE</t>
  </si>
  <si>
    <t xml:space="preserve">[Go] template ประเมินระบบ AI (การตัดสินใจอัตโนมัติ ความลำเอียง ความโปร่งใส) ผูกทะเบียน AI</t>
  </si>
  <si>
    <t xml:space="preserve">DPIA-17-FE</t>
  </si>
  <si>
    <t xml:space="preserve">[Next.js] หน้าประเมินระบบ AI</t>
  </si>
  <si>
    <t xml:space="preserve">DPIA-17-QA</t>
  </si>
  <si>
    <t xml:space="preserve">test case + automated test: ระบบ AI ในทะเบียนมีผลประเมินล่าสุด</t>
  </si>
  <si>
    <t xml:space="preserve">DPIA-17-BE, DPIA-17-FE</t>
  </si>
  <si>
    <t xml:space="preserve">DPIA-18-SA</t>
  </si>
  <si>
    <t xml:space="preserve">วิเคราะห์ business rules, ERD และ OpenAPI spec: AI ช่วยกรอกแบบประเมินจากเอกสาร</t>
  </si>
  <si>
    <t xml:space="preserve">DPIA-18-BE</t>
  </si>
  <si>
    <t xml:space="preserve">[Go] AI ดึงข้อมูลจากเอกสาร / RoPA เติมคำตอบเป็นข้อเสนอ</t>
  </si>
  <si>
    <t xml:space="preserve">DPIA-18-FE</t>
  </si>
  <si>
    <t xml:space="preserve">[Next.js] ป้ายคำตอบที่ AI เสนอ + ยืนยันทีละข้อ</t>
  </si>
  <si>
    <t xml:space="preserve">DPIA-18-QA</t>
  </si>
  <si>
    <t xml:space="preserve">test case + automated test: คำตอบจาก AI ไม่ถูกบันทึกจนกว่าผู้ประเมินยืนยัน</t>
  </si>
  <si>
    <t xml:space="preserve">DPIA-18-BE, DPIA-18-FE</t>
  </si>
  <si>
    <t xml:space="preserve">RRA-01-SA</t>
  </si>
  <si>
    <t xml:space="preserve">วิเคราะห์ business rules, ERD และ OpenAPI spec: ประเมินความเสี่ยงรายกิจกรรม</t>
  </si>
  <si>
    <t xml:space="preserve">RRA-01-BE</t>
  </si>
  <si>
    <t xml:space="preserve">[Go] คำนวณคะแนนจากปัจจัย (ประเภท / ปริมาณข้อมูล อ่อนไหว กลุ่มเปราะบาง ผู้รับ การโอน มาตรการ) อัตโนมัติเมื่อบันทึก RoPA</t>
  </si>
  <si>
    <t xml:space="preserve">RRA-01-FE</t>
  </si>
  <si>
    <t xml:space="preserve">[Next.js] คะแนนความเสี่ยงในหน้ากิจกรรม</t>
  </si>
  <si>
    <t xml:space="preserve">RRA-01-QA</t>
  </si>
  <si>
    <t xml:space="preserve">test case + automated test: คะแนนเปลี่ยนตามข้อมูล RoPA และอธิบายปัจจัยที่ทำให้สูงได้</t>
  </si>
  <si>
    <t xml:space="preserve">RRA-01-BE, RRA-01-FE</t>
  </si>
  <si>
    <t xml:space="preserve">RRA-02-SA</t>
  </si>
  <si>
    <t xml:space="preserve">วิเคราะห์ business rules, ERD และ OpenAPI spec: ตั้งค่า risk matrix</t>
  </si>
  <si>
    <t xml:space="preserve">RRA-02-UX</t>
  </si>
  <si>
    <t xml:space="preserve">ออกแบบหน้าจอและ prototype: ตั้งค่า risk matrix</t>
  </si>
  <si>
    <t xml:space="preserve">RRA-02-BE</t>
  </si>
  <si>
    <t xml:space="preserve">[Go] risk engine กลาง: ระดับโอกาส × ผลกระทบ (3x3 / 4x4 / 5x5), เกณฑ์สูง / กลาง / ต่ำ, น้ำหนักปัจจัยต่อ tenant — ใช้ร่วม DPIA / Vendor / Breach</t>
  </si>
  <si>
    <t xml:space="preserve">RRA-02-FE</t>
  </si>
  <si>
    <t xml:space="preserve">[Next.js] หน้าตั้งค่า risk matrix</t>
  </si>
  <si>
    <t xml:space="preserve">RRA-02-QA</t>
  </si>
  <si>
    <t xml:space="preserve">test case + automated test: เปลี่ยน matrix แล้วคะแนนทุกโมดูลคำนวณตามค่าใหม่</t>
  </si>
  <si>
    <t xml:space="preserve">RRA-02-BE, RRA-02-FE</t>
  </si>
  <si>
    <t xml:space="preserve">RRA-03-SA</t>
  </si>
  <si>
    <t xml:space="preserve">วิเคราะห์ business rules, ERD และ OpenAPI spec: ส่งต่อทำ DPIA อัตโนมัติ</t>
  </si>
  <si>
    <t xml:space="preserve">RRA-03-BE</t>
  </si>
  <si>
    <t xml:space="preserve">[Go] คะแนนสูงหรือเข้าเกณฑ์ → สร้าง DPIA (สถานะคัดกรอง) + มอบหมายเจ้าของกิจกรรม</t>
  </si>
  <si>
    <t xml:space="preserve">RRA-03-FE</t>
  </si>
  <si>
    <t xml:space="preserve">[Next.js] แจ้งเตือนในหน้ากิจกรรม</t>
  </si>
  <si>
    <t xml:space="preserve">RRA-03-QA</t>
  </si>
  <si>
    <t xml:space="preserve">test case + automated test: กิจกรรมเสี่ยงสูงมี DPIA ถูกสร้างอัตโนมัติ</t>
  </si>
  <si>
    <t xml:space="preserve">RRA-03-BE, RRA-03-FE</t>
  </si>
  <si>
    <t xml:space="preserve">RRA-04-SA</t>
  </si>
  <si>
    <t xml:space="preserve">วิเคราะห์ business rules, ERD และ OpenAPI spec: วิเคราะห์ช่องว่างทางกฎหมายอัตโนมัติ</t>
  </si>
  <si>
    <t xml:space="preserve">RRA-04-UX</t>
  </si>
  <si>
    <t xml:space="preserve">ออกแบบหน้าจอและ prototype: วิเคราะห์ช่องว่างทางกฎหมายอัตโนมัติ</t>
  </si>
  <si>
    <t xml:space="preserve">RRA-04-BE</t>
  </si>
  <si>
    <t xml:space="preserve">[Go] rule engine ตรวจ RoPA: ไม่มีฐานกฎหมาย, ไม่มีระยะเวลาเก็บ, ไม่มีประกาศที่ครอบคลุม, โอนต่างประเทศไม่มีฐาน, ข้อมูลอ่อนไหวไม่มีความยินยอมโดยชัดแจ้ง; เพิ่ม rule ได้</t>
  </si>
  <si>
    <t xml:space="preserve">RRA-04-FE</t>
  </si>
  <si>
    <t xml:space="preserve">[Next.js] รายการช่องว่าง + ลิงก์ไปแก้</t>
  </si>
  <si>
    <t xml:space="preserve">RRA-04-QA</t>
  </si>
  <si>
    <t xml:space="preserve">test case + automated test: ช่องว่างทุกประเภทใน rule ถูกตรวจพบในชุดข้อมูลทดสอบ</t>
  </si>
  <si>
    <t xml:space="preserve">RRA-04-BE, RRA-04-FE</t>
  </si>
  <si>
    <t xml:space="preserve">RRA-06-SA</t>
  </si>
  <si>
    <t xml:space="preserve">วิเคราะห์ business rules, ERD และ OpenAPI spec: มาตรการควบคุมและความเสี่ยงคงเหลือ</t>
  </si>
  <si>
    <t xml:space="preserve">RRA-06-BE</t>
  </si>
  <si>
    <t xml:space="preserve">[Go] ผูก control กับความเสี่ยง คำนวณความเสี่ยงคงเหลือ (ใช้ร่วม DPIA-07)</t>
  </si>
  <si>
    <t xml:space="preserve">RRA-06-FE</t>
  </si>
  <si>
    <t xml:space="preserve">[Next.js] ส่วนมาตรการในหน้าความเสี่ยง</t>
  </si>
  <si>
    <t xml:space="preserve">RRA-06-QA</t>
  </si>
  <si>
    <t xml:space="preserve">test case + automated test: ความเสี่ยงคงเหลือลดลงตามมาตรการที่ผูก</t>
  </si>
  <si>
    <t xml:space="preserve">RRA-06-BE, RRA-06-FE</t>
  </si>
  <si>
    <t xml:space="preserve">RRA-07-SA</t>
  </si>
  <si>
    <t xml:space="preserve">วิเคราะห์ business rules, ERD และ OpenAPI spec: สร้างงานแก้ไขจากช่องว่าง</t>
  </si>
  <si>
    <t xml:space="preserve">RRA-07-BE</t>
  </si>
  <si>
    <t xml:space="preserve">[Go] เลือกช่องว่าง → สร้างงาน (ผู้ดำเนินการ วันครบกำหนด ความสำคัญ) → ติดตามจนปิด; ปิดงานแล้วตรวจ rule ซ้ำ</t>
  </si>
  <si>
    <t xml:space="preserve">RRA-07-FE</t>
  </si>
  <si>
    <t xml:space="preserve">[Next.js] ปุ่มสร้างงานจากช่องว่าง</t>
  </si>
  <si>
    <t xml:space="preserve">RRA-07-QA</t>
  </si>
  <si>
    <t xml:space="preserve">test case + automated test: ปิดงานแล้วช่องว่างหายไปเมื่อ rule ผ่าน</t>
  </si>
  <si>
    <t xml:space="preserve">RRA-07-BE, RRA-07-FE</t>
  </si>
  <si>
    <t xml:space="preserve">RRA-05-SA</t>
  </si>
  <si>
    <t xml:space="preserve">วิเคราะห์ business rules, ERD และ OpenAPI spec: Checklist ตรวจสอบกิจกรรม</t>
  </si>
  <si>
    <t xml:space="preserve">RRA-05-BE</t>
  </si>
  <si>
    <t xml:space="preserve">[Go] checklist รายกิจกรรม + ส่งคำถามให้ DPO / ที่ปรึกษา และบันทึกคำตอบ</t>
  </si>
  <si>
    <t xml:space="preserve">RRA-05-FE</t>
  </si>
  <si>
    <t xml:space="preserve">[Next.js] หน้า checklist</t>
  </si>
  <si>
    <t xml:space="preserve">RRA-05-QA</t>
  </si>
  <si>
    <t xml:space="preserve">test case + automated test: คำถามและคำตอบถูกเก็บในกิจกรรม</t>
  </si>
  <si>
    <t xml:space="preserve">RRA-05-BE, RRA-05-FE</t>
  </si>
  <si>
    <t xml:space="preserve">RRA-08-SA</t>
  </si>
  <si>
    <t xml:space="preserve">วิเคราะห์ business rules, ERD และ OpenAPI spec: ยอมรับความเสี่ยงพร้อมผู้อนุมัติ</t>
  </si>
  <si>
    <t xml:space="preserve">RRA-08-BE</t>
  </si>
  <si>
    <t xml:space="preserve">[Go] ขอยอมรับความเสี่ยง + เหตุผล + ผู้อนุมัติ + วันทบทวน</t>
  </si>
  <si>
    <t xml:space="preserve">RRA-08-FE</t>
  </si>
  <si>
    <t xml:space="preserve">[Next.js] ขั้นตอนยอมรับความเสี่ยง</t>
  </si>
  <si>
    <t xml:space="preserve">RRA-08-QA</t>
  </si>
  <si>
    <t xml:space="preserve">test case + automated test: การยอมรับหมดอายุและเตือนทบทวนตามวันที่ตั้ง</t>
  </si>
  <si>
    <t xml:space="preserve">RRA-08-BE, RRA-08-FE</t>
  </si>
  <si>
    <t xml:space="preserve">RRA-09-SA</t>
  </si>
  <si>
    <t xml:space="preserve">วิเคราะห์ business rules, ERD และ OpenAPI spec: ทะเบียนความเสี่ยงด้านข้อมูลส่วนบุคคล</t>
  </si>
  <si>
    <t xml:space="preserve">RRA-09-UX</t>
  </si>
  <si>
    <t xml:space="preserve">ออกแบบหน้าจอและ prototype: ทะเบียนความเสี่ยงด้านข้อมูลส่วนบุคคล</t>
  </si>
  <si>
    <t xml:space="preserve">RRA-09-BE</t>
  </si>
  <si>
    <t xml:space="preserve">[Go] ทะเบียนความเสี่ยงองค์กร (เจ้าของ มาตรการ สถานะ) ผูกกิจกรรม / ระบบ / คู่ค้า</t>
  </si>
  <si>
    <t xml:space="preserve">RRA-09-FE</t>
  </si>
  <si>
    <t xml:space="preserve">[Next.js] หน้าทะเบียนความเสี่ยง</t>
  </si>
  <si>
    <t xml:space="preserve">RRA-09-QA</t>
  </si>
  <si>
    <t xml:space="preserve">test case + automated test: ความเสี่ยงจาก DPIA / RoPA / คู่ค้ารวมอยู่ในทะเบียนเดียว</t>
  </si>
  <si>
    <t xml:space="preserve">RRA-09-BE, RRA-09-FE</t>
  </si>
  <si>
    <t xml:space="preserve">RRA-10-SA</t>
  </si>
  <si>
    <t xml:space="preserve">วิเคราะห์ business rules, ERD และ OpenAPI spec: Heatmap และแดชบอร์ดความเสี่ยง</t>
  </si>
  <si>
    <t xml:space="preserve">RRA-10-UX</t>
  </si>
  <si>
    <t xml:space="preserve">ออกแบบหน้าจอและ prototype: Heatmap และแดชบอร์ดความเสี่ยง</t>
  </si>
  <si>
    <t xml:space="preserve">RRA-10-BE</t>
  </si>
  <si>
    <t xml:space="preserve">[Go] API heatmap ตามหน่วยงาน / ระบบ / ประเภทข้อมูล + แนวโน้ม</t>
  </si>
  <si>
    <t xml:space="preserve">RRA-10-FE</t>
  </si>
  <si>
    <t xml:space="preserve">[Next.js] heatmap และ dashboard ความเสี่ยง</t>
  </si>
  <si>
    <t xml:space="preserve">RRA-10-QA</t>
  </si>
  <si>
    <t xml:space="preserve">test case + automated test: คลิกช่อง heatmap แล้วเห็นรายการความเสี่ยงของช่องนั้น</t>
  </si>
  <si>
    <t xml:space="preserve">RRA-10-BE, RRA-10-FE</t>
  </si>
  <si>
    <t xml:space="preserve">RRA-11-SA</t>
  </si>
  <si>
    <t xml:space="preserve">วิเคราะห์ business rules, ERD และ OpenAPI spec: แสดงจุดเสี่ยงบนรายการและแผนผัง</t>
  </si>
  <si>
    <t xml:space="preserve">RRA-11-BE</t>
  </si>
  <si>
    <t xml:space="preserve">[Go] ส่งสถานะความเสี่ยงให้รายการกิจกรรมและแผนผัง</t>
  </si>
  <si>
    <t xml:space="preserve">RRA-11-FE</t>
  </si>
  <si>
    <t xml:space="preserve">[Next.js] ไฮไลต์บนรายการและแผนผัง + เหตุผล + ลิงก์ไปแก้</t>
  </si>
  <si>
    <t xml:space="preserve">RRA-11-QA</t>
  </si>
  <si>
    <t xml:space="preserve">test case + automated test: กิจกรรมเสี่ยงสูงแสดงเด่นทั้งในรายการและแผนผัง</t>
  </si>
  <si>
    <t xml:space="preserve">RRA-11-BE, RRA-11-FE</t>
  </si>
  <si>
    <t xml:space="preserve">RRA-12-SA</t>
  </si>
  <si>
    <t xml:space="preserve">วิเคราะห์ business rules, ERD และ OpenAPI spec: ประเมินซ้ำเมื่อกิจกรรมเปลี่ยนหรือครบรอบ</t>
  </si>
  <si>
    <t xml:space="preserve">RRA-12-BE</t>
  </si>
  <si>
    <t xml:space="preserve">[Go] คำนวณใหม่เมื่อ RoPA เปลี่ยน + รอบทบทวน</t>
  </si>
  <si>
    <t xml:space="preserve">RRA-12-FE</t>
  </si>
  <si>
    <t xml:space="preserve">[Next.js] ป้ายวันที่ประเมินล่าสุด</t>
  </si>
  <si>
    <t xml:space="preserve">RRA-12-QA</t>
  </si>
  <si>
    <t xml:space="preserve">test case + automated test: คะแนนอัปเดตภายใน 1 นาทีหลังแก้ RoPA</t>
  </si>
  <si>
    <t xml:space="preserve">RRA-12-BE, RRA-12-FE</t>
  </si>
  <si>
    <t xml:space="preserve">RRA-13-SA</t>
  </si>
  <si>
    <t xml:space="preserve">RRA-13-BE</t>
  </si>
  <si>
    <t xml:space="preserve">[Go] คะแนนความสอดคล้องต่อกิจกรรม / หน่วยงาน</t>
  </si>
  <si>
    <t xml:space="preserve">RRA-13-FE</t>
  </si>
  <si>
    <t xml:space="preserve">[Next.js] ตารางคะแนนรายหน่วยงาน</t>
  </si>
  <si>
    <t xml:space="preserve">RRA-13-QA</t>
  </si>
  <si>
    <t xml:space="preserve">test case + automated test: คะแนนอธิบายได้ว่าหักจากช่องว่างใด</t>
  </si>
  <si>
    <t xml:space="preserve">RRA-13-BE, RRA-13-FE</t>
  </si>
  <si>
    <t xml:space="preserve">RRA-14-SA</t>
  </si>
  <si>
    <t xml:space="preserve">วิเคราะห์ business rules, ERD และ OpenAPI spec: รายงานความเสี่ยงสำหรับผู้บริหาร</t>
  </si>
  <si>
    <t xml:space="preserve">RRA-14-BE</t>
  </si>
  <si>
    <t xml:space="preserve">[Go] รายงาน PDF สรุปความเสี่ยงสูง แผนแก้ไข ความคืบหน้า</t>
  </si>
  <si>
    <t xml:space="preserve">RRA-14-FE</t>
  </si>
  <si>
    <t xml:space="preserve">[Next.js] ปุ่มสร้างรายงานผู้บริหาร</t>
  </si>
  <si>
    <t xml:space="preserve">RRA-14-QA</t>
  </si>
  <si>
    <t xml:space="preserve">test case + automated test: รายงานสร้างได้ในคลิกเดียวและตรงกับทะเบียน</t>
  </si>
  <si>
    <t xml:space="preserve">RRA-14-BE, RRA-14-FE</t>
  </si>
  <si>
    <t xml:space="preserve">VEN-01-SA</t>
  </si>
  <si>
    <t xml:space="preserve">วิเคราะห์ business rules, ERD และ OpenAPI spec: ทะเบียนคู่ค้าและผู้ประมวลผล</t>
  </si>
  <si>
    <t xml:space="preserve">VEN-01-UX</t>
  </si>
  <si>
    <t xml:space="preserve">ออกแบบหน้าจอและ prototype: ทะเบียนคู่ค้าและผู้ประมวลผล</t>
  </si>
  <si>
    <t xml:space="preserve">VEN-01-BE</t>
  </si>
  <si>
    <t xml:space="preserve">[Go] vendor profile ต่อยอด ORG-06: บริการ ข้อมูลที่เข้าถึง ประเทศที่ประมวลผล ผู้ติดต่อ สัญญา เจ้าของความสัมพันธ์ภายใน</t>
  </si>
  <si>
    <t xml:space="preserve">VEN-01-FE</t>
  </si>
  <si>
    <t xml:space="preserve">[Next.js] หน้าทะเบียนคู่ค้า + หน้ารายละเอียด</t>
  </si>
  <si>
    <t xml:space="preserve">VEN-01-QA</t>
  </si>
  <si>
    <t xml:space="preserve">test case + automated test: คู่ค้าหนึ่งรายมีหน้าเดียวที่รวมข้อมูลทุกโมดูล</t>
  </si>
  <si>
    <t xml:space="preserve">VEN-01-BE, VEN-01-FE</t>
  </si>
  <si>
    <t xml:space="preserve">VEN-02-SA</t>
  </si>
  <si>
    <t xml:space="preserve">วิเคราะห์ business rules, ERD และ OpenAPI spec: จัดระดับความเสี่ยงคู่ค้า</t>
  </si>
  <si>
    <t xml:space="preserve">VEN-02-BE</t>
  </si>
  <si>
    <t xml:space="preserve">[Go] แบบ intake → คำนวณ tier อัตโนมัติ → กำหนดชุดแบบประเมินและรอบ</t>
  </si>
  <si>
    <t xml:space="preserve">VEN-02-FE</t>
  </si>
  <si>
    <t xml:space="preserve">[Next.js] ส่วน intake ตอนเพิ่มคู่ค้า</t>
  </si>
  <si>
    <t xml:space="preserve">VEN-02-QA</t>
  </si>
  <si>
    <t xml:space="preserve">test case + automated test: tier ถูกคำนวณตามเกณฑ์และกำหนดแบบประเมินที่ต้องส่ง</t>
  </si>
  <si>
    <t xml:space="preserve">VEN-02-BE, VEN-02-FE</t>
  </si>
  <si>
    <t xml:space="preserve">VEN-04-SA</t>
  </si>
  <si>
    <t xml:space="preserve">วิเคราะห์ business rules, ERD และ OpenAPI spec: คลังแบบประเมินคู่ค้า</t>
  </si>
  <si>
    <t xml:space="preserve">VEN-04-BE</t>
  </si>
  <si>
    <t xml:space="preserve">[Go] template แบบประเมิน PDPA / ความปลอดภัย (mapping ISO 27001 / 27701) / การโอน บน PLT-06</t>
  </si>
  <si>
    <t xml:space="preserve">VEN-04-FE</t>
  </si>
  <si>
    <t xml:space="preserve">[Next.js] หน้าคลังแบบประเมินคู่ค้า</t>
  </si>
  <si>
    <t xml:space="preserve">VEN-04-QA</t>
  </si>
  <si>
    <t xml:space="preserve">test case + automated test: มี template พร้อมใช้อย่างน้อย 3 ชุด</t>
  </si>
  <si>
    <t xml:space="preserve">VEN-04-BE, VEN-04-FE</t>
  </si>
  <si>
    <t xml:space="preserve">VEN-05-SA</t>
  </si>
  <si>
    <t xml:space="preserve">วิเคราะห์ business rules, ERD และ OpenAPI spec: พอร์ทัลให้คู่ค้าตอบแบบประเมิน</t>
  </si>
  <si>
    <t xml:space="preserve">VEN-05-UX</t>
  </si>
  <si>
    <t xml:space="preserve">ออกแบบหน้าจอและ prototype: พอร์ทัลให้คู่ค้าตอบแบบประเมิน</t>
  </si>
  <si>
    <t xml:space="preserve">VEN-05-BE</t>
  </si>
  <si>
    <t xml:space="preserve">[Go] คู่ค้าตอบผ่าน guest link: บันทึกร่าง มอบให้เพื่อนร่วมงาน แนบหลักฐาน ถาม-ตอบกับผู้ประเมิน ส่ง</t>
  </si>
  <si>
    <t xml:space="preserve">VEN-05-FE</t>
  </si>
  <si>
    <t xml:space="preserve">[Next.js] พอร์ทัลคู่ค้าใน portal</t>
  </si>
  <si>
    <t xml:space="preserve">VEN-05-QA</t>
  </si>
  <si>
    <t xml:space="preserve">test case + automated test: คู่ค้าตอบได้โดยไม่ต้องมีบัญชีผู้ใช้เต็มรูปแบบ</t>
  </si>
  <si>
    <t xml:space="preserve">VEN-05-BE, VEN-05-FE</t>
  </si>
  <si>
    <t xml:space="preserve">VEN-07-SA</t>
  </si>
  <si>
    <t xml:space="preserve">วิเคราะห์ business rules, ERD และ OpenAPI spec: คำนวณคะแนนความเสี่ยงอัตโนมัติ</t>
  </si>
  <si>
    <t xml:space="preserve">VEN-07-BE</t>
  </si>
  <si>
    <t xml:space="preserve">[Go] คะแนนจากน้ำหนักคำถาม → ระดับความเสี่ยง + ความเสี่ยงคงเหลือหลังมาตรการ</t>
  </si>
  <si>
    <t xml:space="preserve">VEN-07-FE</t>
  </si>
  <si>
    <t xml:space="preserve">[Next.js] สรุปคะแนนในหน้าการประเมิน</t>
  </si>
  <si>
    <t xml:space="preserve">VEN-07-QA</t>
  </si>
  <si>
    <t xml:space="preserve">test case + automated test: คะแนนคำนวณถูกต้องตามน้ำหนักทุกกรณีทดสอบ</t>
  </si>
  <si>
    <t xml:space="preserve">VEN-07-BE, VEN-07-FE</t>
  </si>
  <si>
    <t xml:space="preserve">VEN-08-SA</t>
  </si>
  <si>
    <t xml:space="preserve">วิเคราะห์ business rules, ERD และ OpenAPI spec: อนุมัติหรือปฏิเสธคู่ค้า</t>
  </si>
  <si>
    <t xml:space="preserve">VEN-08-BE</t>
  </si>
  <si>
    <t xml:space="preserve">[Go] อนุมัติ / ปฏิเสธ / อนุมัติแบบมีเงื่อนไข; เงื่อนไขกลายเป็นแผนแก้ไข</t>
  </si>
  <si>
    <t xml:space="preserve">VEN-08-FE</t>
  </si>
  <si>
    <t xml:space="preserve">[Next.js] ขั้นตอนอนุมัติคู่ค้า</t>
  </si>
  <si>
    <t xml:space="preserve">VEN-08-QA</t>
  </si>
  <si>
    <t xml:space="preserve">test case + automated test: อนุมัติแบบมีเงื่อนไขสร้างแผนแก้ไขอัตโนมัติ</t>
  </si>
  <si>
    <t xml:space="preserve">VEN-08-BE, VEN-08-FE</t>
  </si>
  <si>
    <t xml:space="preserve">VEN-11-SA</t>
  </si>
  <si>
    <t xml:space="preserve">วิเคราะห์ business rules, ERD และ OpenAPI spec: ผูกคู่ค้ากับสัญญาและกิจกรรม</t>
  </si>
  <si>
    <t xml:space="preserve">VEN-11-BE</t>
  </si>
  <si>
    <t xml:space="preserve">[Go] หน้าคู่ค้ารวมสัญญา / ผลประเมิน / กิจกรรม + แจ้งเตือนคู่ค้าที่ไม่มีสัญญา</t>
  </si>
  <si>
    <t xml:space="preserve">VEN-11-FE</t>
  </si>
  <si>
    <t xml:space="preserve">[Next.js] แท็บความเชื่อมโยงของคู่ค้า</t>
  </si>
  <si>
    <t xml:space="preserve">VEN-11-QA</t>
  </si>
  <si>
    <t xml:space="preserve">test case + automated test: คู่ค้าที่เป็นผู้ประมวลผลแต่ไม่มี DPA ถูกแจ้งเตือน</t>
  </si>
  <si>
    <t xml:space="preserve">VEN-11-BE, VEN-11-FE</t>
  </si>
  <si>
    <t xml:space="preserve">VEN-03-SA</t>
  </si>
  <si>
    <t xml:space="preserve">วิเคราะห์ business rules, ERD และ OpenAPI spec: ผู้ประมวลผลช่วง</t>
  </si>
  <si>
    <t xml:space="preserve">VEN-03-BE</t>
  </si>
  <si>
    <t xml:space="preserve">[Go] ทะเบียนผู้ประมวลผลช่วง + ขออนุมัติก่อนใช้ + แจ้งเมื่อคู่ค้าเพิ่มรายใหม่</t>
  </si>
  <si>
    <t xml:space="preserve">VEN-03-FE</t>
  </si>
  <si>
    <t xml:space="preserve">[Next.js] แท็บผู้ประมวลผลช่วง</t>
  </si>
  <si>
    <t xml:space="preserve">VEN-03-QA</t>
  </si>
  <si>
    <t xml:space="preserve">test case + automated test: ผู้ประมวลผลช่วงที่ยังไม่อนุมัติแสดงเตือน</t>
  </si>
  <si>
    <t xml:space="preserve">VEN-03-BE, VEN-03-FE</t>
  </si>
  <si>
    <t xml:space="preserve">VEN-06-SA</t>
  </si>
  <si>
    <t xml:space="preserve">วิเคราะห์ business rules, ERD และ OpenAPI spec: ตรวจหลักฐานและใบรับรอง</t>
  </si>
  <si>
    <t xml:space="preserve">VEN-06-BE</t>
  </si>
  <si>
    <t xml:space="preserve">[Go] ทะเบียนใบรับรอง + วันหมดอายุ + แจ้งเตือน</t>
  </si>
  <si>
    <t xml:space="preserve">VEN-06-FE</t>
  </si>
  <si>
    <t xml:space="preserve">[Next.js] แท็บใบรับรอง</t>
  </si>
  <si>
    <t xml:space="preserve">VEN-06-QA</t>
  </si>
  <si>
    <t xml:space="preserve">test case + automated test: ใบรับรองใกล้หมดอายุถูกแจ้งเตือนล่วงหน้า</t>
  </si>
  <si>
    <t xml:space="preserve">VEN-06-BE, VEN-06-FE</t>
  </si>
  <si>
    <t xml:space="preserve">VEN-09-SA</t>
  </si>
  <si>
    <t xml:space="preserve">วิเคราะห์ business rules, ERD และ OpenAPI spec: แผนแก้ไขข้อบกพร่องของคู่ค้า</t>
  </si>
  <si>
    <t xml:space="preserve">VEN-09-BE</t>
  </si>
  <si>
    <t xml:space="preserve">[Go] ประเด็นที่ต้องแก้ + ผู้รับผิดชอบฝั่งคู่ค้า (guest) + กำหนดเสร็จ + ติดตาม</t>
  </si>
  <si>
    <t xml:space="preserve">VEN-09-FE</t>
  </si>
  <si>
    <t xml:space="preserve">[Next.js] แท็บแผนแก้ไข</t>
  </si>
  <si>
    <t xml:space="preserve">VEN-09-QA</t>
  </si>
  <si>
    <t xml:space="preserve">test case + automated test: คู่ค้าอัปเดตความคืบหน้าผ่านลิงก์ได้</t>
  </si>
  <si>
    <t xml:space="preserve">VEN-09-BE, VEN-09-FE</t>
  </si>
  <si>
    <t xml:space="preserve">VEN-10-SA</t>
  </si>
  <si>
    <t xml:space="preserve">วิเคราะห์ business rules, ERD และ OpenAPI spec: ประเมินซ้ำตามรอบ</t>
  </si>
  <si>
    <t xml:space="preserve">VEN-10-BE</t>
  </si>
  <si>
    <t xml:space="preserve">[Go] รอบประเมินตาม tier (River cron) + ส่งแบบประเมินอัตโนมัติ</t>
  </si>
  <si>
    <t xml:space="preserve">VEN-10-FE</t>
  </si>
  <si>
    <t xml:space="preserve">[Next.js] ตั้งรอบประเมินต่อ tier</t>
  </si>
  <si>
    <t xml:space="preserve">VEN-10-QA</t>
  </si>
  <si>
    <t xml:space="preserve">test case + automated test: คู่ค้าถูกส่งแบบประเมินซ้ำตามรอบโดยไม่ต้องสั่งเอง</t>
  </si>
  <si>
    <t xml:space="preserve">VEN-10-BE, VEN-10-FE</t>
  </si>
  <si>
    <t xml:space="preserve">VEN-12-SA</t>
  </si>
  <si>
    <t xml:space="preserve">วิเคราะห์ business rules, ERD และ OpenAPI spec: เหตุละเมิดที่เกี่ยวกับคู่ค้า</t>
  </si>
  <si>
    <t xml:space="preserve">VEN-12-BE</t>
  </si>
  <si>
    <t xml:space="preserve">[Go] เหตุที่คู่ค้าแจ้งผูกกับ vendor + สถิติ</t>
  </si>
  <si>
    <t xml:space="preserve">VEN-12-FE</t>
  </si>
  <si>
    <t xml:space="preserve">[Next.js] แท็บเหตุละเมิดของคู่ค้า</t>
  </si>
  <si>
    <t xml:space="preserve">VEN-12-QA</t>
  </si>
  <si>
    <t xml:space="preserve">test case + automated test: ประวัติเหตุของคู่ค้าแสดงครบ</t>
  </si>
  <si>
    <t xml:space="preserve">VEN-12-BE, VEN-12-FE</t>
  </si>
  <si>
    <t xml:space="preserve">VEN-13-SA</t>
  </si>
  <si>
    <t xml:space="preserve">วิเคราะห์ business rules, ERD และ OpenAPI spec: แดชบอร์ดความเสี่ยงคู่ค้า</t>
  </si>
  <si>
    <t xml:space="preserve">VEN-13-BE</t>
  </si>
  <si>
    <t xml:space="preserve">[Go] API สถิติ tier / สถานะประเมิน / สัญญาใกล้หมดอายุ</t>
  </si>
  <si>
    <t xml:space="preserve">VEN-13-FE</t>
  </si>
  <si>
    <t xml:space="preserve">[Next.js] dashboard ความเสี่ยงคู่ค้า</t>
  </si>
  <si>
    <t xml:space="preserve">VEN-13-QA</t>
  </si>
  <si>
    <t xml:space="preserve">test case + automated test: ตัวเลขตรงกับทะเบียนคู่ค้า</t>
  </si>
  <si>
    <t xml:space="preserve">VEN-13-BE, VEN-13-FE</t>
  </si>
  <si>
    <t xml:space="preserve">VEN-14-SA</t>
  </si>
  <si>
    <t xml:space="preserve">วิเคราะห์ business rules, ERD และ OpenAPI spec: ยุติการใช้บริการ</t>
  </si>
  <si>
    <t xml:space="preserve">VEN-14-BE</t>
  </si>
  <si>
    <t xml:space="preserve">[Go] checklist ยุติการใช้บริการ: ขอคืน / ทำลายข้อมูล, ใบยืนยัน, ปิดสิทธิ์ / API client</t>
  </si>
  <si>
    <t xml:space="preserve">VEN-14-FE</t>
  </si>
  <si>
    <t xml:space="preserve">[Next.js] ขั้นตอน offboarding</t>
  </si>
  <si>
    <t xml:space="preserve">VEN-14-QA</t>
  </si>
  <si>
    <t xml:space="preserve">test case + automated test: ยุติคู่ค้าได้เมื่อมีใบยืนยันการทำลายและปิดสิทธิ์ครบ</t>
  </si>
  <si>
    <t xml:space="preserve">VEN-14-BE, VEN-14-FE</t>
  </si>
  <si>
    <t xml:space="preserve">VEN-15-SA</t>
  </si>
  <si>
    <t xml:space="preserve">วิเคราะห์ business rules, ERD และ OpenAPI spec: AI ช่วยประเมินคู่ค้า</t>
  </si>
  <si>
    <t xml:space="preserve">VEN-15-BE</t>
  </si>
  <si>
    <t xml:space="preserve">[Go] AI อ่านเอกสารคู่ค้า (SOC 2, นโยบาย) → เติมคำตอบ + ชี้ประเด็นเสี่ยง</t>
  </si>
  <si>
    <t xml:space="preserve">VEN-15-FE</t>
  </si>
  <si>
    <t xml:space="preserve">[Next.js] แผง AI ในหน้าการประเมิน</t>
  </si>
  <si>
    <t xml:space="preserve">VEN-15-QA</t>
  </si>
  <si>
    <t xml:space="preserve">test case + automated test: ข้อเสนอจาก AI ต้องมีคนยืนยันก่อนบันทึก</t>
  </si>
  <si>
    <t xml:space="preserve">VEN-15-BE, VEN-15-FE</t>
  </si>
  <si>
    <t xml:space="preserve">DPA-01-SA</t>
  </si>
  <si>
    <t xml:space="preserve">วิเคราะห์ business rules, ERD และ OpenAPI spec: Template DPA มาตรฐาน</t>
  </si>
  <si>
    <t xml:space="preserve">DPA-01-BE</t>
  </si>
  <si>
    <t xml:space="preserve">[Go] template DPA ม.40 TH/EN (เนื้อหา T34) บน document composer, clone / ปรับ</t>
  </si>
  <si>
    <t xml:space="preserve">DPA-01-FE</t>
  </si>
  <si>
    <t xml:space="preserve">[Next.js] หน้าคลัง template DPA</t>
  </si>
  <si>
    <t xml:space="preserve">DPA-01-QA</t>
  </si>
  <si>
    <t xml:space="preserve">test case + automated test: มี template ภาษาไทยและอังกฤษพร้อมใช้</t>
  </si>
  <si>
    <t xml:space="preserve">DPA-01-BE, DPA-01-FE</t>
  </si>
  <si>
    <t xml:space="preserve">DPA-02-SA</t>
  </si>
  <si>
    <t xml:space="preserve">วิเคราะห์ business rules, ERD และ OpenAPI spec: สร้างแบบกรอกเองและแบบอัตโนมัติ</t>
  </si>
  <si>
    <t xml:space="preserve">DPA-02-UX</t>
  </si>
  <si>
    <t xml:space="preserve">ออกแบบหน้าจอและ prototype: สร้างแบบกรอกเองและแบบอัตโนมัติ</t>
  </si>
  <si>
    <t xml:space="preserve">DPA-02-BE</t>
  </si>
  <si>
    <t xml:space="preserve">[Go] agreement engine (ใช้ร่วม DSA): เลือกคู่ค้า + กิจกรรม → merge ข้อมูลคู่ค้า / กิจกรรม / ข้อมูลที่ส่ง → ร่างสัญญา; โหมดกรอกเอง; สถานะสัญญา</t>
  </si>
  <si>
    <t xml:space="preserve">DPA-02-FE</t>
  </si>
  <si>
    <t xml:space="preserve">[Next.js] wizard สร้างสัญญา + editor</t>
  </si>
  <si>
    <t xml:space="preserve">DPA-02-QA</t>
  </si>
  <si>
    <t xml:space="preserve">test case + automated test: สร้างร่าง DPA จากคู่ค้าและกิจกรรมได้ภายใน 10 นาที</t>
  </si>
  <si>
    <t xml:space="preserve">DPA-02-BE, DPA-02-FE</t>
  </si>
  <si>
    <t xml:space="preserve">DPA-03-SA</t>
  </si>
  <si>
    <t xml:space="preserve">วิเคราะห์ business rules, ERD และ OpenAPI spec: ข้อกำหนดที่ต้องมี</t>
  </si>
  <si>
    <t xml:space="preserve">DPA-03-BE</t>
  </si>
  <si>
    <t xml:space="preserve">[Go] rule ตรวจ clause บังคับ ม.40 ก่อนส่งอนุมัติ</t>
  </si>
  <si>
    <t xml:space="preserve">DPA-03-FE</t>
  </si>
  <si>
    <t xml:space="preserve">[Next.js] แผงตรวจ clause ที่ขาด</t>
  </si>
  <si>
    <t xml:space="preserve">DPA-03-QA</t>
  </si>
  <si>
    <t xml:space="preserve">test case + automated test: สัญญาที่ขาด clause บังคับส่งอนุมัติไม่ได้</t>
  </si>
  <si>
    <t xml:space="preserve">DPA-03-BE, DPA-03-FE</t>
  </si>
  <si>
    <t xml:space="preserve">DPA-04-SA</t>
  </si>
  <si>
    <t xml:space="preserve">วิเคราะห์ business rules, ERD และ OpenAPI spec: ภาคผนวกรายละเอียดการประมวลผล</t>
  </si>
  <si>
    <t xml:space="preserve">DPA-04-BE</t>
  </si>
  <si>
    <t xml:space="preserve">[Go] ภาคผนวกสร้างจาก RoPA (ประเภทข้อมูล กลุ่มเจ้าของ วัตถุประสงค์ ระยะเวลา มาตรการ)</t>
  </si>
  <si>
    <t xml:space="preserve">DPA-04-FE</t>
  </si>
  <si>
    <t xml:space="preserve">[Next.js] ส่วนภาคผนวกใน editor</t>
  </si>
  <si>
    <t xml:space="preserve">DPA-04-QA</t>
  </si>
  <si>
    <t xml:space="preserve">test case + automated test: ภาคผนวกตรงกับข้อมูล RoPA ของกิจกรรมที่เลือก</t>
  </si>
  <si>
    <t xml:space="preserve">DPA-04-BE, DPA-04-FE</t>
  </si>
  <si>
    <t xml:space="preserve">DPA-10-SA</t>
  </si>
  <si>
    <t xml:space="preserve">วิเคราะห์ business rules, ERD และ OpenAPI spec: ทะเบียน DPA และแจ้งเตือนหมดอายุ</t>
  </si>
  <si>
    <t xml:space="preserve">DPA-10-BE</t>
  </si>
  <si>
    <t xml:space="preserve">[Go] ทะเบียนสัญญา + วันเริ่ม / สิ้นสุด + แจ้งเตือนก่อนหมดอายุ (PLT-05)</t>
  </si>
  <si>
    <t xml:space="preserve">DPA-10-FE</t>
  </si>
  <si>
    <t xml:space="preserve">[Next.js] หน้าทะเบียน DPA</t>
  </si>
  <si>
    <t xml:space="preserve">DPA-10-QA</t>
  </si>
  <si>
    <t xml:space="preserve">test case + automated test: สัญญาใกล้หมดอายุถูกแจ้งเตือนตามเวลาที่ตั้ง</t>
  </si>
  <si>
    <t xml:space="preserve">DPA-10-BE, DPA-10-FE</t>
  </si>
  <si>
    <t xml:space="preserve">DPA-11-SA</t>
  </si>
  <si>
    <t xml:space="preserve">วิเคราะห์ business rules, ERD และ OpenAPI spec: ผูก DPA กับคู่ค้าและกิจกรรม</t>
  </si>
  <si>
    <t xml:space="preserve">DPA-11-BE</t>
  </si>
  <si>
    <t xml:space="preserve">[Go] ความสัมพันธ์สัญญา ↔ คู่ค้า ↔ กิจกรรม</t>
  </si>
  <si>
    <t xml:space="preserve">DPA-11-FE</t>
  </si>
  <si>
    <t xml:space="preserve">[Next.js] แท็บความเชื่อมโยงในหน้าสัญญา</t>
  </si>
  <si>
    <t xml:space="preserve">DPA-11-QA</t>
  </si>
  <si>
    <t xml:space="preserve">test case + automated test: เปิดคู่ค้าแล้วเห็น DPA และกิจกรรมที่เกี่ยวข้อง</t>
  </si>
  <si>
    <t xml:space="preserve">DPA-11-BE, DPA-11-FE</t>
  </si>
  <si>
    <t xml:space="preserve">DPA-05-SA</t>
  </si>
  <si>
    <t xml:space="preserve">วิเคราะห์ business rules, ERD และ OpenAPI spec: ข้อสัญญาการโอนต่างประเทศ</t>
  </si>
  <si>
    <t xml:space="preserve">DPA-05-BE</t>
  </si>
  <si>
    <t xml:space="preserve">[Go] clause มาตรฐานตามประกาศ ม.29 พ.ศ. 2566 แทรกเมื่อมีการโอน</t>
  </si>
  <si>
    <t xml:space="preserve">DPA-05-FE</t>
  </si>
  <si>
    <t xml:space="preserve">[Next.js] ตัวเลือก clause การโอน</t>
  </si>
  <si>
    <t xml:space="preserve">DPA-05-QA</t>
  </si>
  <si>
    <t xml:space="preserve">test case + automated test: สัญญาที่มีการโอนต่างประเทศมี clause ครบ</t>
  </si>
  <si>
    <t xml:space="preserve">DPA-05-BE, DPA-05-FE</t>
  </si>
  <si>
    <t xml:space="preserve">DPA-06-SA</t>
  </si>
  <si>
    <t xml:space="preserve">วิเคราะห์ business rules, ERD และ OpenAPI spec: แก้ไขเอกสารในระบบ</t>
  </si>
  <si>
    <t xml:space="preserve">DPA-06-BE</t>
  </si>
  <si>
    <t xml:space="preserve">[Go] เพิ่มความสามารถ editor: ฟอนต์ ย่อหน้า สารบัญ ฟิลด์ใหม่</t>
  </si>
  <si>
    <t xml:space="preserve">DPA-06-FE</t>
  </si>
  <si>
    <t xml:space="preserve">[Next.js] เครื่องมือจัดรูปแบบใน editor</t>
  </si>
  <si>
    <t xml:space="preserve">DPA-06-QA</t>
  </si>
  <si>
    <t xml:space="preserve">test case + automated test: ปรับรูปแบบแล้วไฟล์ที่ส่งออกตรงกับที่เห็น</t>
  </si>
  <si>
    <t xml:space="preserve">DPA-06-BE, DPA-06-FE</t>
  </si>
  <si>
    <t xml:space="preserve">DPA-07-SA</t>
  </si>
  <si>
    <t xml:space="preserve">วิเคราะห์ business rules, ERD และ OpenAPI spec: ตรวจทานและอนุมัติ</t>
  </si>
  <si>
    <t xml:space="preserve">DPA-07-BE</t>
  </si>
  <si>
    <t xml:space="preserve">[Go] ใช้ workflow อนุมัติกลาง: กฎหมาย / DPO ตรวจ</t>
  </si>
  <si>
    <t xml:space="preserve">DPA-07-FE</t>
  </si>
  <si>
    <t xml:space="preserve">[Next.js] ปุ่มส่งตรวจ + ความเห็น</t>
  </si>
  <si>
    <t xml:space="preserve">DPA-07-QA</t>
  </si>
  <si>
    <t xml:space="preserve">test case + automated test: ส่งลงนามได้หลังอนุมัติเท่านั้น</t>
  </si>
  <si>
    <t xml:space="preserve">DPA-07-BE, DPA-07-FE</t>
  </si>
  <si>
    <t xml:space="preserve">DPA-08-SA</t>
  </si>
  <si>
    <t xml:space="preserve">วิเคราะห์ business rules, ERD และ OpenAPI spec: เวอร์ชันและประวัติการดาวน์โหลด</t>
  </si>
  <si>
    <t xml:space="preserve">DPA-08-BE</t>
  </si>
  <si>
    <t xml:space="preserve">[Go] เวอร์ชัน + diff + log การดาวน์โหลด</t>
  </si>
  <si>
    <t xml:space="preserve">DPA-08-FE</t>
  </si>
  <si>
    <t xml:space="preserve">[Next.js] หน้าประวัติเวอร์ชันและการดาวน์โหลด</t>
  </si>
  <si>
    <t xml:space="preserve">DPA-08-QA</t>
  </si>
  <si>
    <t xml:space="preserve">test case + automated test: เห็นว่าใครดาวน์โหลดเวอร์ชันใดเมื่อไร</t>
  </si>
  <si>
    <t xml:space="preserve">DPA-08-BE, DPA-08-FE</t>
  </si>
  <si>
    <t xml:space="preserve">DPA-09-SA</t>
  </si>
  <si>
    <t xml:space="preserve">วิเคราะห์ business rules, ERD และ OpenAPI spec: ส่งออกและลงนามอิเล็กทรอนิกส์</t>
  </si>
  <si>
    <t xml:space="preserve">DPA-09-BE</t>
  </si>
  <si>
    <t xml:space="preserve">[Go] export Word / PDF + preview; เชื่อมบริการลงนามอิเล็กทรอนิกส์ผ่าน API + เก็บไฟล์ที่ลงนาม</t>
  </si>
  <si>
    <t xml:space="preserve">DPA-09-FE</t>
  </si>
  <si>
    <t xml:space="preserve">[Next.js] ปุ่มส่งลงนาม + สถานะการลงนาม</t>
  </si>
  <si>
    <t xml:space="preserve">DPA-09-QA</t>
  </si>
  <si>
    <t xml:space="preserve">test case + automated test: ไฟล์ที่ลงนามแล้วถูกเก็บกลับเข้าระบบอัตโนมัติ</t>
  </si>
  <si>
    <t xml:space="preserve">DPA-09-BE, DPA-09-FE</t>
  </si>
  <si>
    <t xml:space="preserve">DPA-12-SA</t>
  </si>
  <si>
    <t xml:space="preserve">วิเคราะห์ business rules, ERD และ OpenAPI spec: แจ้งเตือนผู้ประมวลผลที่ยังไม่มี DPA</t>
  </si>
  <si>
    <t xml:space="preserve">DPA-12-BE</t>
  </si>
  <si>
    <t xml:space="preserve">[Go] job ตรวจคู่ค้าที่เป็นผู้ประมวลผลแต่ไม่มี DPA ที่มีผล → แจ้งเตือน / งาน</t>
  </si>
  <si>
    <t xml:space="preserve">DPA-12-FE</t>
  </si>
  <si>
    <t xml:space="preserve">[Next.js] รายการคู่ค้าที่ขาด DPA</t>
  </si>
  <si>
    <t xml:space="preserve">DPA-12-QA</t>
  </si>
  <si>
    <t xml:space="preserve">test case + automated test: คู่ค้าที่ขาด DPA ถูกพบทุกราย</t>
  </si>
  <si>
    <t xml:space="preserve">DPA-12-BE, DPA-12-FE</t>
  </si>
  <si>
    <t xml:space="preserve">DPA-13-SA</t>
  </si>
  <si>
    <t xml:space="preserve">วิเคราะห์ business rules, ERD และ OpenAPI spec: ติดตามการคืน/ทำลายข้อมูลเมื่อสิ้นสุด</t>
  </si>
  <si>
    <t xml:space="preserve">DPA-13-BE</t>
  </si>
  <si>
    <t xml:space="preserve">[Go] สัญญาสิ้นสุด → งานขอใบยืนยันการคืน / ทำลาย (guest link ให้คู่ค้าอัปโหลด)</t>
  </si>
  <si>
    <t xml:space="preserve">DPA-13-FE</t>
  </si>
  <si>
    <t xml:space="preserve">[Next.js] ขั้นตอนปิดสัญญา</t>
  </si>
  <si>
    <t xml:space="preserve">DPA-13-QA</t>
  </si>
  <si>
    <t xml:space="preserve">test case + automated test: ปิดสัญญาได้เมื่อได้รับใบยืนยัน</t>
  </si>
  <si>
    <t xml:space="preserve">DPA-13-BE, DPA-13-FE</t>
  </si>
  <si>
    <t xml:space="preserve">DPA-14-SA</t>
  </si>
  <si>
    <t xml:space="preserve">วิเคราะห์ business rules, ERD และ OpenAPI spec: ตรวจ DPA ที่ได้รับจากลูกค้า</t>
  </si>
  <si>
    <t xml:space="preserve">DPA-14-BE</t>
  </si>
  <si>
    <t xml:space="preserve">[Go] checklist ตรวจ DPA ที่ลูกค้าส่งมา (องค์กรเป็นผู้ประมวลผล)</t>
  </si>
  <si>
    <t xml:space="preserve">DPA-14-FE</t>
  </si>
  <si>
    <t xml:space="preserve">[Next.js] หน้าตรวจ DPA ขาเข้า</t>
  </si>
  <si>
    <t xml:space="preserve">DPA-14-QA</t>
  </si>
  <si>
    <t xml:space="preserve">test case + automated test: ผลตรวจระบุ clause ที่ขาดหรือเสี่ยง</t>
  </si>
  <si>
    <t xml:space="preserve">DPA-14-BE, DPA-14-FE</t>
  </si>
  <si>
    <t xml:space="preserve">DSA-01-SA</t>
  </si>
  <si>
    <t xml:space="preserve">วิเคราะห์ business rules, ERD และ OpenAPI spec: ตรวจว่าต้องใช้ DSA หรือ DPA</t>
  </si>
  <si>
    <t xml:space="preserve">DSA-01-BE</t>
  </si>
  <si>
    <t xml:space="preserve">[Go] คำถามบทบาทผู้รับข้อมูล → แนะนำ DSA หรือ DPA พร้อมเหตุผล (ม.27 / ม.40)</t>
  </si>
  <si>
    <t xml:space="preserve">DSA-01-FE</t>
  </si>
  <si>
    <t xml:space="preserve">[Next.js] wizard ตรวจประเภทข้อตกลง</t>
  </si>
  <si>
    <t xml:space="preserve">DSA-01-QA</t>
  </si>
  <si>
    <t xml:space="preserve">test case + automated test: ผลแนะนำถูกต้องตามบทบาททุกกรณีทดสอบ</t>
  </si>
  <si>
    <t xml:space="preserve">DSA-01-BE, DSA-01-FE</t>
  </si>
  <si>
    <t xml:space="preserve">DSA-02-SA</t>
  </si>
  <si>
    <t xml:space="preserve">วิเคราะห์ business rules, ERD และ OpenAPI spec: ข้อมูลคู่สัญญาและบทบาท</t>
  </si>
  <si>
    <t xml:space="preserve">DSA-02-BE</t>
  </si>
  <si>
    <t xml:space="preserve">[Go] หลายฝ่ายและผู้ควบคุมร่วม ดึงจาก ORG-06</t>
  </si>
  <si>
    <t xml:space="preserve">DSA-02-FE</t>
  </si>
  <si>
    <t xml:space="preserve">[Next.js] ส่วนคู่สัญญาใน wizard</t>
  </si>
  <si>
    <t xml:space="preserve">DSA-02-QA</t>
  </si>
  <si>
    <t xml:space="preserve">test case + automated test: รองรับข้อตกลงที่มีมากกว่าสองฝ่าย</t>
  </si>
  <si>
    <t xml:space="preserve">DSA-02-BE, DSA-02-FE</t>
  </si>
  <si>
    <t xml:space="preserve">DSA-03-SA</t>
  </si>
  <si>
    <t xml:space="preserve">วิเคราะห์ business rules, ERD และ OpenAPI spec: Template DSA มาตรฐาน</t>
  </si>
  <si>
    <t xml:space="preserve">DSA-03-BE</t>
  </si>
  <si>
    <t xml:space="preserve">[Go] template 4 แบบ (ส่งทางเดียว สองทาง หน่วยงานรัฐ วิจัย) บน agreement engine</t>
  </si>
  <si>
    <t xml:space="preserve">DSA-03-FE</t>
  </si>
  <si>
    <t xml:space="preserve">[Next.js] หน้าเลือก template DSA</t>
  </si>
  <si>
    <t xml:space="preserve">DSA-03-QA</t>
  </si>
  <si>
    <t xml:space="preserve">test case + automated test: มี template ครบ 4 แบบ TH/EN</t>
  </si>
  <si>
    <t xml:space="preserve">DSA-03-BE, DSA-03-FE</t>
  </si>
  <si>
    <t xml:space="preserve">DSA-04-SA</t>
  </si>
  <si>
    <t xml:space="preserve">วิเคราะห์ business rules, ERD และ OpenAPI spec: สร้างเอกสารอัตโนมัติจาก RoPA</t>
  </si>
  <si>
    <t xml:space="preserve">DSA-04-BE</t>
  </si>
  <si>
    <t xml:space="preserve">[Go] merge จากกิจกรรม RoPA (agreement engine)</t>
  </si>
  <si>
    <t xml:space="preserve">DSA-04-FE</t>
  </si>
  <si>
    <t xml:space="preserve">[Next.js] ขั้นตอนเลือกกิจกรรมใน wizard</t>
  </si>
  <si>
    <t xml:space="preserve">DSA-04-QA</t>
  </si>
  <si>
    <t xml:space="preserve">test case + automated test: ข้อตกลงดึงวัตถุประสงค์ ประเภทข้อมูล ฐาน และระยะเวลาจาก RoPA ถูกต้อง</t>
  </si>
  <si>
    <t xml:space="preserve">DSA-04-BE, DSA-04-FE</t>
  </si>
  <si>
    <t xml:space="preserve">DSA-05-SA</t>
  </si>
  <si>
    <t xml:space="preserve">DSA-05-BE</t>
  </si>
  <si>
    <t xml:space="preserve">[Go] rule clause บังคับ (ม.27, ม.28-29, ม.37(2))</t>
  </si>
  <si>
    <t xml:space="preserve">DSA-05-FE</t>
  </si>
  <si>
    <t xml:space="preserve">[Next.js] แผงตรวจ clause</t>
  </si>
  <si>
    <t xml:space="preserve">DSA-05-QA</t>
  </si>
  <si>
    <t xml:space="preserve">test case + automated test: ข้อตกลงที่ขาด clause บังคับส่งอนุมัติไม่ได้</t>
  </si>
  <si>
    <t xml:space="preserve">DSA-05-BE, DSA-05-FE</t>
  </si>
  <si>
    <t xml:space="preserve">DSA-11-SA</t>
  </si>
  <si>
    <t xml:space="preserve">วิเคราะห์ business rules, ERD และ OpenAPI spec: ทะเบียนข้อตกลงและแจ้งเตือนหมดอายุ</t>
  </si>
  <si>
    <t xml:space="preserve">DSA-11-BE</t>
  </si>
  <si>
    <t xml:space="preserve">[Go] ทะเบียน DSA (ใช้ร่วมกับ DPA-10)</t>
  </si>
  <si>
    <t xml:space="preserve">DSA-11-FE</t>
  </si>
  <si>
    <t xml:space="preserve">[Next.js] หน้าทะเบียน DSA</t>
  </si>
  <si>
    <t xml:space="preserve">DSA-11-QA</t>
  </si>
  <si>
    <t xml:space="preserve">test case + automated test: ข้อตกลงใกล้หมดอายุถูกแจ้งเตือน</t>
  </si>
  <si>
    <t xml:space="preserve">DSA-11-BE, DSA-11-FE</t>
  </si>
  <si>
    <t xml:space="preserve">DSA-06-SA</t>
  </si>
  <si>
    <t xml:space="preserve">วิเคราะห์ business rules, ERD และ OpenAPI spec: คลังข้อความสัญญา</t>
  </si>
  <si>
    <t xml:space="preserve">DSA-06-BE</t>
  </si>
  <si>
    <t xml:space="preserve">[Go] คลัง clause TH/EN มีเวอร์ชัน (ใช้ร่วม DPA)</t>
  </si>
  <si>
    <t xml:space="preserve">DSA-06-FE</t>
  </si>
  <si>
    <t xml:space="preserve">[Next.js] หน้าคลัง clause</t>
  </si>
  <si>
    <t xml:space="preserve">DSA-06-QA</t>
  </si>
  <si>
    <t xml:space="preserve">test case + automated test: แก้ clause แล้วเอกสารใหม่ใช้เวอร์ชันล่าสุด</t>
  </si>
  <si>
    <t xml:space="preserve">DSA-06-BE, DSA-06-FE</t>
  </si>
  <si>
    <t xml:space="preserve">DSA-07-SA</t>
  </si>
  <si>
    <t xml:space="preserve">วิเคราะห์ business rules, ERD และ OpenAPI spec: ภาคผนวกประกอบข้อตกลง</t>
  </si>
  <si>
    <t xml:space="preserve">DSA-07-BE</t>
  </si>
  <si>
    <t xml:space="preserve">[Go] ภาคผนวก: รายการข้อมูล มาตรการ แบบคำขอข้อมูล ภาพแผนผังจาก DFG</t>
  </si>
  <si>
    <t xml:space="preserve">DSA-07-FE</t>
  </si>
  <si>
    <t xml:space="preserve">DSA-07-QA</t>
  </si>
  <si>
    <t xml:space="preserve">test case + automated test: ภาคผนวกแนบภาพแผนผังล่าสุดได้</t>
  </si>
  <si>
    <t xml:space="preserve">DSA-07-BE, DSA-07-FE</t>
  </si>
  <si>
    <t xml:space="preserve">DSA-08-SA</t>
  </si>
  <si>
    <t xml:space="preserve">DSA-08-BE</t>
  </si>
  <si>
    <t xml:space="preserve">[Go] ใช้ workflow อนุมัติเดียวกับ DPA</t>
  </si>
  <si>
    <t xml:space="preserve">DSA-08-FE</t>
  </si>
  <si>
    <t xml:space="preserve">[Next.js] ปุ่มส่งตรวจ</t>
  </si>
  <si>
    <t xml:space="preserve">DSA-08-QA</t>
  </si>
  <si>
    <t xml:space="preserve">DSA-08-BE, DSA-08-FE</t>
  </si>
  <si>
    <t xml:space="preserve">DSA-09-SA</t>
  </si>
  <si>
    <t xml:space="preserve">วิเคราะห์ business rules, ERD และ OpenAPI spec: เวอร์ชันและประวัติ</t>
  </si>
  <si>
    <t xml:space="preserve">DSA-09-BE</t>
  </si>
  <si>
    <t xml:space="preserve">[Go] ใช้เวอร์ชันและ log การดาวน์โหลดเดียวกับ DPA</t>
  </si>
  <si>
    <t xml:space="preserve">DSA-09-FE</t>
  </si>
  <si>
    <t xml:space="preserve">[Next.js] หน้าประวัติเวอร์ชัน</t>
  </si>
  <si>
    <t xml:space="preserve">DSA-09-QA</t>
  </si>
  <si>
    <t xml:space="preserve">test case + automated test: เห็นประวัติการแก้ไขและดาวน์โหลด</t>
  </si>
  <si>
    <t xml:space="preserve">DSA-09-BE, DSA-09-FE</t>
  </si>
  <si>
    <t xml:space="preserve">DSA-10-SA</t>
  </si>
  <si>
    <t xml:space="preserve">DSA-10-BE</t>
  </si>
  <si>
    <t xml:space="preserve">[Go] ใช้ connector e-signature ของ DPA-09</t>
  </si>
  <si>
    <t xml:space="preserve">DSA-10-FE</t>
  </si>
  <si>
    <t xml:space="preserve">[Next.js] ปุ่มส่งลงนาม</t>
  </si>
  <si>
    <t xml:space="preserve">DSA-10-QA</t>
  </si>
  <si>
    <t xml:space="preserve">test case + automated test: ไฟล์ที่ลงนามถูกเก็บกลับอัตโนมัติ</t>
  </si>
  <si>
    <t xml:space="preserve">DSA-10-BE, DSA-10-FE</t>
  </si>
  <si>
    <t xml:space="preserve">DSA-12-SA</t>
  </si>
  <si>
    <t xml:space="preserve">วิเคราะห์ business rules, ERD และ OpenAPI spec: ผูกข้อตกลงกับกิจกรรมและแผนผัง</t>
  </si>
  <si>
    <t xml:space="preserve">DSA-12-BE</t>
  </si>
  <si>
    <t xml:space="preserve">[Go] ผูก DSA กับเส้นทางข้อมูล + เตือนเส้นทางที่ไม่มีข้อตกลง</t>
  </si>
  <si>
    <t xml:space="preserve">DSA-12-FE</t>
  </si>
  <si>
    <t xml:space="preserve">[Next.js] แสดงข้อตกลงบนแผนผัง</t>
  </si>
  <si>
    <t xml:space="preserve">DSA-12-QA</t>
  </si>
  <si>
    <t xml:space="preserve">test case + automated test: เส้นทางส่งข้อมูลให้ผู้ควบคุมรายอื่นที่ไม่มี DSA ถูกเตือน</t>
  </si>
  <si>
    <t xml:space="preserve">DSA-12-BE, DSA-12-FE</t>
  </si>
  <si>
    <t xml:space="preserve">DSA-13-SA</t>
  </si>
  <si>
    <t xml:space="preserve">วิเคราะห์ business rules, ERD และ OpenAPI spec: ติดตามภาระผูกพันตามข้อตกลง</t>
  </si>
  <si>
    <t xml:space="preserve">DSA-13-BE</t>
  </si>
  <si>
    <t xml:space="preserve">[Go] ภาระผูกพันราย clause → งาน / รอบรายงาน / ลบข้อมูลเมื่อสิ้นสุด</t>
  </si>
  <si>
    <t xml:space="preserve">DSA-13-FE</t>
  </si>
  <si>
    <t xml:space="preserve">[Next.js] แท็บภาระผูกพัน</t>
  </si>
  <si>
    <t xml:space="preserve">DSA-13-QA</t>
  </si>
  <si>
    <t xml:space="preserve">test case + automated test: ภาระผูกพันที่ถึงกำหนดสร้างงานอัตโนมัติ</t>
  </si>
  <si>
    <t xml:space="preserve">DSA-13-BE, DSA-13-FE</t>
  </si>
  <si>
    <t xml:space="preserve">DSA-14-SA</t>
  </si>
  <si>
    <t xml:space="preserve">วิเคราะห์ business rules, ERD และ OpenAPI spec: รองรับการแบ่งปันข้อมูลระหว่างหน่วยงานรัฐ</t>
  </si>
  <si>
    <t xml:space="preserve">DSA-14-BE</t>
  </si>
  <si>
    <t xml:space="preserve">[Go] template และขั้นตอนสำหรับการแลกเปลี่ยนข้อมูลระหว่างหน่วยงานรัฐ</t>
  </si>
  <si>
    <t xml:space="preserve">DSA-14-FE</t>
  </si>
  <si>
    <t xml:space="preserve">[Next.js] ตัวเลือก template ภาครัฐ</t>
  </si>
  <si>
    <t xml:space="preserve">DSA-14-QA</t>
  </si>
  <si>
    <t xml:space="preserve">test case + automated test: สร้างข้อตกลงระหว่างหน่วยงานรัฐได้ครบหัวข้อ</t>
  </si>
  <si>
    <t xml:space="preserve">DSA-14-BE, DSA-14-FE</t>
  </si>
  <si>
    <t xml:space="preserve">DPX-05-SA</t>
  </si>
  <si>
    <t xml:space="preserve">วิเคราะห์ business rules, ERD และ OpenAPI spec: บริหารการเก็บรักษาและทำลายข้อมูล</t>
  </si>
  <si>
    <t xml:space="preserve">DPX-05-UX</t>
  </si>
  <si>
    <t xml:space="preserve">ออกแบบหน้าจอและ prototype: บริหารการเก็บรักษาและทำลายข้อมูล</t>
  </si>
  <si>
    <t xml:space="preserve">DPX-05-BE</t>
  </si>
  <si>
    <t xml:space="preserve">[Go] ตาราง retention (จาก RoPA), job ตรวจครบกำหนด, workflow ลบ / ทำลาย / ทำให้ไม่ระบุตัวตน มอบหมายเจ้าของระบบ, หลักฐานการทำลาย, legal hold</t>
  </si>
  <si>
    <t xml:space="preserve">DPX-05-FE</t>
  </si>
  <si>
    <t xml:space="preserve">[Next.js] หน้าตาราง retention + งานทำลายที่ครบกำหนด</t>
  </si>
  <si>
    <t xml:space="preserve">DPX-05-QA</t>
  </si>
  <si>
    <t xml:space="preserve">test case + automated test: ข้อมูลครบกำหนดสร้างงานทำลายอัตโนมัติและปิดได้เมื่อแนบหลักฐาน</t>
  </si>
  <si>
    <t xml:space="preserve">DPX-05-BE, DPX-05-FE</t>
  </si>
  <si>
    <t xml:space="preserve">DPX-06-SA</t>
  </si>
  <si>
    <t xml:space="preserve">วิเคราะห์ business rules, ERD และ OpenAPI spec: ประเมินการโอนข้อมูลไปต่างประเทศ (TIA)</t>
  </si>
  <si>
    <t xml:space="preserve">DPX-06-BE</t>
  </si>
  <si>
    <t xml:space="preserve">[Go] แบบประเมินการโอนตามประกาศ ม.28/29 พ.ศ. 2566 (ประเทศปลายทาง, BCR / ข้อสัญญา / ใบรับรอง) ผูกกิจกรรมและคู่ค้า</t>
  </si>
  <si>
    <t xml:space="preserve">DPX-06-FE</t>
  </si>
  <si>
    <t xml:space="preserve">[Next.js] หน้า TIA</t>
  </si>
  <si>
    <t xml:space="preserve">DPX-06-QA</t>
  </si>
  <si>
    <t xml:space="preserve">test case + automated test: การโอนต่างประเทศทุกเส้นทางมีผล TIA อ้างอิง</t>
  </si>
  <si>
    <t xml:space="preserve">DPX-06-BE, DPX-06-FE</t>
  </si>
  <si>
    <t xml:space="preserve">DPX-01-SA</t>
  </si>
  <si>
    <t xml:space="preserve">วิเคราะห์ business rules, ERD และ OpenAPI spec: อบรมและทดสอบพนักงาน</t>
  </si>
  <si>
    <t xml:space="preserve">DPX-01-UX</t>
  </si>
  <si>
    <t xml:space="preserve">ออกแบบหน้าจอและ prototype: อบรมและทดสอบพนักงาน</t>
  </si>
  <si>
    <t xml:space="preserve">DPX-01-BE</t>
  </si>
  <si>
    <t xml:space="preserve">[Go] LMS ขนาดเล็ก: คอร์ส (วิดีโอ / สไลด์), แบบทดสอบ, เกณฑ์ผ่าน, ใบประกาศ PDF, มอบหมายตามแผนก, รายงาน; หรือเชื่อม LMS ผ่าน SCORM / xAPI</t>
  </si>
  <si>
    <t xml:space="preserve">DPX-01-FE</t>
  </si>
  <si>
    <t xml:space="preserve">[Next.js] หน้าเรียนใน portal + หน้าจัดการคอร์ส</t>
  </si>
  <si>
    <t xml:space="preserve">DPX-01-QA</t>
  </si>
  <si>
    <t xml:space="preserve">test case + automated test: พนักงานเรียนและทำแบบทดสอบได้ และรายงานแสดงผลรายบุคคล</t>
  </si>
  <si>
    <t xml:space="preserve">DPX-01-BE, DPX-01-FE</t>
  </si>
  <si>
    <t xml:space="preserve">DPX-02-SA</t>
  </si>
  <si>
    <t xml:space="preserve">วิเคราะห์ business rules, ERD และ OpenAPI spec: รับทราบนโยบายภายใน</t>
  </si>
  <si>
    <t xml:space="preserve">DPX-02-BE</t>
  </si>
  <si>
    <t xml:space="preserve">[Go] เผยแพร่นโยบาย → พนักงานกดรับทราบ + หลักฐาน + ติดตามผู้ยังไม่รับทราบ</t>
  </si>
  <si>
    <t xml:space="preserve">DPX-02-FE</t>
  </si>
  <si>
    <t xml:space="preserve">[Next.js] หน้ารับทราบนโยบาย</t>
  </si>
  <si>
    <t xml:space="preserve">DPX-02-QA</t>
  </si>
  <si>
    <t xml:space="preserve">test case + automated test: รายงานแสดงผู้ที่ยังไม่รับทราบ</t>
  </si>
  <si>
    <t xml:space="preserve">DPX-02-BE, DPX-02-FE</t>
  </si>
  <si>
    <t xml:space="preserve">DPX-03-SA</t>
  </si>
  <si>
    <t xml:space="preserve">วิเคราะห์ business rules, ERD และ OpenAPI spec: ตรวจประเมินความพร้อมทั้งองค์กร</t>
  </si>
  <si>
    <t xml:space="preserve">DPX-03-UX</t>
  </si>
  <si>
    <t xml:space="preserve">ออกแบบหน้าจอและ prototype: ตรวจประเมินความพร้อมทั้งองค์กร</t>
  </si>
  <si>
    <t xml:space="preserve">DPX-03-BE</t>
  </si>
  <si>
    <t xml:space="preserve">[Go] แบบประเมินความพร้อมระดับองค์กร / บริษัทในเครือ + คะแนนรายด้าน + แผนแก้ไข</t>
  </si>
  <si>
    <t xml:space="preserve">DPX-03-FE</t>
  </si>
  <si>
    <t xml:space="preserve">[Next.js] หน้าประเมินและผลเปรียบเทียบรายบริษัท</t>
  </si>
  <si>
    <t xml:space="preserve">DPX-03-QA</t>
  </si>
  <si>
    <t xml:space="preserve">test case + automated test: ผลประเมินแสดงคะแนนรายด้านและแผนแก้ไข</t>
  </si>
  <si>
    <t xml:space="preserve">DPX-03-BE, DPX-03-FE</t>
  </si>
  <si>
    <t xml:space="preserve">DPX-04-SA</t>
  </si>
  <si>
    <t xml:space="preserve">วิเคราะห์ business rules, ERD และ OpenAPI spec: ติดตามแผนแก้ไขจากการตรวจ</t>
  </si>
  <si>
    <t xml:space="preserve">DPX-04-BE</t>
  </si>
  <si>
    <t xml:space="preserve">[Go] ข้อตรวจพบ → งาน + หลักฐาน + ติดตาม</t>
  </si>
  <si>
    <t xml:space="preserve">DPX-04-FE</t>
  </si>
  <si>
    <t xml:space="preserve">[Next.js] แท็บแผนแก้ไขในหน้าผลตรวจ</t>
  </si>
  <si>
    <t xml:space="preserve">DPX-04-QA</t>
  </si>
  <si>
    <t xml:space="preserve">test case + automated test: ข้อตรวจพบปิดได้เมื่อแนบหลักฐาน</t>
  </si>
  <si>
    <t xml:space="preserve">DPX-04-BE, DPX-04-FE</t>
  </si>
  <si>
    <t xml:space="preserve">DPX-08-SA</t>
  </si>
  <si>
    <t xml:space="preserve">วิเคราะห์ business rules, ERD และ OpenAPI spec: บันทึกการติดต่อกับ สคส.</t>
  </si>
  <si>
    <t xml:space="preserve">DPX-08-BE</t>
  </si>
  <si>
    <t xml:space="preserve">[Go] ทะเบียนหนังสือ / คำสั่ง / การตรวจสอบจาก สคส. + กำหนดส่ง + ไฟล์</t>
  </si>
  <si>
    <t xml:space="preserve">DPX-08-FE</t>
  </si>
  <si>
    <t xml:space="preserve">[Next.js] หน้าทะเบียนการติดต่อกับ สคส.</t>
  </si>
  <si>
    <t xml:space="preserve">DPX-08-QA</t>
  </si>
  <si>
    <t xml:space="preserve">test case + automated test: กำหนดส่งถูกแจ้งเตือนก่อนครบ</t>
  </si>
  <si>
    <t xml:space="preserve">DPX-08-BE, DPX-08-FE</t>
  </si>
  <si>
    <t xml:space="preserve">DPX-13-SA</t>
  </si>
  <si>
    <t xml:space="preserve">วิเคราะห์ business rules, ERD และ OpenAPI spec: เชื่อมระบบ HR / ITSM / SIEM</t>
  </si>
  <si>
    <t xml:space="preserve">DPX-13-BE</t>
  </si>
  <si>
    <t xml:space="preserve">[Go] HRIS (พนักงานเข้า/ออก → ผู้ใช้ / อบรม), ServiceNow / Jira (สร้างงาน), SIEM (ส่ง audit log แบบ syslog / webhook)</t>
  </si>
  <si>
    <t xml:space="preserve">DPX-13-FE</t>
  </si>
  <si>
    <t xml:space="preserve">[Next.js] หน้าตั้งค่า connector</t>
  </si>
  <si>
    <t xml:space="preserve">DPX-13-QA</t>
  </si>
  <si>
    <t xml:space="preserve">test case + automated test: พนักงานลาออกใน HRIS แล้วบัญชีถูกปิดอัตโนมัติ</t>
  </si>
  <si>
    <t xml:space="preserve">DPX-13-BE, DPX-13-FE</t>
  </si>
  <si>
    <t xml:space="preserve">DPX-07-SA</t>
  </si>
  <si>
    <t xml:space="preserve">วิเคราะห์ business rules, ERD และ OpenAPI spec: เครื่องมือ Masking / Pseudonymization</t>
  </si>
  <si>
    <t xml:space="preserve">DPX-07-BE</t>
  </si>
  <si>
    <t xml:space="preserve">[Go] เครื่องมือ mask / tokenize ไฟล์ CSV และฐานข้อมูลตัวอย่าง (format-preserving สำหรับเลขบัตร / เบอร์)</t>
  </si>
  <si>
    <t xml:space="preserve">DPX-07-FE</t>
  </si>
  <si>
    <t xml:space="preserve">[Next.js] หน้าสร้างงาน masking</t>
  </si>
  <si>
    <t xml:space="preserve">DPX-07-QA</t>
  </si>
  <si>
    <t xml:space="preserve">test case + automated test: ไฟล์ที่ mask แล้วไม่มีค่าจริงหลงเหลือแต่รูปแบบยังถูกต้อง</t>
  </si>
  <si>
    <t xml:space="preserve">DPX-07-BE, DPX-07-FE</t>
  </si>
  <si>
    <t xml:space="preserve">DPX-09-SA</t>
  </si>
  <si>
    <t xml:space="preserve">วิเคราะห์ business rules, ERD และ OpenAPI spec: ติดตามกฎหมายและประกาศใหม่</t>
  </si>
  <si>
    <t xml:space="preserve">DPX-09-BE</t>
  </si>
  <si>
    <t xml:space="preserve">[Go] ฟีดประกาศ สคส. (ทีมเนื้อหาของเราดูแล) → แจ้ง tenant + แบบประเมินผลกระทบ</t>
  </si>
  <si>
    <t xml:space="preserve">DPX-09-FE</t>
  </si>
  <si>
    <t xml:space="preserve">[Next.js] หน้าฟีดกฎหมาย</t>
  </si>
  <si>
    <t xml:space="preserve">DPX-09-QA</t>
  </si>
  <si>
    <t xml:space="preserve">test case + automated test: ประกาศใหม่ถูกแจ้งทุก tenant ภายใน 3 วันทำการหลังประกาศ</t>
  </si>
  <si>
    <t xml:space="preserve">DPX-09-BE, DPX-09-FE</t>
  </si>
  <si>
    <t xml:space="preserve">DPX-10-SA</t>
  </si>
  <si>
    <t xml:space="preserve">วิเคราะห์ business rules, ERD และ OpenAPI spec: เชื่อมโยงกฎหมายอื่นที่เกี่ยวข้อง</t>
  </si>
  <si>
    <t xml:space="preserve">DPX-10-BE</t>
  </si>
  <si>
    <t xml:space="preserve">[Go] framework กฎหมายอื่น (พ.ร.บ.ไซเบอร์, พ.ร.บ.คอมพิวเตอร์ – เก็บข้อมูลจราจร 90 วัน, ธปท. / คปภ. / ก.ล.ต.) เป็น checklist</t>
  </si>
  <si>
    <t xml:space="preserve">DPX-10-FE</t>
  </si>
  <si>
    <t xml:space="preserve">[Next.js] หน้าเลือก framework</t>
  </si>
  <si>
    <t xml:space="preserve">DPX-10-QA</t>
  </si>
  <si>
    <t xml:space="preserve">test case + automated test: เลือก framework แล้วได้ checklist พร้อมใช้</t>
  </si>
  <si>
    <t xml:space="preserve">DPX-10-BE, DPX-10-FE</t>
  </si>
  <si>
    <t xml:space="preserve">DPX-11-SA</t>
  </si>
  <si>
    <t xml:space="preserve">วิเคราะห์ business rules, ERD และ OpenAPI spec: ผู้ช่วย AI สำหรับ DPO</t>
  </si>
  <si>
    <t xml:space="preserve">DPX-11-UX</t>
  </si>
  <si>
    <t xml:space="preserve">ออกแบบหน้าจอและ prototype: ผู้ช่วย AI สำหรับ DPO</t>
  </si>
  <si>
    <t xml:space="preserve">DPX-11-BE</t>
  </si>
  <si>
    <t xml:space="preserve">[Go] ผู้ช่วยแชต: ถาม-ตอบ PDPA ภาษาไทย (RAG จากคลังกฎหมายและเอกสารองค์กร), ร่างคำตอบคำขอ, สรุป DPIA, ตรวจสัญญา — ทุกคำตอบอ้างแหล่ง</t>
  </si>
  <si>
    <t xml:space="preserve">DPX-11-FE</t>
  </si>
  <si>
    <t xml:space="preserve">[Next.js] แผงแชตใน admin</t>
  </si>
  <si>
    <t xml:space="preserve">DPX-11-QA</t>
  </si>
  <si>
    <t xml:space="preserve">test case + automated test: ทุกคำตอบอ้างแหล่งและผ่านชุดทดสอบคุณภาพ (T45)</t>
  </si>
  <si>
    <t xml:space="preserve">DPX-11-BE, DPX-11-FE</t>
  </si>
  <si>
    <t xml:space="preserve">DPX-12-SA</t>
  </si>
  <si>
    <t xml:space="preserve">วิเคราะห์ business rules, ERD และ OpenAPI spec: ทะเบียนระบบ AI</t>
  </si>
  <si>
    <t xml:space="preserve">DPX-12-BE</t>
  </si>
  <si>
    <t xml:space="preserve">[Go] ทะเบียนระบบ AI + ผลประเมิน (DPIA-17)</t>
  </si>
  <si>
    <t xml:space="preserve">DPX-12-FE</t>
  </si>
  <si>
    <t xml:space="preserve">[Next.js] หน้าทะเบียน AI</t>
  </si>
  <si>
    <t xml:space="preserve">DPX-12-QA</t>
  </si>
  <si>
    <t xml:space="preserve">test case + automated test: ระบบ AI ทุกตัวผูกกับผลประเมิน</t>
  </si>
  <si>
    <t xml:space="preserve">DPX-12-BE, DPX-12-FE</t>
  </si>
  <si>
    <t xml:space="preserve">T00-P0-PM</t>
  </si>
  <si>
    <t xml:space="preserve">T00-P0</t>
  </si>
  <si>
    <t xml:space="preserve">E00</t>
  </si>
  <si>
    <t xml:space="preserve">บริหารโครงการ + DevOps ต่อเนื่อง Phase 0 (PM: ceremonies, status report, steering, risk/issue, change control; DevOps: environment, release, monitoring, on-call)</t>
  </si>
  <si>
    <t xml:space="preserve">T00-P0-DevOps</t>
  </si>
  <si>
    <t xml:space="preserve">T00-P1-PM</t>
  </si>
  <si>
    <t xml:space="preserve">T00-P1</t>
  </si>
  <si>
    <t xml:space="preserve">บริหารโครงการ + DevOps ต่อเนื่อง Phase 1</t>
  </si>
  <si>
    <t xml:space="preserve">T00-P1-DevOps</t>
  </si>
  <si>
    <t xml:space="preserve">T00-P2-PM</t>
  </si>
  <si>
    <t xml:space="preserve">T00-P2</t>
  </si>
  <si>
    <t xml:space="preserve">บริหารโครงการ + DevOps ต่อเนื่อง Phase 2</t>
  </si>
  <si>
    <t xml:space="preserve">T00-P2-DevOps</t>
  </si>
  <si>
    <t xml:space="preserve">T00-P3-PM</t>
  </si>
  <si>
    <t xml:space="preserve">T00-P3</t>
  </si>
  <si>
    <t xml:space="preserve">บริหารโครงการ + DevOps ต่อเนื่อง Phase 3</t>
  </si>
  <si>
    <t xml:space="preserve">T00-P3-DevOps</t>
  </si>
  <si>
    <t xml:space="preserve">T00-P4-PM</t>
  </si>
  <si>
    <t xml:space="preserve">T00-P4</t>
  </si>
  <si>
    <t xml:space="preserve">บริหารโครงการ + DevOps ต่อเนื่อง Phase 4</t>
  </si>
  <si>
    <t xml:space="preserve">T00-P4-DevOps</t>
  </si>
  <si>
    <t xml:space="preserve">T01-PM</t>
  </si>
  <si>
    <t xml:space="preserve">T01</t>
  </si>
  <si>
    <t xml:space="preserve">Kickoff, project charter, RACI และแผนการสื่อสาร</t>
  </si>
  <si>
    <t xml:space="preserve">T01-SA</t>
  </si>
  <si>
    <t xml:space="preserve">T02-PM</t>
  </si>
  <si>
    <t xml:space="preserve">T02</t>
  </si>
  <si>
    <t xml:space="preserve">Workshop ความต้องการกับ DPO / กฎหมาย / ธุรกิจ ครบ 15 โมดูล + User &amp; Permission</t>
  </si>
  <si>
    <t xml:space="preserve">T02-SA</t>
  </si>
  <si>
    <t xml:space="preserve">T02-UX</t>
  </si>
  <si>
    <t xml:space="preserve">T02-Legal</t>
  </si>
  <si>
    <t xml:space="preserve">Legal</t>
  </si>
  <si>
    <t xml:space="preserve">T03-SA</t>
  </si>
  <si>
    <t xml:space="preserve">T03</t>
  </si>
  <si>
    <t xml:space="preserve">วิเคราะห์ระบบ Consent เดิม (.NET, FSD V3.2): business rules, domain model, test case และแผนย้ายข้อมูลมาระบบ Go</t>
  </si>
  <si>
    <t xml:space="preserve">T03-BE</t>
  </si>
  <si>
    <t xml:space="preserve">T03-QA</t>
  </si>
  <si>
    <t xml:space="preserve">T04-SA</t>
  </si>
  <si>
    <t xml:space="preserve">T04</t>
  </si>
  <si>
    <t xml:space="preserve">Solution Architecture Document, NFR และ ADR (Next.js, Go, PostgreSQL, Keycloak, River, Gotenberg) + ตรวจ license ของ open source ทุกตัว</t>
  </si>
  <si>
    <t xml:space="preserve">T04-BE</t>
  </si>
  <si>
    <t xml:space="preserve">T04-FE</t>
  </si>
  <si>
    <t xml:space="preserve">T04-DevOps</t>
  </si>
  <si>
    <t xml:space="preserve">T05-SA</t>
  </si>
  <si>
    <t xml:space="preserve">T05</t>
  </si>
  <si>
    <t xml:space="preserve">ERD, data dictionary และมาตรฐาน OpenAPI (naming, error RFC 9457, pagination, x-permission)</t>
  </si>
  <si>
    <t xml:space="preserve">T05-BE</t>
  </si>
  <si>
    <t xml:space="preserve">T06-PM</t>
  </si>
  <si>
    <t xml:space="preserve">T06</t>
  </si>
  <si>
    <t xml:space="preserve">ยืนยันโมเดลสิทธิ์ (Role / Permission / Data scope / Guest) กับลูกค้า</t>
  </si>
  <si>
    <t xml:space="preserve">T06-SA</t>
  </si>
  <si>
    <t xml:space="preserve">T06-Legal</t>
  </si>
  <si>
    <t xml:space="preserve">T07-SA</t>
  </si>
  <si>
    <t xml:space="preserve">T07</t>
  </si>
  <si>
    <t xml:space="preserve">Design system (shadcn/ui + Tailwind), information architecture และ prototype หน้าหลักของ admin และ portal</t>
  </si>
  <si>
    <t xml:space="preserve">T07-UX</t>
  </si>
  <si>
    <t xml:space="preserve">T07-FE</t>
  </si>
  <si>
    <t xml:space="preserve">T08-PM</t>
  </si>
  <si>
    <t xml:space="preserve">T08</t>
  </si>
  <si>
    <t xml:space="preserve">Product backlog, release plan, Definition of Ready / Done และประมาณการรอบแรก</t>
  </si>
  <si>
    <t xml:space="preserve">T08-SA</t>
  </si>
  <si>
    <t xml:space="preserve">T09-DevOps</t>
  </si>
  <si>
    <t xml:space="preserve">T09</t>
  </si>
  <si>
    <t xml:space="preserve">Environment Dev / SIT / UAT / Prod บน Kubernetes + IaC (OpenTofu/Terraform) + PostgreSQL HA, Valkey, object storage, Keycloak</t>
  </si>
  <si>
    <t xml:space="preserve">T10-BE</t>
  </si>
  <si>
    <t xml:space="preserve">T10</t>
  </si>
  <si>
    <t xml:space="preserve">CI/CD: golangci-lint, ESLint, unit test, SAST (gosec/Semgrep), govulncheck/OSV-Scanner, Trivy, SBOM (Syft), image signing (cosign), GitOps deploy</t>
  </si>
  <si>
    <t xml:space="preserve">T10-FE</t>
  </si>
  <si>
    <t xml:space="preserve">T10-DevOps</t>
  </si>
  <si>
    <t xml:space="preserve">T11-QA</t>
  </si>
  <si>
    <t xml:space="preserve">T11</t>
  </si>
  <si>
    <t xml:space="preserve">Test strategy และ test plan</t>
  </si>
  <si>
    <t xml:space="preserve">T12-BE</t>
  </si>
  <si>
    <t xml:space="preserve">T12</t>
  </si>
  <si>
    <t xml:space="preserve">Test automation framework: Go integration test (testcontainers-go), API contract test จาก OpenAPI, Playwright E2E, k6</t>
  </si>
  <si>
    <t xml:space="preserve">T12-QA</t>
  </si>
  <si>
    <t xml:space="preserve">T13-SA</t>
  </si>
  <si>
    <t xml:space="preserve">T13</t>
  </si>
  <si>
    <t xml:space="preserve">PoC ความเสี่ยงเทคนิค: Keycloak multi-tenant + theme, cookie scanner (chromedp), PDF/DOCX ภาษาไทย, OCR และตรวจจับ PII ภาษาไทย</t>
  </si>
  <si>
    <t xml:space="preserve">T13-BE</t>
  </si>
  <si>
    <t xml:space="preserve">T13-FE</t>
  </si>
  <si>
    <t xml:space="preserve">T14-SA</t>
  </si>
  <si>
    <t xml:space="preserve">T14</t>
  </si>
  <si>
    <t xml:space="preserve">Threat modeling (STRIDE) และ security requirements ของแพลตฟอร์ม</t>
  </si>
  <si>
    <t xml:space="preserve">T14-BE</t>
  </si>
  <si>
    <t xml:space="preserve">T14-DevOps</t>
  </si>
  <si>
    <t xml:space="preserve">T15-Legal</t>
  </si>
  <si>
    <t xml:space="preserve">T15</t>
  </si>
  <si>
    <t xml:space="preserve">เนื้อหาชุด P1 (TH/EN): template ประกาศ 8 กลุ่ม, ข้อความยินยอม, หนังสือตอบคำขอ, แบบแจ้ง สคส., กิจกรรมมาตรฐานราว 50 รายการ, checklist มาตรการความปลอดภัย</t>
  </si>
  <si>
    <t xml:space="preserve">T16-SA</t>
  </si>
  <si>
    <t xml:space="preserve">T16</t>
  </si>
  <si>
    <t xml:space="preserve">Integration specification: CRM / POS / LINE OA / Email / SMS gateway / SSO (Entra ID, Google) / ThaID</t>
  </si>
  <si>
    <t xml:space="preserve">T16-BE</t>
  </si>
  <si>
    <t xml:space="preserve">T17-DevOps</t>
  </si>
  <si>
    <t xml:space="preserve">T17</t>
  </si>
  <si>
    <t xml:space="preserve">Production บน cloud ที่มี data center ในไทย + CDN สำหรับ cookie SDK + WAF + Helm chart</t>
  </si>
  <si>
    <t xml:space="preserve">T18-DevOps</t>
  </si>
  <si>
    <t xml:space="preserve">T18</t>
  </si>
  <si>
    <t xml:space="preserve">Monitoring / logging / alert (ร่วมกับ PLT-19) + on-call runbook</t>
  </si>
  <si>
    <t xml:space="preserve">T19-DevOps</t>
  </si>
  <si>
    <t xml:space="preserve">T19</t>
  </si>
  <si>
    <t xml:space="preserve">Backup, PITR, DR + ทดสอบ restore</t>
  </si>
  <si>
    <t xml:space="preserve">T20-BE</t>
  </si>
  <si>
    <t xml:space="preserve">T20</t>
  </si>
  <si>
    <t xml:space="preserve">Security hardening: TLS, CSP, secret ใน KMS/OpenBao, network policy, hardening Keycloak</t>
  </si>
  <si>
    <t xml:space="preserve">T20-DevOps</t>
  </si>
  <si>
    <t xml:space="preserve">T21-BE</t>
  </si>
  <si>
    <t xml:space="preserve">T21</t>
  </si>
  <si>
    <t xml:space="preserve">SIT รอบรวม Phase 1</t>
  </si>
  <si>
    <t xml:space="preserve">ฟีเจอร์ P1</t>
  </si>
  <si>
    <t xml:space="preserve">T21-FE</t>
  </si>
  <si>
    <t xml:space="preserve">T21-QA</t>
  </si>
  <si>
    <t xml:space="preserve">T22-BE</t>
  </si>
  <si>
    <t xml:space="preserve">T22</t>
  </si>
  <si>
    <t xml:space="preserve">Performance / load test (k6): Consent API, config แบนเนอร์ผ่าน CDN, portal</t>
  </si>
  <si>
    <t xml:space="preserve">T22-QA</t>
  </si>
  <si>
    <t xml:space="preserve">T22-DevOps</t>
  </si>
  <si>
    <t xml:space="preserve">T23-BE</t>
  </si>
  <si>
    <t xml:space="preserve">T23</t>
  </si>
  <si>
    <t xml:space="preserve">Security test (SAST/DAST ด้วย OWASP ZAP, OWASP Top 10, ทดสอบการแยก tenant) + แก้ไข</t>
  </si>
  <si>
    <t xml:space="preserve">T23-FE</t>
  </si>
  <si>
    <t xml:space="preserve">T23-QA</t>
  </si>
  <si>
    <t xml:space="preserve">T24-PM</t>
  </si>
  <si>
    <t xml:space="preserve">T24</t>
  </si>
  <si>
    <t xml:space="preserve">Penetration test โดยบุคคลภายนอก + retest (ค่าบริการแยก)</t>
  </si>
  <si>
    <t xml:space="preserve">T24-BE</t>
  </si>
  <si>
    <t xml:space="preserve">T24-FE</t>
  </si>
  <si>
    <t xml:space="preserve">T25-PM</t>
  </si>
  <si>
    <t xml:space="preserve">T25</t>
  </si>
  <si>
    <t xml:space="preserve">UAT Phase 1 (เตรียมข้อมูล ประสานงาน แก้ไข)</t>
  </si>
  <si>
    <t xml:space="preserve">T25-SA</t>
  </si>
  <si>
    <t xml:space="preserve">T25-BE</t>
  </si>
  <si>
    <t xml:space="preserve">T25-FE</t>
  </si>
  <si>
    <t xml:space="preserve">T25-QA</t>
  </si>
  <si>
    <t xml:space="preserve">T26-SA</t>
  </si>
  <si>
    <t xml:space="preserve">T26</t>
  </si>
  <si>
    <t xml:space="preserve">ย้ายข้อมูลความยินยอมจากระบบ Consent เดิมและ RoPA จาก Excel (ใช้ CON-22, ROPA-18) + reconcile</t>
  </si>
  <si>
    <t xml:space="preserve">T26-BE</t>
  </si>
  <si>
    <t xml:space="preserve">T26-QA</t>
  </si>
  <si>
    <t xml:space="preserve">T27-SA</t>
  </si>
  <si>
    <t xml:space="preserve">T27</t>
  </si>
  <si>
    <t xml:space="preserve">คู่มือผู้ใช้และผู้ดูแลระบบ TH/EN</t>
  </si>
  <si>
    <t xml:space="preserve">T27-Doc</t>
  </si>
  <si>
    <t xml:space="preserve">Doc</t>
  </si>
  <si>
    <t xml:space="preserve">T28-BE</t>
  </si>
  <si>
    <t xml:space="preserve">T28</t>
  </si>
  <si>
    <t xml:space="preserve">เอกสาร API + ตัวอย่างติดตั้ง cookie SDK และ Consent API</t>
  </si>
  <si>
    <t xml:space="preserve">T28-FE</t>
  </si>
  <si>
    <t xml:space="preserve">T29-PM</t>
  </si>
  <si>
    <t xml:space="preserve">T29</t>
  </si>
  <si>
    <t xml:space="preserve">อบรมผู้ใช้ + Train the trainer</t>
  </si>
  <si>
    <t xml:space="preserve">T29-SA</t>
  </si>
  <si>
    <t xml:space="preserve">T30-Legal</t>
  </si>
  <si>
    <t xml:space="preserve">T30</t>
  </si>
  <si>
    <t xml:space="preserve">Legal review ตามประกาศ สคส. ล่าสุด ก่อน go-live Phase 1</t>
  </si>
  <si>
    <t xml:space="preserve">T31-SA</t>
  </si>
  <si>
    <t xml:space="preserve">T31</t>
  </si>
  <si>
    <t xml:space="preserve">PDPA ของตัวแพลตฟอร์มเอง: RoPA ของบริการ, DPA ให้ลูกค้า, privacy by design review</t>
  </si>
  <si>
    <t xml:space="preserve">T31-DevOps</t>
  </si>
  <si>
    <t xml:space="preserve">T31-Legal</t>
  </si>
  <si>
    <t xml:space="preserve">T32-PM</t>
  </si>
  <si>
    <t xml:space="preserve">T32</t>
  </si>
  <si>
    <t xml:space="preserve">Go-live readiness, cutover plan และ go-live</t>
  </si>
  <si>
    <t xml:space="preserve">T32-BE</t>
  </si>
  <si>
    <t xml:space="preserve">T32-DevOps</t>
  </si>
  <si>
    <t xml:space="preserve">T33-PM</t>
  </si>
  <si>
    <t xml:space="preserve">T33</t>
  </si>
  <si>
    <t xml:space="preserve">Hypercare 2 สัปดาห์หลัง go-live</t>
  </si>
  <si>
    <t xml:space="preserve">T33-BE</t>
  </si>
  <si>
    <t xml:space="preserve">T33-FE</t>
  </si>
  <si>
    <t xml:space="preserve">T33-QA</t>
  </si>
  <si>
    <t xml:space="preserve">T34-Legal</t>
  </si>
  <si>
    <t xml:space="preserve">T34</t>
  </si>
  <si>
    <t xml:space="preserve">เนื้อหาชุด P2: template DPIA/LIA/TIA, แบบประเมินคู่ค้า, DPA/DSA TH/EN และ clause มาตรฐาน</t>
  </si>
  <si>
    <t xml:space="preserve">T35-SA</t>
  </si>
  <si>
    <t xml:space="preserve">Integration spec: e-signature และระบบจัดซื้อ/ทะเบียนคู่ค้า</t>
  </si>
  <si>
    <t xml:space="preserve">T35-BE</t>
  </si>
  <si>
    <t xml:space="preserve">T36-PM</t>
  </si>
  <si>
    <t xml:space="preserve">T36</t>
  </si>
  <si>
    <t xml:space="preserve">SIT + UAT Phase 2</t>
  </si>
  <si>
    <t xml:space="preserve">ฟีเจอร์ P2</t>
  </si>
  <si>
    <t xml:space="preserve">T36-SA</t>
  </si>
  <si>
    <t xml:space="preserve">T36-BE</t>
  </si>
  <si>
    <t xml:space="preserve">T36-FE</t>
  </si>
  <si>
    <t xml:space="preserve">T36-QA</t>
  </si>
  <si>
    <t xml:space="preserve">T37-Legal</t>
  </si>
  <si>
    <t xml:space="preserve">T37</t>
  </si>
  <si>
    <t xml:space="preserve">Legal review ก่อน go-live Phase 2</t>
  </si>
  <si>
    <t xml:space="preserve">T38-SA</t>
  </si>
  <si>
    <t xml:space="preserve">T38</t>
  </si>
  <si>
    <t xml:space="preserve">อัปเดตคู่มือ + อบรม Phase 2</t>
  </si>
  <si>
    <t xml:space="preserve">T38-Doc</t>
  </si>
  <si>
    <t xml:space="preserve">T39-PM</t>
  </si>
  <si>
    <t xml:space="preserve">T39</t>
  </si>
  <si>
    <t xml:space="preserve">Go-live + Hypercare Phase 2</t>
  </si>
  <si>
    <t xml:space="preserve">T39-BE</t>
  </si>
  <si>
    <t xml:space="preserve">T39-FE</t>
  </si>
  <si>
    <t xml:space="preserve">T39-QA</t>
  </si>
  <si>
    <t xml:space="preserve">T39-DevOps</t>
  </si>
  <si>
    <t xml:space="preserve">T40-Legal</t>
  </si>
  <si>
    <t xml:space="preserve">เนื้อหาชุด P3: template ตามอุตสาหกรรม (ประกาศ / RoPA), แม่แบบภาครัฐ สพร., คลังความรู้ DPO</t>
  </si>
  <si>
    <t xml:space="preserve">T41-BE</t>
  </si>
  <si>
    <t xml:space="preserve">ชุดติดตั้ง on-prem (Helm / Docker Compose), อัปเดตแบบ offline, support matrix</t>
  </si>
  <si>
    <t xml:space="preserve">T41-DevOps</t>
  </si>
  <si>
    <t xml:space="preserve">T42-PM</t>
  </si>
  <si>
    <t xml:space="preserve">T42</t>
  </si>
  <si>
    <t xml:space="preserve">SIT + UAT Phase 3</t>
  </si>
  <si>
    <t xml:space="preserve">ฟีเจอร์ P3</t>
  </si>
  <si>
    <t xml:space="preserve">T42-SA</t>
  </si>
  <si>
    <t xml:space="preserve">T42-BE</t>
  </si>
  <si>
    <t xml:space="preserve">T42-FE</t>
  </si>
  <si>
    <t xml:space="preserve">T42-QA</t>
  </si>
  <si>
    <t xml:space="preserve">T43-SA</t>
  </si>
  <si>
    <t xml:space="preserve">T43</t>
  </si>
  <si>
    <t xml:space="preserve">อัปเดตคู่มือ + อบรม Phase 3</t>
  </si>
  <si>
    <t xml:space="preserve">T43-Doc</t>
  </si>
  <si>
    <t xml:space="preserve">T44-PM</t>
  </si>
  <si>
    <t xml:space="preserve">T44</t>
  </si>
  <si>
    <t xml:space="preserve">Go-live + Hypercare Phase 3</t>
  </si>
  <si>
    <t xml:space="preserve">T44-BE</t>
  </si>
  <si>
    <t xml:space="preserve">T44-FE</t>
  </si>
  <si>
    <t xml:space="preserve">T44-QA</t>
  </si>
  <si>
    <t xml:space="preserve">T44-DevOps</t>
  </si>
  <si>
    <t xml:space="preserve">T45-SA</t>
  </si>
  <si>
    <t xml:space="preserve">T45</t>
  </si>
  <si>
    <t xml:space="preserve">ประเมินคุณภาพ AI: ชุดทดสอบภาษาไทย, hallucination, prompt injection, PII leakage</t>
  </si>
  <si>
    <t xml:space="preserve">T45-BE</t>
  </si>
  <si>
    <t xml:space="preserve">T45-QA</t>
  </si>
  <si>
    <t xml:space="preserve">T45-Legal</t>
  </si>
  <si>
    <t xml:space="preserve">T46-PM</t>
  </si>
  <si>
    <t xml:space="preserve">T46</t>
  </si>
  <si>
    <t xml:space="preserve">SIT + UAT Phase 4</t>
  </si>
  <si>
    <t xml:space="preserve">ฟีเจอร์ P4</t>
  </si>
  <si>
    <t xml:space="preserve">T46-SA</t>
  </si>
  <si>
    <t xml:space="preserve">T46-BE</t>
  </si>
  <si>
    <t xml:space="preserve">T46-FE</t>
  </si>
  <si>
    <t xml:space="preserve">T46-QA</t>
  </si>
  <si>
    <t xml:space="preserve">T47-Doc</t>
  </si>
  <si>
    <t xml:space="preserve">T47</t>
  </si>
  <si>
    <t xml:space="preserve">อัปเดตคู่มือ Phase 4</t>
  </si>
  <si>
    <t xml:space="preserve">T48-PM</t>
  </si>
  <si>
    <t xml:space="preserve">T48</t>
  </si>
  <si>
    <t xml:space="preserve">Go-live + Hypercare Phase 4</t>
  </si>
  <si>
    <t xml:space="preserve">T48-BE</t>
  </si>
  <si>
    <t xml:space="preserve">T48-FE</t>
  </si>
  <si>
    <t xml:space="preserve">T48-QA</t>
  </si>
  <si>
    <t xml:space="preserve">T48-DevOps</t>
  </si>
  <si>
    <t xml:space="preserve">งานโครงการและงานสนับสนุน (ไม่ใช่ฟีเจอร์)</t>
  </si>
  <si>
    <t xml:space="preserve">ช่องสีเหลืองคือ man-day ที่ประมาณ แก้ได้ | แถว T00 คำนวณจากจำนวน sprint ของแต่ละ phase</t>
  </si>
  <si>
    <t xml:space="preserve">หมวด</t>
  </si>
  <si>
    <t xml:space="preserve">งาน</t>
  </si>
  <si>
    <t xml:space="preserve">ผลลัพธ์ (Deliverable)</t>
  </si>
  <si>
    <t xml:space="preserve">งานต่อเนื่อง</t>
  </si>
  <si>
    <t xml:space="preserve">รายงานสถานะ, release</t>
  </si>
  <si>
    <t xml:space="preserve">บริหารโครงการ</t>
  </si>
  <si>
    <t xml:space="preserve">Charter, RACI</t>
  </si>
  <si>
    <t xml:space="preserve">วิเคราะห์</t>
  </si>
  <si>
    <t xml:space="preserve">User stories, requirement notes</t>
  </si>
  <si>
    <t xml:space="preserve">Reuse &amp; migration plan</t>
  </si>
  <si>
    <t xml:space="preserve">สถาปัตยกรรม</t>
  </si>
  <si>
    <t xml:space="preserve">SAD, NFR, ADR</t>
  </si>
  <si>
    <t xml:space="preserve">ERD, API guideline</t>
  </si>
  <si>
    <t xml:space="preserve">ชีต Roles_Permissions ฉบับอนุมัติ</t>
  </si>
  <si>
    <t xml:space="preserve">Figma + UI kit</t>
  </si>
  <si>
    <t xml:space="preserve">Backlog, release plan</t>
  </si>
  <si>
    <t xml:space="preserve">Infra &amp; DevOps</t>
  </si>
  <si>
    <t xml:space="preserve">Environments</t>
  </si>
  <si>
    <t xml:space="preserve">Pipeline</t>
  </si>
  <si>
    <t xml:space="preserve">ทดสอบ</t>
  </si>
  <si>
    <t xml:space="preserve">Test plan</t>
  </si>
  <si>
    <t xml:space="preserve">Automation framework</t>
  </si>
  <si>
    <t xml:space="preserve">PoC report</t>
  </si>
  <si>
    <t xml:space="preserve">Security</t>
  </si>
  <si>
    <t xml:space="preserve">Threat model</t>
  </si>
  <si>
    <t xml:space="preserve">กฎหมาย</t>
  </si>
  <si>
    <t xml:space="preserve">Legal content P1</t>
  </si>
  <si>
    <t xml:space="preserve">Integration spec</t>
  </si>
  <si>
    <t xml:space="preserve">Production</t>
  </si>
  <si>
    <t xml:space="preserve">Dashboards, runbook</t>
  </si>
  <si>
    <t xml:space="preserve">DR runbook</t>
  </si>
  <si>
    <t xml:space="preserve">Hardening checklist</t>
  </si>
  <si>
    <t xml:space="preserve">SIT report</t>
  </si>
  <si>
    <t xml:space="preserve">Performance report</t>
  </si>
  <si>
    <t xml:space="preserve">Security test report</t>
  </si>
  <si>
    <t xml:space="preserve">Pentest report</t>
  </si>
  <si>
    <t xml:space="preserve">UAT sign-off</t>
  </si>
  <si>
    <t xml:space="preserve">ย้ายข้อมูล</t>
  </si>
  <si>
    <t xml:space="preserve">Migration report</t>
  </si>
  <si>
    <t xml:space="preserve">เอกสาร/อบรม</t>
  </si>
  <si>
    <t xml:space="preserve">User &amp; admin guide</t>
  </si>
  <si>
    <t xml:space="preserve">Developer docs</t>
  </si>
  <si>
    <t xml:space="preserve">Training</t>
  </si>
  <si>
    <t xml:space="preserve">Legal sign-off</t>
  </si>
  <si>
    <t xml:space="preserve">Platform compliance pack</t>
  </si>
  <si>
    <t xml:space="preserve">Go-live</t>
  </si>
  <si>
    <t xml:space="preserve">Go-live checklist</t>
  </si>
  <si>
    <t xml:space="preserve">Hypercare log</t>
  </si>
  <si>
    <t xml:space="preserve">Legal content P2</t>
  </si>
  <si>
    <t xml:space="preserve">คู่มือฉบับปรับปรุง</t>
  </si>
  <si>
    <t xml:space="preserve">Legal content P3</t>
  </si>
  <si>
    <t xml:space="preserve">On-prem package</t>
  </si>
  <si>
    <t xml:space="preserve">AI evaluation report</t>
  </si>
  <si>
    <t xml:space="preserve">Roadmap, ระยะเวลา และงบประมาณ</t>
  </si>
  <si>
    <t xml:space="preserve">ระยะเวลาต่อ phase = บทบาทคอขวดที่ต้องใช้ sprint มากที่สุด (คอลัมน์ W:AB; DevOps ไม่นับงานต่อเนื่อง) | phase ถัดไปเริ่มหลัง phase ก่อนหน้า | งบทีมเต็มเวลา = คน × sprint × วัน × อัตรา</t>
  </si>
  <si>
    <t xml:space="preserve">Sprint ที่แต่ละบทบาทต้องใช้ (รวม contingency)</t>
  </si>
  <si>
    <t xml:space="preserve">ขอบเขต</t>
  </si>
  <si>
    <t xml:space="preserve">รวม (man-day)</t>
  </si>
  <si>
    <t xml:space="preserve">รวม + contingency</t>
  </si>
  <si>
    <t xml:space="preserve">Sprint เริ่ม</t>
  </si>
  <si>
    <t xml:space="preserve">Sprint สิ้นสุด</t>
  </si>
  <si>
    <t xml:space="preserve">วันเริ่ม</t>
  </si>
  <si>
    <t xml:space="preserve">วันสิ้นสุด</t>
  </si>
  <si>
    <t xml:space="preserve">เดือน (ประมาณ)</t>
  </si>
  <si>
    <t xml:space="preserve">งบตาม effort (บาท)</t>
  </si>
  <si>
    <t xml:space="preserve">บทบาทคอขวด</t>
  </si>
  <si>
    <t xml:space="preserve">Foundation + User &amp; Permission: โครง Go / Next.js, multi-tenant, บริการกลาง, ผู้ใช้ สิทธิ์ และข้อมูลหน่วยงาน</t>
  </si>
  <si>
    <t xml:space="preserve">MVP กฎหมายหลัก: Consent &amp; Cookie, Privacy Notice, RoPA, DSAR, Breach และ DPO พื้นฐาน พร้อมใช้งานจริง</t>
  </si>
  <si>
    <t xml:space="preserve">Governance &amp; คู่ค้า: DPIA, ความเสี่ยง RoPA, RoPA Template, Data Flow, Vendor, DPA, DSA, Retention และ TIA</t>
  </si>
  <si>
    <t xml:space="preserve">Should: ฟังก์ชันมาตรฐานตลาดและความต้องการของลูกค้าองค์กร</t>
  </si>
  <si>
    <t xml:space="preserve">Nice-to-have + AI: จุดขายเพิ่มเติม ฟีเจอร์ AI และแนวโน้มตลาด</t>
  </si>
  <si>
    <t xml:space="preserve">รวม</t>
  </si>
  <si>
    <t xml:space="preserve">ทุก phase</t>
  </si>
  <si>
    <t xml:space="preserve">Timeline (1 ช่อง = 1 sprint = 2 สัปดาห์)</t>
  </si>
  <si>
    <t xml:space="preserve">Foundation + User &amp; Permission</t>
  </si>
  <si>
    <t xml:space="preserve">MVP กฎหมายหลัก</t>
  </si>
  <si>
    <t xml:space="preserve">Governance &amp; คู่ค้า</t>
  </si>
  <si>
    <t xml:space="preserve">Nice-to-have + AI</t>
  </si>
  <si>
    <t xml:space="preserve">MVP</t>
  </si>
  <si>
    <t xml:space="preserve">go-live ระบบใช้งานจริง (สิ้นสุด P1)</t>
  </si>
  <si>
    <t xml:space="preserve">ถ้าจำนวน sprint รวมเกิน 44 ช่อง ส่วนที่เกินจะไม่แสดงบน timeline</t>
  </si>
  <si>
    <t xml:space="preserve">Effort ต่อ Epic และ Phase (man-day ไม่รวม contingency)</t>
  </si>
  <si>
    <t xml:space="preserve">จำนวนฟีเจอร์</t>
  </si>
  <si>
    <t xml:space="preserve">งานโครงการและงานสนับสนุน (Project_Tasks)</t>
  </si>
  <si>
    <t xml:space="preserve">การใช้กำลังคน (effort รวม contingency ÷ capacity ตลอดโครงการ)</t>
  </si>
  <si>
    <t xml:space="preserve">Effort + cont.</t>
  </si>
  <si>
    <t xml:space="preserve">Capacity</t>
  </si>
  <si>
    <t xml:space="preserve">Utilization</t>
  </si>
  <si>
    <t xml:space="preserve">ต่ำกว่า 60% = กำลังคนเกินใน phase ที่ไม่ใช่คอขวด พิจารณาลดคนหรือดึงงาน phase ถัดไปมาทำก่อน</t>
  </si>
  <si>
    <t xml:space="preserve">ระบบจัดการผู้ใช้และสิทธิ์: Role, Permission matrix และนโยบายความปลอดภัย</t>
  </si>
  <si>
    <t xml:space="preserve">Role มาตรฐานเป็นค่าเริ่มต้น — องค์กรสร้าง custom role ได้ (ORG-10) | ทุกสิทธิ์ถูกจำกัดด้วยขอบเขตข้อมูลของผู้ใช้ (ORG-11) | authentication ด้วย Keycloak, authorization เขียนใน Go (IAM-02)</t>
  </si>
  <si>
    <t xml:space="preserve">1) Role มาตรฐาน</t>
  </si>
  <si>
    <t xml:space="preserve">Role key</t>
  </si>
  <si>
    <t xml:space="preserve">Role</t>
  </si>
  <si>
    <t xml:space="preserve">ขอบเขตข้อมูล (Data scope)</t>
  </si>
  <si>
    <t xml:space="preserve">SUPER</t>
  </si>
  <si>
    <t xml:space="preserve">Platform Super Admin</t>
  </si>
  <si>
    <t xml:space="preserve">ผู้ให้บริการแพลตฟอร์ม: tenant แพ็กเกจ และค่าระบบ ไม่เห็นข้อมูลธุรกิจของ tenant เว้นแต่ใช้ break-glass (IAM-07)</t>
  </si>
  <si>
    <t xml:space="preserve">ทั้งแพลตฟอร์ม</t>
  </si>
  <si>
    <t xml:space="preserve">ORGADMIN</t>
  </si>
  <si>
    <t xml:space="preserve">Organization Admin</t>
  </si>
  <si>
    <t xml:space="preserve">ผู้ดูแลระบบขององค์กร: ผู้ใช้ role โครงสร้างองค์กร SSO และการตั้งค่า</t>
  </si>
  <si>
    <t xml:space="preserve">ทั้ง tenant</t>
  </si>
  <si>
    <t xml:space="preserve">เจ้าหน้าที่คุ้มครองข้อมูลส่วนบุคคล ดูแลทุกโมดูลและเป็นผู้อนุมัติหลัก</t>
  </si>
  <si>
    <t xml:space="preserve">tenant / บริษัทที่ได้รับมอบหมาย</t>
  </si>
  <si>
    <t xml:space="preserve">PRIVACY</t>
  </si>
  <si>
    <t xml:space="preserve">Privacy Team</t>
  </si>
  <si>
    <t xml:space="preserve">ทีมงาน DPO ปฏิบัติงานประจำ แต่ไม่อนุมัติขั้นสุดท้าย</t>
  </si>
  <si>
    <t xml:space="preserve">บริษัทที่ได้รับมอบหมาย</t>
  </si>
  <si>
    <t xml:space="preserve">LEGAL</t>
  </si>
  <si>
    <t xml:space="preserve">ฝ่ายกฎหมาย: ประกาศ template สัญญา DPA/DSA</t>
  </si>
  <si>
    <t xml:space="preserve">OWNER</t>
  </si>
  <si>
    <t xml:space="preserve">Process Owner / Champion</t>
  </si>
  <si>
    <t xml:space="preserve">เจ้าของกระบวนการหรือผู้ประสานงาน PDPA ของแผนก ดูแล RoPA และตอบแบบสอบถาม</t>
  </si>
  <si>
    <t xml:space="preserve">แผนกของตนเอง</t>
  </si>
  <si>
    <t xml:space="preserve">IT</t>
  </si>
  <si>
    <t xml:space="preserve">System Owner / IT</t>
  </si>
  <si>
    <t xml:space="preserve">เจ้าของระบบ/IT: asset, data discovery, งานย่อยของคำขอ, ติดตั้ง script, connector</t>
  </si>
  <si>
    <t xml:space="preserve">ระบบ/แผนกที่ได้รับมอบหมาย</t>
  </si>
  <si>
    <t xml:space="preserve">MKT</t>
  </si>
  <si>
    <t xml:space="preserve">Marketing / Business</t>
  </si>
  <si>
    <t xml:space="preserve">การตลาด/ธุรกิจ: Purpose, Collection Point และแคมเปญขอความยินยอม</t>
  </si>
  <si>
    <t xml:space="preserve">แผนก/แบรนด์ของตนเอง</t>
  </si>
  <si>
    <t xml:space="preserve">FRONT</t>
  </si>
  <si>
    <t xml:space="preserve">Front Staff</t>
  </si>
  <si>
    <t xml:space="preserve">พนักงานหน้าร้าน/Call center: บันทึกความยินยอมแทนลูกค้าและรับคำขอใช้สิทธิ</t>
  </si>
  <si>
    <t xml:space="preserve">สาขา/ทีมของตนเอง</t>
  </si>
  <si>
    <t xml:space="preserve">SEC</t>
  </si>
  <si>
    <t xml:space="preserve">Security / Incident</t>
  </si>
  <si>
    <t xml:space="preserve">ทีมความปลอดภัย: เหตุละเมิดและประเมินมาตรการความปลอดภัย</t>
  </si>
  <si>
    <t xml:space="preserve">PROC</t>
  </si>
  <si>
    <t xml:space="preserve">Procurement / Vendor Manager</t>
  </si>
  <si>
    <t xml:space="preserve">จัดซื้อ/ผู้ดูแลคู่ค้า: ทะเบียนและการประเมินคู่ค้า</t>
  </si>
  <si>
    <t xml:space="preserve">คู่ค้าที่ตนดูแล</t>
  </si>
  <si>
    <t xml:space="preserve">AUDIT</t>
  </si>
  <si>
    <t xml:space="preserve">Auditor</t>
  </si>
  <si>
    <t xml:space="preserve">ผู้ตรวจสอบภายใน/ภายนอก ดูและส่งออกได้อย่างเดียว</t>
  </si>
  <si>
    <t xml:space="preserve">ทั้ง tenant (อ่านอย่างเดียว)</t>
  </si>
  <si>
    <t xml:space="preserve">EXEC</t>
  </si>
  <si>
    <t xml:space="preserve">Executive</t>
  </si>
  <si>
    <t xml:space="preserve">ผู้บริหาร: dashboard รายงาน และยอมรับความเสี่ยง</t>
  </si>
  <si>
    <t xml:space="preserve">ทั้ง tenant (สรุป)</t>
  </si>
  <si>
    <t xml:space="preserve">EMP</t>
  </si>
  <si>
    <t xml:space="preserve">Employee</t>
  </si>
  <si>
    <t xml:space="preserve">พนักงานทั่วไป: แจ้งเหตุ อบรม รับทราบนโยบาย ขอคำปรึกษา</t>
  </si>
  <si>
    <t xml:space="preserve">ข้อมูลของตนเอง</t>
  </si>
  <si>
    <t xml:space="preserve">GUEST</t>
  </si>
  <si>
    <t xml:space="preserve">External Guest</t>
  </si>
  <si>
    <t xml:space="preserve">คู่ค้า ผู้ประมวลผล หรือผู้ร่วมประเมินภายนอก เข้าผ่าน magic link (IAM-04)</t>
  </si>
  <si>
    <t xml:space="preserve">เฉพาะงานที่ได้รับเชิญ</t>
  </si>
  <si>
    <t xml:space="preserve">API</t>
  </si>
  <si>
    <t xml:space="preserve">API Client</t>
  </si>
  <si>
    <t xml:space="preserve">บัญชีระบบสำหรับเชื่อมต่อ (CRM, POS, แอป) ใช้สิทธิ์ตาม scope</t>
  </si>
  <si>
    <t xml:space="preserve">ระบบที่ผูกไว้</t>
  </si>
  <si>
    <t xml:space="preserve">2) Permission matrix (ค่าเริ่มต้นของ role มาตรฐาน)</t>
  </si>
  <si>
    <t xml:space="preserve">คำย่อ: C = สร้าง  |  R = ดู  |  U = แก้ไข  |  D = ลบ  |  A = อนุมัติ  |  P = เผยแพร่ / เปิดใช้งาน  |  E = ส่งออก  |  X = ดำเนินการ / มอบหมาย / ทำรายการ  |  - = ไม่มีสิทธิ์</t>
  </si>
  <si>
    <t xml:space="preserve">โมดูล</t>
  </si>
  <si>
    <t xml:space="preserve">Permission code</t>
  </si>
  <si>
    <t xml:space="preserve">ทรัพยากร</t>
  </si>
  <si>
    <t xml:space="preserve">หมายเหตุขอบเขต</t>
  </si>
  <si>
    <t xml:space="preserve">Administration</t>
  </si>
  <si>
    <t xml:space="preserve">admin.tenant</t>
  </si>
  <si>
    <t xml:space="preserve">Tenant แพ็กเกจ และโมดูลที่เปิดใช้</t>
  </si>
  <si>
    <t xml:space="preserve">CRUD</t>
  </si>
  <si>
    <t xml:space="preserve">เฉพาะผู้ให้บริการแพลตฟอร์ม</t>
  </si>
  <si>
    <t xml:space="preserve">admin.user</t>
  </si>
  <si>
    <t xml:space="preserve">ผู้ใช้</t>
  </si>
  <si>
    <t xml:space="preserve">C</t>
  </si>
  <si>
    <t xml:space="preserve">R</t>
  </si>
  <si>
    <t xml:space="preserve">SUPER สร้างเฉพาะผู้ดูแล tenant คนแรก</t>
  </si>
  <si>
    <t xml:space="preserve">admin.role</t>
  </si>
  <si>
    <t xml:space="preserve">CRUDA</t>
  </si>
  <si>
    <t xml:space="preserve">เปลี่ยน role ระดับ admin ต้องมีผู้อนุมัติ (IAM-06)</t>
  </si>
  <si>
    <t xml:space="preserve">admin.scope</t>
  </si>
  <si>
    <t xml:space="preserve">ขอบเขตข้อมูลของผู้ใช้</t>
  </si>
  <si>
    <t xml:space="preserve">admin.group</t>
  </si>
  <si>
    <t xml:space="preserve">กลุ่มผู้ใช้ / ทีม</t>
  </si>
  <si>
    <t xml:space="preserve">CRU</t>
  </si>
  <si>
    <t xml:space="preserve">admin.idp</t>
  </si>
  <si>
    <t xml:space="preserve">SSO, IdP, นโยบายรหัสผ่านและ MFA</t>
  </si>
  <si>
    <t xml:space="preserve">ตั้งค่าใน Keycloak ผ่านหน้าจอของระบบ</t>
  </si>
  <si>
    <t xml:space="preserve">admin.apiclient</t>
  </si>
  <si>
    <t xml:space="preserve">API client และ webhook</t>
  </si>
  <si>
    <t xml:space="preserve">IT จัดการได้เฉพาะ client ของระบบที่ตนดูแล</t>
  </si>
  <si>
    <t xml:space="preserve">admin.audit</t>
  </si>
  <si>
    <t xml:space="preserve">RE</t>
  </si>
  <si>
    <t xml:space="preserve">ไม่มีใครแก้ไขหรือลบ log ได้</t>
  </si>
  <si>
    <t xml:space="preserve">admin.accessreview</t>
  </si>
  <si>
    <t xml:space="preserve">ทบทวนสิทธิ์</t>
  </si>
  <si>
    <t xml:space="preserve">CRUDX</t>
  </si>
  <si>
    <t xml:space="preserve">X</t>
  </si>
  <si>
    <t xml:space="preserve">หัวหน้าแผนกยืนยันสิทธิ์ของทีมตนเอง</t>
  </si>
  <si>
    <t xml:space="preserve">admin.breakglass</t>
  </si>
  <si>
    <t xml:space="preserve">ใช้สิทธิ์ฉุกเฉิน</t>
  </si>
  <si>
    <t xml:space="preserve">ต้องระบุเหตุผล มีเวลาจำกัด และแจ้ง DPO / Security ทันที</t>
  </si>
  <si>
    <t xml:space="preserve">admin.notification</t>
  </si>
  <si>
    <t xml:space="preserve">Template แจ้งเตือน</t>
  </si>
  <si>
    <t xml:space="preserve">Organization</t>
  </si>
  <si>
    <t xml:space="preserve">org.structure</t>
  </si>
  <si>
    <t xml:space="preserve">นิติบุคคลและโครงสร้างหน่วยงาน</t>
  </si>
  <si>
    <t xml:space="preserve">RU</t>
  </si>
  <si>
    <t xml:space="preserve">org.party</t>
  </si>
  <si>
    <t xml:space="preserve">org.masterdata</t>
  </si>
  <si>
    <t xml:space="preserve">ข้อมูลตั้งต้น</t>
  </si>
  <si>
    <t xml:space="preserve">SUPER ดูแลค่าตั้งต้นกลางที่ทุก tenant ได้รับ</t>
  </si>
  <si>
    <t xml:space="preserve">org.settings</t>
  </si>
  <si>
    <t xml:space="preserve">ตั้งค่าองค์กร แบรนด์ และปฏิทินวันทำการ</t>
  </si>
  <si>
    <t xml:space="preserve">Consent</t>
  </si>
  <si>
    <t xml:space="preserve">cookie.banner</t>
  </si>
  <si>
    <t xml:space="preserve">แบนเนอร์คุกกี้และโดเมน</t>
  </si>
  <si>
    <t xml:space="preserve">CRUDAP</t>
  </si>
  <si>
    <t xml:space="preserve">IT คัดลอก script และแก้ค่าทางเทคนิค</t>
  </si>
  <si>
    <t xml:space="preserve">cookie.scan</t>
  </si>
  <si>
    <t xml:space="preserve">ผลสแกนคุกกี้</t>
  </si>
  <si>
    <t xml:space="preserve">CRUX</t>
  </si>
  <si>
    <t xml:space="preserve">consent.purpose</t>
  </si>
  <si>
    <t xml:space="preserve">Purpose / Data Element / Purpose Preference</t>
  </si>
  <si>
    <t xml:space="preserve">Marketing ร่างได้ DPO อนุมัติและเปิดใช้</t>
  </si>
  <si>
    <t xml:space="preserve">consent.collectionpoint</t>
  </si>
  <si>
    <t xml:space="preserve">Collection Point / แบบฟอร์ม</t>
  </si>
  <si>
    <t xml:space="preserve">consent.record</t>
  </si>
  <si>
    <t xml:space="preserve">ความยินยอมรายบุคคล / โปรไฟล์</t>
  </si>
  <si>
    <t xml:space="preserve">CR</t>
  </si>
  <si>
    <t xml:space="preserve">identifier แสดงแบบปกปิด ยกเว้นมีสิทธิ์ pii.unmask</t>
  </si>
  <si>
    <t xml:space="preserve">consent.onbehalf</t>
  </si>
  <si>
    <t xml:space="preserve">บันทึกความยินยอมแทนลูกค้า</t>
  </si>
  <si>
    <t xml:space="preserve">Front Staff เห็นเฉพาะรายการที่ตนบันทึกในสาขา</t>
  </si>
  <si>
    <t xml:space="preserve">consent.bulk</t>
  </si>
  <si>
    <t xml:space="preserve">นำเข้า / ส่งออกความยินยอม</t>
  </si>
  <si>
    <t xml:space="preserve">XE</t>
  </si>
  <si>
    <t xml:space="preserve">E</t>
  </si>
  <si>
    <t xml:space="preserve">export จำนวนมากต้องมีผู้อนุมัติ</t>
  </si>
  <si>
    <t xml:space="preserve">consent.campaign</t>
  </si>
  <si>
    <t xml:space="preserve">แคมเปญขอความยินยอม</t>
  </si>
  <si>
    <t xml:space="preserve">Notice</t>
  </si>
  <si>
    <t xml:space="preserve">notice.document</t>
  </si>
  <si>
    <t xml:space="preserve">ประกาศความเป็นส่วนตัว</t>
  </si>
  <si>
    <t xml:space="preserve">CRUA</t>
  </si>
  <si>
    <t xml:space="preserve">ผู้สร้างกับผู้อนุมัติต้องต่างคน</t>
  </si>
  <si>
    <t xml:space="preserve">notice.template</t>
  </si>
  <si>
    <t xml:space="preserve">Template ประกาศ</t>
  </si>
  <si>
    <t xml:space="preserve">notice.indirect</t>
  </si>
  <si>
    <t xml:space="preserve">แจ้งกรณีได้ข้อมูลจากแหล่งอื่น (ม.25)</t>
  </si>
  <si>
    <t xml:space="preserve">RoPA</t>
  </si>
  <si>
    <t xml:space="preserve">ropa.inventory</t>
  </si>
  <si>
    <t xml:space="preserve">ทะเบียนข้อมูลและ asset</t>
  </si>
  <si>
    <t xml:space="preserve">Process Owner เฉพาะแผนกตนเอง</t>
  </si>
  <si>
    <t xml:space="preserve">ropa.activity</t>
  </si>
  <si>
    <t xml:space="preserve">กิจกรรมการประมวลผล (RoPA)</t>
  </si>
  <si>
    <t xml:space="preserve">CRUDAE</t>
  </si>
  <si>
    <t xml:space="preserve">CRUE</t>
  </si>
  <si>
    <t xml:space="preserve">ropa.template</t>
  </si>
  <si>
    <t xml:space="preserve">คลัง RoPA ฉบับมาตรฐาน</t>
  </si>
  <si>
    <t xml:space="preserve">CRUDP</t>
  </si>
  <si>
    <t xml:space="preserve">RX</t>
  </si>
  <si>
    <t xml:space="preserve">SUPER ดูแลคลังกลาง; tenant สร้าง template ของตนเอง</t>
  </si>
  <si>
    <t xml:space="preserve">ropa.risk</t>
  </si>
  <si>
    <t xml:space="preserve">ความเสี่ยงและช่องว่างรายกิจกรรม</t>
  </si>
  <si>
    <t xml:space="preserve">ropa.dataflow</t>
  </si>
  <si>
    <t xml:space="preserve">แผนผังการไหลของข้อมูล</t>
  </si>
  <si>
    <t xml:space="preserve">RUPE</t>
  </si>
  <si>
    <t xml:space="preserve">RUE</t>
  </si>
  <si>
    <t xml:space="preserve">ropa.discovery</t>
  </si>
  <si>
    <t xml:space="preserve">Data discovery และ connector</t>
  </si>
  <si>
    <t xml:space="preserve">dsar.request</t>
  </si>
  <si>
    <t xml:space="preserve">คำขอใช้สิทธิ</t>
  </si>
  <si>
    <t xml:space="preserve">CRUDAXE</t>
  </si>
  <si>
    <t xml:space="preserve">Owner/IT เห็นเฉพาะคำขอที่มีงานมอบหมาย; Front Staff เห็นเฉพาะที่ตนลงไว้</t>
  </si>
  <si>
    <t xml:space="preserve">dsar.subtask</t>
  </si>
  <si>
    <t xml:space="preserve">งานย่อยของคำขอ</t>
  </si>
  <si>
    <t xml:space="preserve">แก้ได้เฉพาะงานที่ได้รับมอบหมาย; GUEST คือผู้ประมวลผลที่ได้รับคำสั่ง</t>
  </si>
  <si>
    <t xml:space="preserve">dsar.package</t>
  </si>
  <si>
    <t xml:space="preserve">ข้อมูลที่ส่งคืนเจ้าของข้อมูล</t>
  </si>
  <si>
    <t xml:space="preserve">CRA</t>
  </si>
  <si>
    <t xml:space="preserve">CU</t>
  </si>
  <si>
    <t xml:space="preserve">Auditor เห็นเฉพาะ metadata</t>
  </si>
  <si>
    <t xml:space="preserve">dsar.form</t>
  </si>
  <si>
    <t xml:space="preserve">แบบฟอร์มคำขอใช้สิทธิ</t>
  </si>
  <si>
    <t xml:space="preserve">Breach</t>
  </si>
  <si>
    <t xml:space="preserve">breach.incident</t>
  </si>
  <si>
    <t xml:space="preserve">เหตุละเมิด</t>
  </si>
  <si>
    <t xml:space="preserve">CRUDAX</t>
  </si>
  <si>
    <t xml:space="preserve">ผู้แจ้งเห็นเฉพาะเหตุที่ตนแจ้ง; GUEST คือผู้ประมวลผลที่แจ้งเหตุ</t>
  </si>
  <si>
    <t xml:space="preserve">breach.notification</t>
  </si>
  <si>
    <t xml:space="preserve">แบบแจ้ง สคส. / แจ้งเจ้าของข้อมูล</t>
  </si>
  <si>
    <t xml:space="preserve">CRUAP</t>
  </si>
  <si>
    <t xml:space="preserve">ส่งแบบแจ้งต้องให้ DPO อนุมัติ</t>
  </si>
  <si>
    <t xml:space="preserve">Assessment</t>
  </si>
  <si>
    <t xml:space="preserve">assessment.dpia</t>
  </si>
  <si>
    <t xml:space="preserve">DPIA / LIA</t>
  </si>
  <si>
    <t xml:space="preserve">RA</t>
  </si>
  <si>
    <t xml:space="preserve">ผู้ร่วมประเมินแก้ได้เฉพาะส่วนที่ได้รับเชิญ; ผู้บริหารอนุมัติ/ยอมรับความเสี่ยง</t>
  </si>
  <si>
    <t xml:space="preserve">assessment.security</t>
  </si>
  <si>
    <t xml:space="preserve">assessment.transfer</t>
  </si>
  <si>
    <t xml:space="preserve">ประเมินการโอนต่างประเทศ (TIA)</t>
  </si>
  <si>
    <t xml:space="preserve">assessment.template</t>
  </si>
  <si>
    <t xml:space="preserve">Template แบบประเมิน</t>
  </si>
  <si>
    <t xml:space="preserve">Vendor</t>
  </si>
  <si>
    <t xml:space="preserve">vendor.vendor</t>
  </si>
  <si>
    <t xml:space="preserve">คู่ค้า / ผู้ประมวลผล</t>
  </si>
  <si>
    <t xml:space="preserve">Owner ขอเพิ่มคู่ค้าใหม่ได้</t>
  </si>
  <si>
    <t xml:space="preserve">vendor.assessment</t>
  </si>
  <si>
    <t xml:space="preserve">แบบประเมินคู่ค้า</t>
  </si>
  <si>
    <t xml:space="preserve">RUX</t>
  </si>
  <si>
    <t xml:space="preserve">GUEST ตอบเฉพาะแบบประเมินของบริษัทตนเอง</t>
  </si>
  <si>
    <t xml:space="preserve">Agreement</t>
  </si>
  <si>
    <t xml:space="preserve">agreement.dpa</t>
  </si>
  <si>
    <t xml:space="preserve">ข้อตกลงการประมวลผล (DPA)</t>
  </si>
  <si>
    <t xml:space="preserve">GUEST ดูและลงนามฉบับที่ส่งให้</t>
  </si>
  <si>
    <t xml:space="preserve">agreement.dsa</t>
  </si>
  <si>
    <t xml:space="preserve">agreement.clause</t>
  </si>
  <si>
    <t xml:space="preserve">dpo.profile</t>
  </si>
  <si>
    <t xml:space="preserve">ทะเบียน DPO</t>
  </si>
  <si>
    <t xml:space="preserve">dpo.task</t>
  </si>
  <si>
    <t xml:space="preserve">Tasks / Ticket</t>
  </si>
  <si>
    <t xml:space="preserve">แก้ได้เฉพาะงานที่ได้รับมอบหมาย</t>
  </si>
  <si>
    <t xml:space="preserve">dpo.advisory</t>
  </si>
  <si>
    <t xml:space="preserve">คำปรึกษาถึง DPO</t>
  </si>
  <si>
    <t xml:space="preserve">ผู้ถามเห็นเฉพาะเรื่องของตนเอง</t>
  </si>
  <si>
    <t xml:space="preserve">dpo.risk</t>
  </si>
  <si>
    <t xml:space="preserve">ทะเบียนความเสี่ยง</t>
  </si>
  <si>
    <t xml:space="preserve">dpo.report</t>
  </si>
  <si>
    <t xml:space="preserve">Dashboard และรายงาน</t>
  </si>
  <si>
    <t xml:space="preserve">dpo.kb</t>
  </si>
  <si>
    <t xml:space="preserve">DPO Extension</t>
  </si>
  <si>
    <t xml:space="preserve">dpx.training</t>
  </si>
  <si>
    <t xml:space="preserve">อบรมและทดสอบ</t>
  </si>
  <si>
    <t xml:space="preserve">พนักงานทุกคนเรียนและทำแบบทดสอบได้ (X)</t>
  </si>
  <si>
    <t xml:space="preserve">dpx.policy</t>
  </si>
  <si>
    <t xml:space="preserve">dpx.audit</t>
  </si>
  <si>
    <t xml:space="preserve">ตรวจประเมินความพร้อมและแผนแก้ไข</t>
  </si>
  <si>
    <t xml:space="preserve">dpx.retention</t>
  </si>
  <si>
    <t xml:space="preserve">Retention และการทำลายข้อมูล</t>
  </si>
  <si>
    <t xml:space="preserve">IT ดำเนินการทำลายและแนบหลักฐาน</t>
  </si>
  <si>
    <t xml:space="preserve">dpx.regulator</t>
  </si>
  <si>
    <t xml:space="preserve">ทะเบียนการติดต่อกับ สคส.</t>
  </si>
  <si>
    <t xml:space="preserve">dpx.ai</t>
  </si>
  <si>
    <t xml:space="preserve">ทะเบียนระบบ AI และผู้ช่วย AI</t>
  </si>
  <si>
    <t xml:space="preserve">ผู้ช่วย AI ใช้ได้ตาม license และการเปิดใช้ของ tenant</t>
  </si>
  <si>
    <t xml:space="preserve">dpx.integration</t>
  </si>
  <si>
    <t xml:space="preserve">Connector HR / ITSM / SIEM</t>
  </si>
  <si>
    <t xml:space="preserve">Special</t>
  </si>
  <si>
    <t xml:space="preserve">pii.unmask</t>
  </si>
  <si>
    <t xml:space="preserve">เปิดดูข้อมูลส่วนบุคคลแบบไม่ปกปิด</t>
  </si>
  <si>
    <t xml:space="preserve">ต้องระบุเหตุผล ถูกบันทึก log ทุกครั้ง และอาจต้องยืนยัน MFA ซ้ำ</t>
  </si>
  <si>
    <t xml:space="preserve">3) นโยบายความปลอดภัยของระบบจัดการผู้ใช้</t>
  </si>
  <si>
    <t xml:space="preserve">หัวข้อ</t>
  </si>
  <si>
    <t xml:space="preserve">นโยบาย</t>
  </si>
  <si>
    <t xml:space="preserve">Authentication</t>
  </si>
  <si>
    <t xml:space="preserve">Keycloak เป็นผู้ยืนยันตัวตน (OIDC); Next.js ใช้รูปแบบ BFF เก็บ session ใน cookie แบบ httpOnly + Secure + SameSite และไม่เก็บ token ใน localStorage</t>
  </si>
  <si>
    <t xml:space="preserve">รหัสผ่าน</t>
  </si>
  <si>
    <t xml:space="preserve">ยาวอย่างน้อย 12 ตัวอักษร ห้ามซ้ำ 5 ครั้งล่าสุด ตั้งค่าได้ต่อ tenant (password policy ของ Keycloak)</t>
  </si>
  <si>
    <t xml:space="preserve">Lockout</t>
  </si>
  <si>
    <t xml:space="preserve">ผิดครบ 5 ครั้ง ล็อก 30 นาที (brute-force detection ของ Keycloak; ตั้งค่าได้)</t>
  </si>
  <si>
    <t xml:space="preserve">MFA</t>
  </si>
  <si>
    <t xml:space="preserve">TOTP หรือ WebAuthn/passkey; บังคับสำหรับ Super Admin, Org Admin, DPO, Privacy, Security, Auditor; ขอ MFA ซ้ำ (step-up) ก่อน export จำนวนมาก, unmask และเปลี่ยน role</t>
  </si>
  <si>
    <t xml:space="preserve">Session</t>
  </si>
  <si>
    <t xml:space="preserve">idle timeout 30 นาที, อายุสูงสุด 12 ชั่วโมง, refresh token rotation, back-channel logout เมื่อบัญชีถูกปิด</t>
  </si>
  <si>
    <t xml:space="preserve">SSO</t>
  </si>
  <si>
    <t xml:space="preserve">OIDC/SAML brokering (Entra ID, Google, ADFS), LDAP/AD federation, map group → role/scope, JIT provisioning; เมื่อบังคับ SSO บัญชี local ใช้ได้เฉพาะ break-glass</t>
  </si>
  <si>
    <t xml:space="preserve">OAuth2 client credentials, access token อายุไม่เกิน 15 นาที, scope ต่อ client, IP allowlist, rate limit, หมุน secret ทุก 90 วัน; ทางเลือก mTLS สำหรับ on-prem</t>
  </si>
  <si>
    <t xml:space="preserve">Authorization</t>
  </si>
  <si>
    <t xml:space="preserve">deny by default; ทุก endpoint ประกาศ x-permission ใน OpenAPI และมี contract test ตรวจ 403; กรองข้อมูลตาม scope ใน repository + PostgreSQL RLS แยก tenant</t>
  </si>
  <si>
    <t xml:space="preserve">Segregation of duties</t>
  </si>
  <si>
    <t xml:space="preserve">ผู้สร้างกับผู้อนุมัติต้องต่างคน: เผยแพร่ประกาศ/แบนเนอร์/Purpose, ปฏิเสธคำขอ, ส่งแบบแจ้ง สคส., export ความยินยอมจำนวนมาก, เปลี่ยน role ระดับ admin</t>
  </si>
  <si>
    <t xml:space="preserve">PII protection</t>
  </si>
  <si>
    <t xml:space="preserve">เข้ารหัส identifier ระดับฟิลด์ (envelope encryption), ปกปิดบนหน้าจอเป็นค่าเริ่มต้น, unmask ต้องระบุเหตุผล, ห้ามมี PII ใน log (redaction middleware)</t>
  </si>
  <si>
    <t xml:space="preserve">Guest access</t>
  </si>
  <si>
    <t xml:space="preserve">magic link ผูกงานเดียว หมดอายุ 7-30 วัน ยืนยันด้วย OTP ทางอีเมล และเพิกถอนได้ทันที</t>
  </si>
  <si>
    <t xml:space="preserve">เจ้าของข้อมูล</t>
  </si>
  <si>
    <t xml:space="preserve">OTP หมดอายุ 5 นาที จำกัด 5 ครั้ง, rate limit ต่อ IP และ identifier, CAPTCHA บนฟอร์มสาธารณะ</t>
  </si>
  <si>
    <t xml:space="preserve">Audit</t>
  </si>
  <si>
    <t xml:space="preserve">บันทึก login, เปลี่ยนสิทธิ์, export, unmask, ลบ และการอนุมัติ แบบ hash chain; ส่งต่อ SIEM ได้; เก็บตามนโยบายองค์กร (ข้อมูลจราจรทางคอมพิวเตอร์อย่างน้อย 90 วัน)</t>
  </si>
  <si>
    <t xml:space="preserve">ทบทวนสิทธิ์ทุก 6 เดือน (ตั้งค่าได้); สิทธิ์ที่ไม่ได้รับการยืนยันถูกถอน</t>
  </si>
  <si>
    <t xml:space="preserve">Offboarding</t>
  </si>
  <si>
    <t xml:space="preserve">ปิดบัญชีภายใน 24 ชั่วโมงหลังพ้นสภาพ (อัตโนมัติผ่าน SCIM / HRIS เมื่อเชื่อมแล้ว)</t>
  </si>
  <si>
    <t xml:space="preserve">Frontend security</t>
  </si>
  <si>
    <t xml:space="preserve">CSP แบบเข้ม, CSRF protection ของ BFF, sanitize HTML ของเนื้อหา rich text (ประกาศ/สัญญา) ก่อนแสดง</t>
  </si>
  <si>
    <t xml:space="preserve">Traceability: ฟังก์ชัน 243 รายการจากไฟล์ 15 โมดูล → Feature ในแผน</t>
  </si>
  <si>
    <t xml:space="preserve">ตรวจว่าทุกฟังก์ชันมีงานรองรับ | Phase / Epic / man-day ดึงจากชีต WBS ด้วยสูตร</t>
  </si>
  <si>
    <t xml:space="preserve">No.</t>
  </si>
  <si>
    <t xml:space="preserve">โมดูล (ชีต)</t>
  </si>
  <si>
    <t xml:space="preserve">ฟังก์ชัน (TH)</t>
  </si>
  <si>
    <t xml:space="preserve">Function (EN)</t>
  </si>
  <si>
    <t xml:space="preserve">Epic ในแผน</t>
  </si>
  <si>
    <t xml:space="preserve">man-day</t>
  </si>
  <si>
    <t xml:space="preserve">อยู่ใน WBS</t>
  </si>
  <si>
    <t xml:space="preserve">01_DPIA</t>
  </si>
  <si>
    <t xml:space="preserve">02_DSAR</t>
  </si>
  <si>
    <t xml:space="preserve">03_RoPA</t>
  </si>
  <si>
    <t xml:space="preserve">04_ROPA_Template</t>
  </si>
  <si>
    <t xml:space="preserve">05_ROPA_Risk</t>
  </si>
  <si>
    <t xml:space="preserve">06_DSA</t>
  </si>
  <si>
    <t xml:space="preserve">07_Vendor</t>
  </si>
  <si>
    <t xml:space="preserve">08_Organization</t>
  </si>
  <si>
    <t xml:space="preserve">09_Breach</t>
  </si>
  <si>
    <t xml:space="preserve">10_DPA</t>
  </si>
  <si>
    <t xml:space="preserve">11_Consent</t>
  </si>
  <si>
    <t xml:space="preserve">12_DataFlow</t>
  </si>
  <si>
    <t xml:space="preserve">13_Notice</t>
  </si>
  <si>
    <t xml:space="preserve">14_DPO</t>
  </si>
  <si>
    <t xml:space="preserve">15_DPO_Ext</t>
  </si>
  <si>
    <t xml:space="preserve">สถาปัตยกรรมที่เสนอ (SA): Next.js + Go</t>
  </si>
  <si>
    <t xml:space="preserve">Modular monolith ใน Go + Next.js 2 แอป | deploy ได้ทั้ง SaaS บน cloud ในไทยและ on-prem | แยกเป็น service ภายหลังได้ตามขอบเขตโมดูล</t>
  </si>
  <si>
    <t xml:space="preserve">1) ส่วนประกอบและเทคโนโลยี</t>
  </si>
  <si>
    <t xml:space="preserve">ชั้น</t>
  </si>
  <si>
    <t xml:space="preserve">ส่วนประกอบ</t>
  </si>
  <si>
    <t xml:space="preserve">เทคโนโลยี (เสนอ)</t>
  </si>
  <si>
    <t xml:space="preserve">หน้าที่ / หมายเหตุ</t>
  </si>
  <si>
    <t xml:space="preserve">ผู้ใช้งาน</t>
  </si>
  <si>
    <t xml:space="preserve">Admin portal</t>
  </si>
  <si>
    <t xml:space="preserve">Next.js (App Router, React Server Components, TypeScript) + shadcn/ui + Tailwind + TanStack Query / Table</t>
  </si>
  <si>
    <t xml:space="preserve">หน้าจัดการทุกโมดูล เมนูและปุ่มตามสิทธิ์; BFF เก็บ session ฝั่ง server</t>
  </si>
  <si>
    <t xml:space="preserve">Public portal</t>
  </si>
  <si>
    <t xml:space="preserve">Next.js แอปแยก + ISR/edge cache + custom domain ต่อ tenant</t>
  </si>
  <si>
    <t xml:space="preserve">Preference Center, ฟอร์มความยินยอม, ฟอร์มและพอร์ทัลคำขอใช้สิทธิ, หน้าประกาศ, แจ้งเหตุ, พอร์ทัล guest</t>
  </si>
  <si>
    <t xml:space="preserve">Cookie &amp; consent SDK</t>
  </si>
  <si>
    <t xml:space="preserve">Vanilla TypeScript (Vite/Rollup) ขนาดไม่เกิน 30 KB gzip ผ่าน CDN; Google Consent Mode v2, GTM</t>
  </si>
  <si>
    <t xml:space="preserve">แบนเนอร์ บล็อกสคริปต์ widget ความยินยอม และแสดงประกาศบนเว็บลูกค้า</t>
  </si>
  <si>
    <t xml:space="preserve">Mobile SDK</t>
  </si>
  <si>
    <t xml:space="preserve">Swift / Kotlin หรือ Flutter / React Native wrapper</t>
  </si>
  <si>
    <t xml:space="preserve">ความยินยอมในแอป (P3) — อาจจ้างทีม mobile ภายนอก</t>
  </si>
  <si>
    <t xml:space="preserve">Edge</t>
  </si>
  <si>
    <t xml:space="preserve">CDN + WAF + Ingress</t>
  </si>
  <si>
    <t xml:space="preserve">CDN + WAF + Kubernetes Ingress / Gateway API</t>
  </si>
  <si>
    <t xml:space="preserve">ส่ง SDK และ config แบนเนอร์, กันการโจมตี, TLS</t>
  </si>
  <si>
    <t xml:space="preserve">Backend</t>
  </si>
  <si>
    <t xml:space="preserve">Go API (modular monolith)</t>
  </si>
  <si>
    <t xml:space="preserve">Go + chi + oapi-codegen (OpenAPI 3.1) + pgx + sqlc + goose</t>
  </si>
  <si>
    <t xml:space="preserve">API ของทุกโมดูล แยก package ตาม bounded context; deploy แยก profile ได้ เช่น consent-api สำหรับโหลดสูง</t>
  </si>
  <si>
    <t xml:space="preserve">Worker</t>
  </si>
  <si>
    <t xml:space="preserve">Go + River (job queue บน PostgreSQL) + periodic jobs</t>
  </si>
  <si>
    <t xml:space="preserve">SLA timer, แจ้งเตือน, export/import, ความยินยอมหมดอายุ, webhook, retention</t>
  </si>
  <si>
    <t xml:space="preserve">Go + chromedp (headless Chromium) แยก worker pool</t>
  </si>
  <si>
    <t xml:space="preserve">สแกนเว็บไซต์ลูกค้าตามรอบ</t>
  </si>
  <si>
    <t xml:space="preserve">Document service</t>
  </si>
  <si>
    <t xml:space="preserve">Gotenberg (Chromium/LibreOffice) + ฟอนต์ไทย (Sarabun / Noto Sans Thai) + excelize</t>
  </si>
  <si>
    <t xml:space="preserve">PDF / DOCX / Excel ของประกาศ สัญญา แบบแจ้ง และรายงาน</t>
  </si>
  <si>
    <t xml:space="preserve">Identity</t>
  </si>
  <si>
    <t xml:space="preserve">Keycloak</t>
  </si>
  <si>
    <t xml:space="preserve">OIDC/SAML, MFA, brute-force detection, LDAP/AD federation, identity brokering</t>
  </si>
  <si>
    <t xml:space="preserve">login, SSO, MFA, ThaID (ผ่าน OIDC broker), service account; หน้า login TH/EN ทำ theme ด้วย Keycloakify</t>
  </si>
  <si>
    <t xml:space="preserve">Go authorization module (RBAC + data scope + record rule) + PostgreSQL RLS</t>
  </si>
  <si>
    <t xml:space="preserve">ตรวจสิทธิ์ทุก endpoint (x-permission), กรองข้อมูลตามหน่วยงาน, แยก tenant</t>
  </si>
  <si>
    <t xml:space="preserve">Data</t>
  </si>
  <si>
    <t xml:space="preserve">Database</t>
  </si>
  <si>
    <t xml:space="preserve">PostgreSQL 16+ (HA ด้วย CloudNativePG / Patroni หรือ managed)</t>
  </si>
  <si>
    <t xml:space="preserve">schema ต่อโมดูล, RLS ต่อ tenant, partition consent_transaction และ audit_log รายเดือน, JSONB สำหรับฟอร์ม</t>
  </si>
  <si>
    <t xml:space="preserve">Cache / rate limit</t>
  </si>
  <si>
    <t xml:space="preserve">Valkey (Redis-compatible, license BSD)</t>
  </si>
  <si>
    <t xml:space="preserve">permission cache, config แบนเนอร์, rate limit, idempotency key</t>
  </si>
  <si>
    <t xml:space="preserve">Object storage</t>
  </si>
  <si>
    <t xml:space="preserve">S3-compatible (S3 ของ cloud / SeaweedFS / MinIO — ตรวจ license) + ClamAV</t>
  </si>
  <si>
    <t xml:space="preserve">ไฟล์แนบ แพ็กเกจข้อมูลคำขอใช้สิทธิ ไฟล์ export (เข้ารหัส)</t>
  </si>
  <si>
    <t xml:space="preserve">Secrets &amp; keys</t>
  </si>
  <si>
    <t xml:space="preserve">KMS ของ cloud หรือ OpenBao (Transit)</t>
  </si>
  <si>
    <t xml:space="preserve">envelope encryption ของ PII, secret ของ connector และ API</t>
  </si>
  <si>
    <t xml:space="preserve">Search</t>
  </si>
  <si>
    <t xml:space="preserve">PostgreSQL pg_trgm → OpenSearch + Thai analyzer เมื่อจำเป็น</t>
  </si>
  <si>
    <t xml:space="preserve">ค้นหาภาษาไทยที่ไม่มีช่องว่างระหว่างคำ</t>
  </si>
  <si>
    <t xml:space="preserve">Integration</t>
  </si>
  <si>
    <t xml:space="preserve">Events &amp; webhooks</t>
  </si>
  <si>
    <t xml:space="preserve">Transactional outbox + River; ทางเลือก NATS JetStream</t>
  </si>
  <si>
    <t xml:space="preserve">ส่ง event (consent.changed, dsar.closed ฯลฯ) แบบไม่สูญหาย, webhook ลงลายเซ็น HMAC</t>
  </si>
  <si>
    <t xml:space="preserve">Notification</t>
  </si>
  <si>
    <t xml:space="preserve">SMTP/SES, SMS gateway ไทย, LINE Messaging API</t>
  </si>
  <si>
    <t xml:space="preserve">อีเมล SMS LINE และ OTP</t>
  </si>
  <si>
    <t xml:space="preserve">Connectors</t>
  </si>
  <si>
    <t xml:space="preserve">Go connector SDK (DB, REST, SaaS) + HRIS / ITSM / SIEM</t>
  </si>
  <si>
    <t xml:space="preserve">ค้นหาข้อมูลข้ามระบบ, data discovery, sync ความยินยอม</t>
  </si>
  <si>
    <t xml:space="preserve">AI</t>
  </si>
  <si>
    <t xml:space="preserve">Go module + LLM ผ่าน API หรือ on-prem (vLLM) + pgvector</t>
  </si>
  <si>
    <t xml:space="preserve">ผู้ช่วย DPO, เติมแบบประเมิน, ร่างรายงาน — ปกปิด PII ก่อนส่ง</t>
  </si>
  <si>
    <t xml:space="preserve">Ops</t>
  </si>
  <si>
    <t xml:space="preserve">OpenTelemetry + Prometheus + Grafana + Loki + Tempo</t>
  </si>
  <si>
    <t xml:space="preserve">metrics, log, trace, alert</t>
  </si>
  <si>
    <t xml:space="preserve">Deployment</t>
  </si>
  <si>
    <t xml:space="preserve">Docker + Kubernetes + Helm + GitOps (Argo CD); Docker Compose สำหรับ on-prem ขนาดเล็ก</t>
  </si>
  <si>
    <t xml:space="preserve">SaaS บน cloud ที่มี data center ในไทย หรือติดตั้ง on-prem</t>
  </si>
  <si>
    <t xml:space="preserve">CI/CD &amp; security</t>
  </si>
  <si>
    <t xml:space="preserve">GitHub Actions / GitLab CI, golangci-lint, gosec, govulncheck, ESLint, Trivy, Syft, cosign</t>
  </si>
  <si>
    <t xml:space="preserve">build / test / scan / sign ทุก commit</t>
  </si>
  <si>
    <t xml:space="preserve">Testing</t>
  </si>
  <si>
    <t xml:space="preserve">go test + testcontainers-go, Vitest, Playwright, k6, OWASP ZAP</t>
  </si>
  <si>
    <t xml:space="preserve">unit, integration, contract, E2E, load, DAST</t>
  </si>
  <si>
    <t xml:space="preserve">2) การตัดสินใจทางสถาปัตยกรรม (ADR)</t>
  </si>
  <si>
    <t xml:space="preserve">ทางเลือกที่เสนอ</t>
  </si>
  <si>
    <t xml:space="preserve">ทางเลือกอื่นที่พิจารณา</t>
  </si>
  <si>
    <t xml:space="preserve">เหตุผล</t>
  </si>
  <si>
    <t xml:space="preserve">ADR-01</t>
  </si>
  <si>
    <t xml:space="preserve">รูปแบบสถาปัตยกรรม</t>
  </si>
  <si>
    <t xml:space="preserve">Go modular monolith + worker แยก binary</t>
  </si>
  <si>
    <t xml:space="preserve">Microservices ตั้งแต่ต้น</t>
  </si>
  <si>
    <t xml:space="preserve">ทีมขนาดกลางและต้องติดตั้ง on-prem ง่าย; แยก service ภายหลังได้ตามขอบเขตโมดูล (เช่น consent-api)</t>
  </si>
  <si>
    <t xml:space="preserve">ADR-02</t>
  </si>
  <si>
    <t xml:space="preserve">Frontend</t>
  </si>
  <si>
    <t xml:space="preserve">Next.js App Router 2 แอป (admin + portal) ใน monorepo Turborepo + pnpm</t>
  </si>
  <si>
    <t xml:space="preserve">SPA (Vite + React) แยกจาก API</t>
  </si>
  <si>
    <t xml:space="preserve">SSR/ISR สำหรับหน้า public, BFF เก็บ token ฝั่ง server, ใช้ UI kit และ api-client ร่วมกัน</t>
  </si>
  <si>
    <t xml:space="preserve">ADR-03</t>
  </si>
  <si>
    <t xml:space="preserve">สัญญา API</t>
  </si>
  <si>
    <t xml:space="preserve">OpenAPI-first: oapi-codegen (Go) + openapi-typescript (TS)</t>
  </si>
  <si>
    <t xml:space="preserve">gRPC / Connect, GraphQL</t>
  </si>
  <si>
    <t xml:space="preserve">public API และ SDK ต้องเป็น REST อยู่แล้ว; generate type ทั้งสองฝั่ง; ใส่ x-permission ใน spec เพื่อตรวจสิทธิ์อัตโนมัติ</t>
  </si>
  <si>
    <t xml:space="preserve">ADR-04</t>
  </si>
  <si>
    <t xml:space="preserve">การเข้าถึงข้อมูล</t>
  </si>
  <si>
    <t xml:space="preserve">pgx + sqlc + goose</t>
  </si>
  <si>
    <t xml:space="preserve">GORM, ent</t>
  </si>
  <si>
    <t xml:space="preserve">SQL ชัดเจน คุม performance และ RLS ได้ และ type-safe</t>
  </si>
  <si>
    <t xml:space="preserve">ADR-05</t>
  </si>
  <si>
    <t xml:space="preserve">Multi-tenancy</t>
  </si>
  <si>
    <t xml:space="preserve">Shared DB + tenant_id + PostgreSQL RLS; ทางเลือก DB แยกต่อ tenant</t>
  </si>
  <si>
    <t xml:space="preserve">schema ต่อ tenant</t>
  </si>
  <si>
    <t xml:space="preserve">RLS กันพลาดที่ระดับฐานข้อมูล; ลูกค้าใหญ่/on-prem ใช้ DB แยกด้วยโค้ดเดียวกัน</t>
  </si>
  <si>
    <t xml:space="preserve">ADR-06</t>
  </si>
  <si>
    <t xml:space="preserve">เขียนเองใน Go, Zitadel, บริการ SaaS (Auth0 / Entra External ID)</t>
  </si>
  <si>
    <t xml:space="preserve">SAML/OIDC/LDAP/MFA/brute-force พร้อมใช้ ลดความเสี่ยงด้านความปลอดภัย ติดตั้ง on-prem ได้; ต้องมีทักษะดูแล Keycloak (PoC ใน T13)</t>
  </si>
  <si>
    <t xml:space="preserve">ADR-07</t>
  </si>
  <si>
    <t xml:space="preserve">เขียนเองใน Go: RBAC + data scope + record rule, cache ใน Valkey</t>
  </si>
  <si>
    <t xml:space="preserve">OPA, Casbin, OpenFGA, Cerbos</t>
  </si>
  <si>
    <t xml:space="preserve">โมเดลสิทธิ์ผูกกับโครงสร้างองค์กรและโมดูล; เร็วและทดสอบง่าย; พิจารณา OpenFGA ถ้าต้องแชร์ราย record ซับซ้อน</t>
  </si>
  <si>
    <t xml:space="preserve">ADR-08</t>
  </si>
  <si>
    <t xml:space="preserve">Job และ workflow</t>
  </si>
  <si>
    <t xml:space="preserve">River + state machine ของเราเอง</t>
  </si>
  <si>
    <t xml:space="preserve">Temporal, Asynq, Kafka</t>
  </si>
  <si>
    <t xml:space="preserve">ใช้ PostgreSQL ที่มีอยู่ enqueue ใน transaction เดียวกับข้อมูล ไม่ต้องเพิ่ม infra; workflow ของงาน PDPA ไม่ซับซ้อนถึงขั้นต้องใช้ Temporal</t>
  </si>
  <si>
    <t xml:space="preserve">ADR-09</t>
  </si>
  <si>
    <t xml:space="preserve">เอกสาร PDF / Word</t>
  </si>
  <si>
    <t xml:space="preserve">Gotenberg + template HTML/DOCX + ฟอนต์ไทย</t>
  </si>
  <si>
    <t xml:space="preserve">ไลบรารี commercial (เช่น UniDoc)</t>
  </si>
  <si>
    <t xml:space="preserve">open source และแสดงภาษาไทยถูกต้อง; ตรวจ license ไลบรารี DOCX</t>
  </si>
  <si>
    <t xml:space="preserve">ADR-10</t>
  </si>
  <si>
    <t xml:space="preserve">Editor ของประกาศและสัญญา</t>
  </si>
  <si>
    <t xml:space="preserve">TipTap (ProseMirror) เก็บเป็น JSON</t>
  </si>
  <si>
    <t xml:space="preserve">Lexical, CKEditor</t>
  </si>
  <si>
    <t xml:space="preserve">รองรับ custom node สำหรับ clause และ merge field; ตรวจส่วนขยายที่มี license แยก</t>
  </si>
  <si>
    <t xml:space="preserve">ADR-11</t>
  </si>
  <si>
    <t xml:space="preserve">Cookie SDK</t>
  </si>
  <si>
    <t xml:space="preserve">Vanilla TypeScript ไม่มี framework</t>
  </si>
  <si>
    <t xml:space="preserve">React / Preact widget</t>
  </si>
  <si>
    <t xml:space="preserve">ต้องเล็กและไม่ชนกับเว็บของลูกค้า</t>
  </si>
  <si>
    <t xml:space="preserve">ADR-12</t>
  </si>
  <si>
    <t xml:space="preserve">ค้นหาภาษาไทย</t>
  </si>
  <si>
    <t xml:space="preserve">pg_trgm ก่อน, OpenSearch + Thai analyzer เมื่อจำเป็น</t>
  </si>
  <si>
    <t xml:space="preserve">Elasticsearch ตั้งแต่ต้น</t>
  </si>
  <si>
    <t xml:space="preserve">ลด infra ช่วงแรก; ภาษาไทยไม่มีช่องว่างระหว่างคำจึงต้องใช้ trigram หรือ analyzer เฉพาะ</t>
  </si>
  <si>
    <t xml:space="preserve">ADR-13</t>
  </si>
  <si>
    <t xml:space="preserve">Hosting</t>
  </si>
  <si>
    <t xml:space="preserve">Kubernetes บน cloud ที่มี data center ในไทย + ชุด on-prem</t>
  </si>
  <si>
    <t xml:space="preserve">cloud ต่างประเทศ</t>
  </si>
  <si>
    <t xml:space="preserve">จุดต่างจาก OneTrust (ไม่มี region ในไทย) และตอบโจทย์ภาครัฐ / การเงิน</t>
  </si>
  <si>
    <t xml:space="preserve">ADR-14</t>
  </si>
  <si>
    <t xml:space="preserve">AI gateway กลาง + human-in-the-loop + ปกปิด PII</t>
  </si>
  <si>
    <t xml:space="preserve">เรียก LLM ตรงจากแต่ละโมดูล</t>
  </si>
  <si>
    <t xml:space="preserve">คุมความเสี่ยงข้อมูลรั่วและค่าใช้จ่ายในจุดเดียว รองรับ LLM on-prem</t>
  </si>
  <si>
    <t xml:space="preserve">3) Epic → Go package / ตารางหลัก / API / หน้าจอ Next.js</t>
  </si>
  <si>
    <t xml:space="preserve">Go package</t>
  </si>
  <si>
    <t xml:space="preserve">ตารางหลัก (PostgreSQL)</t>
  </si>
  <si>
    <t xml:space="preserve">API prefix</t>
  </si>
  <si>
    <t xml:space="preserve">หน้าจอ Next.js</t>
  </si>
  <si>
    <t xml:space="preserve">บริการกลางที่ใช้</t>
  </si>
  <si>
    <t xml:space="preserve">internal/platform/{tenant,workflow,forms,docs,files,jobs,events,audit,crypto,notify,report,importer,search,ai}</t>
  </si>
  <si>
    <t xml:space="preserve">tenants, workflow_*, form_*, documents, files, river_job, outbox, audit_log</t>
  </si>
  <si>
    <t xml:space="preserve">/v1/platform/*</t>
  </si>
  <si>
    <t xml:space="preserve">admin: /settings/*</t>
  </si>
  <si>
    <t xml:space="preserve">internal/iam</t>
  </si>
  <si>
    <t xml:space="preserve">users, roles, role_permissions, role_assignments, scopes, groups, api_clients, guest_tokens</t>
  </si>
  <si>
    <t xml:space="preserve">/v1/iam/*</t>
  </si>
  <si>
    <t xml:space="preserve">admin: /admin/users, /admin/roles; portal: /auth/*</t>
  </si>
  <si>
    <t xml:space="preserve">Keycloak, Valkey, audit</t>
  </si>
  <si>
    <t xml:space="preserve">internal/org</t>
  </si>
  <si>
    <t xml:space="preserve">legal_entities, org_units (ltree), external_parties, master_*, calendars</t>
  </si>
  <si>
    <t xml:space="preserve">/v1/org/*</t>
  </si>
  <si>
    <t xml:space="preserve">admin: /org/*</t>
  </si>
  <si>
    <t xml:space="preserve">importer, audit</t>
  </si>
  <si>
    <t xml:space="preserve">internal/consent, internal/cookie</t>
  </si>
  <si>
    <t xml:space="preserve">purposes, data_elements, purpose_preferences, collection_points, consent_transactions (partition), data_subjects, domains, cookies, scans</t>
  </si>
  <si>
    <t xml:space="preserve">/v1/consent/*, /v1/cookie/*, public /p/v1/consent/*</t>
  </si>
  <si>
    <t xml:space="preserve">admin: /consent/*, /cookies/*; portal: /preferences, /c/[id]; SDK</t>
  </si>
  <si>
    <t xml:space="preserve">forms, events, crypto, notify, scanner</t>
  </si>
  <si>
    <t xml:space="preserve">internal/notice</t>
  </si>
  <si>
    <t xml:space="preserve">notices, notice_versions, notice_acks, indirect_collections</t>
  </si>
  <si>
    <t xml:space="preserve">/v1/notices/*</t>
  </si>
  <si>
    <t xml:space="preserve">admin: /notices/*; portal: /notice/[slug]</t>
  </si>
  <si>
    <t xml:space="preserve">docs, workflow, events</t>
  </si>
  <si>
    <t xml:space="preserve">internal/ropa</t>
  </si>
  <si>
    <t xml:space="preserve">processing_activities, data_inventory, assets, recipients, transfers, retention_rules</t>
  </si>
  <si>
    <t xml:space="preserve">/v1/ropa/*</t>
  </si>
  <si>
    <t xml:space="preserve">admin: /ropa/*</t>
  </si>
  <si>
    <t xml:space="preserve">forms, importer, report, events</t>
  </si>
  <si>
    <t xml:space="preserve">internal/ropa/templates</t>
  </si>
  <si>
    <t xml:space="preserve">activity_templates, template_versions, template_sets</t>
  </si>
  <si>
    <t xml:space="preserve">/v1/ropa/templates/*</t>
  </si>
  <si>
    <t xml:space="preserve">admin: /ropa/templates/*</t>
  </si>
  <si>
    <t xml:space="preserve">ropa, ai</t>
  </si>
  <si>
    <t xml:space="preserve">internal/dataflow</t>
  </si>
  <si>
    <t xml:space="preserve">flow_layouts, flow_snapshots, discovery_scans, discovery_findings</t>
  </si>
  <si>
    <t xml:space="preserve">/v1/dataflow/*</t>
  </si>
  <si>
    <t xml:space="preserve">admin: /data-flow/* (React Flow)</t>
  </si>
  <si>
    <t xml:space="preserve">events, connectors</t>
  </si>
  <si>
    <t xml:space="preserve">internal/dsar</t>
  </si>
  <si>
    <t xml:space="preserve">requests, request_subtasks, verifications, packages, rejections</t>
  </si>
  <si>
    <t xml:space="preserve">/v1/dsar/*, public /p/v1/dsar/*</t>
  </si>
  <si>
    <t xml:space="preserve">admin: /requests/*; portal: /request, /request/status</t>
  </si>
  <si>
    <t xml:space="preserve">workflow, forms, docs, files, connectors</t>
  </si>
  <si>
    <t xml:space="preserve">internal/breach</t>
  </si>
  <si>
    <t xml:space="preserve">incidents, incident_assessments, notifications, evidence, playbooks</t>
  </si>
  <si>
    <t xml:space="preserve">/v1/breach/*, public /p/v1/breach/*</t>
  </si>
  <si>
    <t xml:space="preserve">admin: /incidents/*; portal: /report-incident</t>
  </si>
  <si>
    <t xml:space="preserve">workflow, forms, docs, notify</t>
  </si>
  <si>
    <t xml:space="preserve">internal/dpo</t>
  </si>
  <si>
    <t xml:space="preserve">dpo_profiles, tasks, advisories, kb_articles</t>
  </si>
  <si>
    <t xml:space="preserve">/v1/dpo/*</t>
  </si>
  <si>
    <t xml:space="preserve">admin: /dpo/*, /dashboard</t>
  </si>
  <si>
    <t xml:space="preserve">workflow, report</t>
  </si>
  <si>
    <t xml:space="preserve">internal/assessment</t>
  </si>
  <si>
    <t xml:space="preserve">assessments, assessment_sections, answers, assessment_risks</t>
  </si>
  <si>
    <t xml:space="preserve">/v1/assessments/*</t>
  </si>
  <si>
    <t xml:space="preserve">admin: /assessments/*; portal: /guest/assessment/[token]</t>
  </si>
  <si>
    <t xml:space="preserve">forms, risk, workflow, docs</t>
  </si>
  <si>
    <t xml:space="preserve">internal/risk</t>
  </si>
  <si>
    <t xml:space="preserve">risk_matrices, risk_factors, risks, controls, gap_rules, gap_findings, acceptances</t>
  </si>
  <si>
    <t xml:space="preserve">/v1/risk/*</t>
  </si>
  <si>
    <t xml:space="preserve">admin: /risk/*</t>
  </si>
  <si>
    <t xml:space="preserve">ropa, workflow, report</t>
  </si>
  <si>
    <t xml:space="preserve">internal/vendor</t>
  </si>
  <si>
    <t xml:space="preserve">vendors, vendor_tiers, vendor_assessments, certificates, sub_processors</t>
  </si>
  <si>
    <t xml:space="preserve">/v1/vendors/*</t>
  </si>
  <si>
    <t xml:space="preserve">admin: /vendors/*; portal: /guest/vendor/[token]</t>
  </si>
  <si>
    <t xml:space="preserve">forms, risk, guest access</t>
  </si>
  <si>
    <t xml:space="preserve">internal/agreement</t>
  </si>
  <si>
    <t xml:space="preserve">agreements (type = DPA), agreement_versions, clauses, signatures, obligations</t>
  </si>
  <si>
    <t xml:space="preserve">/v1/agreements/*</t>
  </si>
  <si>
    <t xml:space="preserve">admin: /agreements/dpa/*</t>
  </si>
  <si>
    <t xml:space="preserve">docs, workflow, e-signature</t>
  </si>
  <si>
    <t xml:space="preserve">agreements (type = DSA) ใช้ engine เดียวกับ DPA</t>
  </si>
  <si>
    <t xml:space="preserve">admin: /agreements/dsa/*</t>
  </si>
  <si>
    <t xml:space="preserve">docs, workflow, dataflow</t>
  </si>
  <si>
    <t xml:space="preserve">internal/governance</t>
  </si>
  <si>
    <t xml:space="preserve">courses, attempts, attestations, audits, findings, retention_jobs, regulator_letters, ai_systems</t>
  </si>
  <si>
    <t xml:space="preserve">/v1/governance/*</t>
  </si>
  <si>
    <t xml:space="preserve">admin: /governance/*; portal: /learn</t>
  </si>
  <si>
    <t xml:space="preserve">forms, workflow, ai, connectors</t>
  </si>
  <si>
    <t xml:space="preserve">4) โครงสร้าง repository (monorepo)</t>
  </si>
  <si>
    <t xml:space="preserve">#</t>
  </si>
  <si>
    <t xml:space="preserve">Path</t>
  </si>
  <si>
    <t xml:space="preserve">เนื้อหา</t>
  </si>
  <si>
    <t xml:space="preserve">apps/admin</t>
  </si>
  <si>
    <t xml:space="preserve">Next.js admin portal</t>
  </si>
  <si>
    <t xml:space="preserve">apps/portal</t>
  </si>
  <si>
    <t xml:space="preserve">Next.js public portal (multi-tenant, custom domain)</t>
  </si>
  <si>
    <t xml:space="preserve">packages/ui</t>
  </si>
  <si>
    <t xml:space="preserve">Design system: shadcn/ui + Tailwind + Radix</t>
  </si>
  <si>
    <t xml:space="preserve">packages/api-client</t>
  </si>
  <si>
    <t xml:space="preserve">TypeScript client + TanStack Query hooks ที่ generate จาก OpenAPI</t>
  </si>
  <si>
    <t xml:space="preserve">packages/i18n</t>
  </si>
  <si>
    <t xml:space="preserve">ข้อความ TH/EN (next-intl)</t>
  </si>
  <si>
    <t xml:space="preserve">packages/form-renderer</t>
  </si>
  <si>
    <t xml:space="preserve">renderer ของ form engine ใช้ร่วม admin และ portal</t>
  </si>
  <si>
    <t xml:space="preserve">packages/cookie-sdk</t>
  </si>
  <si>
    <t xml:space="preserve">SDK แบนเนอร์และความยินยอม (vanilla TypeScript)</t>
  </si>
  <si>
    <t xml:space="preserve">backend/cmd/{api,worker,scanner,migrate}</t>
  </si>
  <si>
    <t xml:space="preserve">Go binaries</t>
  </si>
  <si>
    <t xml:space="preserve">backend/internal/&lt;module&gt;</t>
  </si>
  <si>
    <t xml:space="preserve">โค้ดแต่ละโมดูล: handler, service, repository (sqlc), events</t>
  </si>
  <si>
    <t xml:space="preserve">backend/internal/platform/*</t>
  </si>
  <si>
    <t xml:space="preserve">บริการกลาง</t>
  </si>
  <si>
    <t xml:space="preserve">api/openapi/*.yaml</t>
  </si>
  <si>
    <t xml:space="preserve">สัญญา API (source of truth) + x-permission</t>
  </si>
  <si>
    <t xml:space="preserve">deploy/helm, deploy/compose</t>
  </si>
  <si>
    <t xml:space="preserve">Helm chart (SaaS / on-prem) และ Docker Compose</t>
  </si>
  <si>
    <t xml:space="preserve">infra/</t>
  </si>
  <si>
    <t xml:space="preserve">IaC (OpenTofu / Terraform)</t>
  </si>
  <si>
    <t xml:space="preserve">tests/e2e, tests/load</t>
  </si>
  <si>
    <t xml:space="preserve">Playwright และ k6</t>
  </si>
  <si>
    <t xml:space="preserve">ความเสี่ยงของโครงการ (PM)</t>
  </si>
  <si>
    <t xml:space="preserve">คะแนน = โอกาส × ผลกระทบ (1-3) | ≥6 สูง, 4 กลาง, ≤3 ต่ำ</t>
  </si>
  <si>
    <t xml:space="preserve">ความเสี่ยง</t>
  </si>
  <si>
    <t xml:space="preserve">โอกาส (1-3)</t>
  </si>
  <si>
    <t xml:space="preserve">ผลกระทบ (1-3)</t>
  </si>
  <si>
    <t xml:space="preserve">คะแนน</t>
  </si>
  <si>
    <t xml:space="preserve">แนวทางลดความเสี่ยง</t>
  </si>
  <si>
    <t xml:space="preserve">R01</t>
  </si>
  <si>
    <t xml:space="preserve">ขอบเขตใหญ่ (15 โมดูล 243 ฟังก์ชัน + บริการกลาง) เสี่ยง scope creep และ MVP ช้า</t>
  </si>
  <si>
    <t xml:space="preserve">ล็อก MVP เฉพาะ P1, change control, backlog ที่ลูกค้า sign-off, ทบทวน scope ทุกสิ้น phase</t>
  </si>
  <si>
    <t xml:space="preserve">R02</t>
  </si>
  <si>
    <t xml:space="preserve">ประกาศ สคส. ใหม่หรือการตีความเปลี่ยนระหว่างพัฒนา</t>
  </si>
  <si>
    <t xml:space="preserve">แยกเนื้อหากฎหมายเป็น template / config, legal review ทุก phase (T30, T37)</t>
  </si>
  <si>
    <t xml:space="preserve">PM / Legal</t>
  </si>
  <si>
    <t xml:space="preserve">R03</t>
  </si>
  <si>
    <t xml:space="preserve">หาทีม Go และ Next.js ที่มีประสบการณ์ในไทยได้ยากหรือช้า</t>
  </si>
  <si>
    <t xml:space="preserve">จ้าง tech lead ทั้งสองฝั่งก่อน P0, code template และ pair programming, อบรมทีมจาก .NET</t>
  </si>
  <si>
    <t xml:space="preserve">R04</t>
  </si>
  <si>
    <t xml:space="preserve">เขียนระบบ Consent เดิม (.NET) ใหม่ด้วย Go แล้ว business rule ตกหล่น</t>
  </si>
  <si>
    <t xml:space="preserve">T03 สกัด rule และ test case จาก FSD V3.2, ใช้ test case เดิมเป็น regression, reconcile ข้อมูลหลังย้าย (T26)</t>
  </si>
  <si>
    <t xml:space="preserve">R05</t>
  </si>
  <si>
    <t xml:space="preserve">Integration กับระบบลูกค้า (POS, CRM, LINE, SSO) ช้ากว่าแผน</t>
  </si>
  <si>
    <t xml:space="preserve">ตกลง API contract ตั้งแต่ P0-P1, ใช้ mock / sandbox, มีผู้รับผิดชอบฝั่งลูกค้า</t>
  </si>
  <si>
    <t xml:space="preserve">R06</t>
  </si>
  <si>
    <t xml:space="preserve">ประสิทธิภาพ Consent API และ SDK เมื่อปริมาณธุรกรรมสูง (ค้าปลีก)</t>
  </si>
  <si>
    <t xml:space="preserve">load test (T22), cache ใน Valkey + CDN, partition ตาราง, deploy profile consent-api แยก</t>
  </si>
  <si>
    <t xml:space="preserve">SA / DevOps</t>
  </si>
  <si>
    <t xml:space="preserve">R07</t>
  </si>
  <si>
    <t xml:space="preserve">ระบบเป็นเป้าโจมตีเพราะเก็บ PII จำนวนมาก</t>
  </si>
  <si>
    <t xml:space="preserve">field encryption, least privilege, threat model (T14), pentest (T24), hardening (T20)</t>
  </si>
  <si>
    <t xml:space="preserve">R08</t>
  </si>
  <si>
    <t xml:space="preserve">Keycloak: ความซับซ้อนของ multi-tenant, theme และการอัปเกรด</t>
  </si>
  <si>
    <t xml:space="preserve">PoC ใน T13, ตรึงเวอร์ชัน, runbook อัปเกรด, ทดสอบ SSO ทุก release</t>
  </si>
  <si>
    <t xml:space="preserve">R09</t>
  </si>
  <si>
    <t xml:space="preserve">การเชื่อม ThaID / NDID ต้องขึ้นทะเบียนและรออนุมัติ</t>
  </si>
  <si>
    <t xml:space="preserve">เริ่มประสานใน P0, ระหว่างรอใช้ OTP / SSO องค์กร</t>
  </si>
  <si>
    <t xml:space="preserve">R10</t>
  </si>
  <si>
    <t xml:space="preserve">ภาษาไทย: ค้นหา OCR และตรวจจับ PII แม่นยำไม่พอ</t>
  </si>
  <si>
    <t xml:space="preserve">PoC (T13), pg_trgm, ให้คนยืนยันผลเสมอ, วัดค่าความแม่นยำก่อนเปิดใช้</t>
  </si>
  <si>
    <t xml:space="preserve">R11</t>
  </si>
  <si>
    <t xml:space="preserve">License ของ open source (MinIO, ไลบรารี DOCX, ส่วนขยาย TipTap, Grafana stack) ไม่เหมาะกับการขาย on-prem</t>
  </si>
  <si>
    <t xml:space="preserve">ตรวจ license ใน T04 และเลือกตัวทดแทนที่ license เหมาะสม</t>
  </si>
  <si>
    <t xml:space="preserve">R12</t>
  </si>
  <si>
    <t xml:space="preserve">AI ให้คำตอบผิดหรือทำข้อมูลรั่ว และค่าใช้จ่ายบานปลาย</t>
  </si>
  <si>
    <t xml:space="preserve">AI gateway ปกปิด PII, human-in-the-loop, โควตาต่อ tenant, ประเมินคุณภาพ (T45)</t>
  </si>
  <si>
    <t xml:space="preserve">R13</t>
  </si>
  <si>
    <t xml:space="preserve">ติดตั้ง on-prem หลายสภาพแวดล้อมทำให้ support หนัก</t>
  </si>
  <si>
    <t xml:space="preserve">Helm + Compose มาตรฐาน, support matrix, อัปเดตแบบ offline (T41)</t>
  </si>
  <si>
    <t xml:space="preserve">R14</t>
  </si>
  <si>
    <t xml:space="preserve">คู่แข่ง (OneTrust มีแบรนด์, GPPC ฟรีสำหรับ SME)</t>
  </si>
  <si>
    <t xml:space="preserve">เน้นจุดต่าง: DSA/DPA generator, template ไทย, LINE, ThaID, data center ในไทย / on-prem</t>
  </si>
  <si>
    <t xml:space="preserve">PM / Business</t>
  </si>
  <si>
    <t xml:space="preserve">R15</t>
  </si>
  <si>
    <t xml:space="preserve">ประมาณการคลาดเคลื่อน</t>
  </si>
  <si>
    <t xml:space="preserve">re-estimate หลัง sprint 3 จาก velocity จริง, contingency ในชีต Assumptions</t>
  </si>
  <si>
    <t xml:space="preserve">R16</t>
  </si>
  <si>
    <t xml:space="preserve">พึ่งพาคนสำคัญ (SA / tech lead)</t>
  </si>
  <si>
    <t xml:space="preserve">เอกสาร SAD / ERD / ADR, code review, หมุนเวียนความรับผิดชอบ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</si>
</sst>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#,##0"/>
    <numFmt numFmtId="167" formatCode="0.0"/>
    <numFmt numFmtId="168" formatCode="dd/mm/yyyy"/>
    <numFmt numFmtId="169" formatCode="General"/>
    <numFmt numFmtId="170" formatCode="0%"/>
    <numFmt numFmtId="171" formatCode="#,##0.0"/>
    <numFmt numFmtId="172" formatCode="dd/mm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FreeSans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9"/>
      <color rgb="FF59595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7030A0"/>
      <name val="Arial"/>
      <family val="0"/>
      <charset val="1"/>
    </font>
    <font>
      <b val="true"/>
      <sz val="8"/>
      <name val="Arial"/>
      <family val="0"/>
      <charset val="1"/>
    </font>
    <font>
      <sz val="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BDD7EE"/>
        <bgColor rgb="FFD9D9D9"/>
      </patternFill>
    </fill>
    <fill>
      <patternFill patternType="solid">
        <fgColor rgb="FFF8CBAD"/>
        <bgColor rgb="FFFFC7CE"/>
      </patternFill>
    </fill>
    <fill>
      <patternFill patternType="solid">
        <fgColor rgb="FFE4DFEC"/>
        <bgColor rgb="FFD9D9D9"/>
      </patternFill>
    </fill>
    <fill>
      <patternFill patternType="solid">
        <fgColor rgb="FFFFE699"/>
        <bgColor rgb="FFFFEB9C"/>
      </patternFill>
    </fill>
    <fill>
      <patternFill patternType="solid">
        <fgColor rgb="FFC6E0B4"/>
        <bgColor rgb="FFC6EFCE"/>
      </patternFill>
    </fill>
    <fill>
      <patternFill patternType="solid">
        <fgColor rgb="FFFFF2CC"/>
        <bgColor rgb="FFFCE4D6"/>
      </patternFill>
    </fill>
    <fill>
      <patternFill patternType="solid">
        <fgColor rgb="FFC6EFCE"/>
        <bgColor rgb="FFC6E0B4"/>
      </patternFill>
    </fill>
    <fill>
      <patternFill patternType="solid">
        <fgColor rgb="FFFFEB9C"/>
        <bgColor rgb="FFFFE699"/>
      </patternFill>
    </fill>
    <fill>
      <patternFill patternType="solid">
        <fgColor rgb="FFFFC7CE"/>
        <bgColor rgb="FFF8CBAD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7030A0"/>
        <bgColor rgb="FF725990"/>
      </patternFill>
    </fill>
    <fill>
      <patternFill patternType="solid">
        <fgColor rgb="FFF2F2F2"/>
        <bgColor rgb="FFE2EFDA"/>
      </patternFill>
    </fill>
    <fill>
      <patternFill patternType="solid">
        <fgColor rgb="FFD9D9D9"/>
        <bgColor rgb="FFE4DF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8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8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1" fontId="7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8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8" fillId="1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7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7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1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19" fillId="1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1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1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E4DFEC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>
          <bgColor rgb="FF5B9BD5"/>
        </patternFill>
      </fill>
    </dxf>
    <dxf>
      <fill>
        <patternFill>
          <bgColor rgb="FFED7D31"/>
        </patternFill>
      </fill>
    </dxf>
    <dxf>
      <fill>
        <patternFill>
          <bgColor rgb="FF8064A2"/>
        </patternFill>
      </fill>
    </dxf>
    <dxf>
      <fill>
        <patternFill>
          <bgColor rgb="FFFFC000"/>
        </patternFill>
      </fill>
    </dxf>
    <dxf>
      <fill>
        <patternFill>
          <bgColor rgb="FF70AD47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fgColor rgb="FF006100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E699"/>
      <rgbColor rgb="FFFF00FF"/>
      <rgbColor rgb="FFE4DFEC"/>
      <rgbColor rgb="FF9C0006"/>
      <rgbColor rgb="FF006100"/>
      <rgbColor rgb="FF000080"/>
      <rgbColor rgb="FF8064A2"/>
      <rgbColor rgb="FF800080"/>
      <rgbColor rgb="FF008080"/>
      <rgbColor rgb="FFBFBFBF"/>
      <rgbColor rgb="FF878787"/>
      <rgbColor rgb="FF93A9CE"/>
      <rgbColor rgb="FFAB4744"/>
      <rgbColor rgb="FFFFF2CC"/>
      <rgbColor rgb="FFDDEBF7"/>
      <rgbColor rgb="FF660066"/>
      <rgbColor rgb="FFDC853E"/>
      <rgbColor rgb="FF0066CC"/>
      <rgbColor rgb="FFBDD7EE"/>
      <rgbColor rgb="FF000080"/>
      <rgbColor rgb="FFFF00FF"/>
      <rgbColor rgb="FFFCE4D6"/>
      <rgbColor rgb="FFF2F2F2"/>
      <rgbColor rgb="FF800080"/>
      <rgbColor rgb="FF800000"/>
      <rgbColor rgb="FF008080"/>
      <rgbColor rgb="FF0000FF"/>
      <rgbColor rgb="FFD9D9D9"/>
      <rgbColor rgb="FFE2EFDA"/>
      <rgbColor rgb="FFC6EFCE"/>
      <rgbColor rgb="FFFFEB9C"/>
      <rgbColor rgb="FFC6E0B4"/>
      <rgbColor rgb="FFD09493"/>
      <rgbColor rgb="FFFFC7CE"/>
      <rgbColor rgb="FFF8CBAD"/>
      <rgbColor rgb="FF4672A8"/>
      <rgbColor rgb="FF5B9BD5"/>
      <rgbColor rgb="FF70AD47"/>
      <rgbColor rgb="FFFFC000"/>
      <rgbColor rgb="FFB8CD97"/>
      <rgbColor rgb="FFED7D31"/>
      <rgbColor rgb="FF725990"/>
      <rgbColor rgb="FF8AA64F"/>
      <rgbColor rgb="FF003366"/>
      <rgbColor rgb="FF4299B0"/>
      <rgbColor rgb="FF003300"/>
      <rgbColor rgb="FF333300"/>
      <rgbColor rgb="FF993300"/>
      <rgbColor rgb="FF7030A0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Effort ราย Phase แยกตามบทบาท (man-day)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Roadmap!C4</c:f>
              <c:strCache>
                <c:ptCount val="1"/>
                <c:pt idx="0">
                  <c:v>SA</c:v>
                </c:pt>
              </c:strCache>
            </c:strRef>
          </c:tx>
          <c:spPr>
            <a:solidFill>
              <a:srgbClr val="4672a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Roadmap!$A$5:$A$9</c:f>
              <c:strCache>
                <c:ptCount val="5"/>
                <c:pt idx="0">
                  <c:v>P0</c:v>
                </c:pt>
                <c:pt idx="1">
                  <c:v>P1</c:v>
                </c:pt>
                <c:pt idx="2">
                  <c:v>P2</c:v>
                </c:pt>
                <c:pt idx="3">
                  <c:v>P3</c:v>
                </c:pt>
                <c:pt idx="4">
                  <c:v>P4</c:v>
                </c:pt>
              </c:strCache>
            </c:strRef>
          </c:cat>
          <c:val>
            <c:numRef>
              <c:f>Roadmap!$C$5:$C$9</c:f>
              <c:numCache>
                <c:formatCode>#,##0.0</c:formatCode>
                <c:ptCount val="5"/>
                <c:pt idx="0">
                  <c:v>91.1</c:v>
                </c:pt>
                <c:pt idx="1">
                  <c:v>104.6</c:v>
                </c:pt>
                <c:pt idx="2">
                  <c:v>50.7</c:v>
                </c:pt>
                <c:pt idx="3">
                  <c:v>86.3</c:v>
                </c:pt>
                <c:pt idx="4">
                  <c:v>23.6</c:v>
                </c:pt>
              </c:numCache>
            </c:numRef>
          </c:val>
        </c:ser>
        <c:ser>
          <c:idx val="1"/>
          <c:order val="1"/>
          <c:tx>
            <c:strRef>
              <c:f>Roadmap!D4</c:f>
              <c:strCache>
                <c:ptCount val="1"/>
                <c:pt idx="0">
                  <c:v>UX</c:v>
                </c:pt>
              </c:strCache>
            </c:strRef>
          </c:tx>
          <c:spPr>
            <a:solidFill>
              <a:srgbClr val="ab474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Roadmap!$A$5:$A$9</c:f>
              <c:strCache>
                <c:ptCount val="5"/>
                <c:pt idx="0">
                  <c:v>P0</c:v>
                </c:pt>
                <c:pt idx="1">
                  <c:v>P1</c:v>
                </c:pt>
                <c:pt idx="2">
                  <c:v>P2</c:v>
                </c:pt>
                <c:pt idx="3">
                  <c:v>P3</c:v>
                </c:pt>
                <c:pt idx="4">
                  <c:v>P4</c:v>
                </c:pt>
              </c:strCache>
            </c:strRef>
          </c:cat>
          <c:val>
            <c:numRef>
              <c:f>Roadmap!$D$5:$D$9</c:f>
              <c:numCache>
                <c:formatCode>#,##0.0</c:formatCode>
                <c:ptCount val="5"/>
                <c:pt idx="0">
                  <c:v>50.4</c:v>
                </c:pt>
                <c:pt idx="1">
                  <c:v>72</c:v>
                </c:pt>
                <c:pt idx="2">
                  <c:v>30</c:v>
                </c:pt>
                <c:pt idx="3">
                  <c:v>38</c:v>
                </c:pt>
                <c:pt idx="4">
                  <c:v>4</c:v>
                </c:pt>
              </c:numCache>
            </c:numRef>
          </c:val>
        </c:ser>
        <c:ser>
          <c:idx val="2"/>
          <c:order val="2"/>
          <c:tx>
            <c:strRef>
              <c:f>Roadmap!E4</c:f>
              <c:strCache>
                <c:ptCount val="1"/>
                <c:pt idx="0">
                  <c:v>BE</c:v>
                </c:pt>
              </c:strCache>
            </c:strRef>
          </c:tx>
          <c:spPr>
            <a:solidFill>
              <a:srgbClr val="8aa64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Roadmap!$A$5:$A$9</c:f>
              <c:strCache>
                <c:ptCount val="5"/>
                <c:pt idx="0">
                  <c:v>P0</c:v>
                </c:pt>
                <c:pt idx="1">
                  <c:v>P1</c:v>
                </c:pt>
                <c:pt idx="2">
                  <c:v>P2</c:v>
                </c:pt>
                <c:pt idx="3">
                  <c:v>P3</c:v>
                </c:pt>
                <c:pt idx="4">
                  <c:v>P4</c:v>
                </c:pt>
              </c:strCache>
            </c:strRef>
          </c:cat>
          <c:val>
            <c:numRef>
              <c:f>Roadmap!$E$5:$E$9</c:f>
              <c:numCache>
                <c:formatCode>#,##0.0</c:formatCode>
                <c:ptCount val="5"/>
                <c:pt idx="0">
                  <c:v>213</c:v>
                </c:pt>
                <c:pt idx="1">
                  <c:v>408</c:v>
                </c:pt>
                <c:pt idx="2">
                  <c:v>191</c:v>
                </c:pt>
                <c:pt idx="3">
                  <c:v>374</c:v>
                </c:pt>
                <c:pt idx="4">
                  <c:v>104</c:v>
                </c:pt>
              </c:numCache>
            </c:numRef>
          </c:val>
        </c:ser>
        <c:ser>
          <c:idx val="3"/>
          <c:order val="3"/>
          <c:tx>
            <c:strRef>
              <c:f>Roadmap!F4</c:f>
              <c:strCache>
                <c:ptCount val="1"/>
                <c:pt idx="0">
                  <c:v>FE</c:v>
                </c:pt>
              </c:strCache>
            </c:strRef>
          </c:tx>
          <c:spPr>
            <a:solidFill>
              <a:srgbClr val="72599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Roadmap!$A$5:$A$9</c:f>
              <c:strCache>
                <c:ptCount val="5"/>
                <c:pt idx="0">
                  <c:v>P0</c:v>
                </c:pt>
                <c:pt idx="1">
                  <c:v>P1</c:v>
                </c:pt>
                <c:pt idx="2">
                  <c:v>P2</c:v>
                </c:pt>
                <c:pt idx="3">
                  <c:v>P3</c:v>
                </c:pt>
                <c:pt idx="4">
                  <c:v>P4</c:v>
                </c:pt>
              </c:strCache>
            </c:strRef>
          </c:cat>
          <c:val>
            <c:numRef>
              <c:f>Roadmap!$F$5:$F$9</c:f>
              <c:numCache>
                <c:formatCode>#,##0.0</c:formatCode>
                <c:ptCount val="5"/>
                <c:pt idx="0">
                  <c:v>136</c:v>
                </c:pt>
                <c:pt idx="1">
                  <c:v>372</c:v>
                </c:pt>
                <c:pt idx="2">
                  <c:v>190</c:v>
                </c:pt>
                <c:pt idx="3">
                  <c:v>324</c:v>
                </c:pt>
                <c:pt idx="4">
                  <c:v>78</c:v>
                </c:pt>
              </c:numCache>
            </c:numRef>
          </c:val>
        </c:ser>
        <c:ser>
          <c:idx val="4"/>
          <c:order val="4"/>
          <c:tx>
            <c:strRef>
              <c:f>Roadmap!G4</c:f>
              <c:strCache>
                <c:ptCount val="1"/>
                <c:pt idx="0">
                  <c:v>QA</c:v>
                </c:pt>
              </c:strCache>
            </c:strRef>
          </c:tx>
          <c:spPr>
            <a:solidFill>
              <a:srgbClr val="4299b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Roadmap!$A$5:$A$9</c:f>
              <c:strCache>
                <c:ptCount val="5"/>
                <c:pt idx="0">
                  <c:v>P0</c:v>
                </c:pt>
                <c:pt idx="1">
                  <c:v>P1</c:v>
                </c:pt>
                <c:pt idx="2">
                  <c:v>P2</c:v>
                </c:pt>
                <c:pt idx="3">
                  <c:v>P3</c:v>
                </c:pt>
                <c:pt idx="4">
                  <c:v>P4</c:v>
                </c:pt>
              </c:strCache>
            </c:strRef>
          </c:cat>
          <c:val>
            <c:numRef>
              <c:f>Roadmap!$G$5:$G$9</c:f>
              <c:numCache>
                <c:formatCode>#,##0.0</c:formatCode>
                <c:ptCount val="5"/>
                <c:pt idx="0">
                  <c:v>126.4</c:v>
                </c:pt>
                <c:pt idx="1">
                  <c:v>287.8</c:v>
                </c:pt>
                <c:pt idx="2">
                  <c:v>141.6</c:v>
                </c:pt>
                <c:pt idx="3">
                  <c:v>255.1</c:v>
                </c:pt>
                <c:pt idx="4">
                  <c:v>73.6</c:v>
                </c:pt>
              </c:numCache>
            </c:numRef>
          </c:val>
        </c:ser>
        <c:ser>
          <c:idx val="5"/>
          <c:order val="5"/>
          <c:tx>
            <c:strRef>
              <c:f>Roadmap!H4</c:f>
              <c:strCache>
                <c:ptCount val="1"/>
                <c:pt idx="0">
                  <c:v>DevOps</c:v>
                </c:pt>
              </c:strCache>
            </c:strRef>
          </c:tx>
          <c:spPr>
            <a:solidFill>
              <a:srgbClr val="dc853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Roadmap!$A$5:$A$9</c:f>
              <c:strCache>
                <c:ptCount val="5"/>
                <c:pt idx="0">
                  <c:v>P0</c:v>
                </c:pt>
                <c:pt idx="1">
                  <c:v>P1</c:v>
                </c:pt>
                <c:pt idx="2">
                  <c:v>P2</c:v>
                </c:pt>
                <c:pt idx="3">
                  <c:v>P3</c:v>
                </c:pt>
                <c:pt idx="4">
                  <c:v>P4</c:v>
                </c:pt>
              </c:strCache>
            </c:strRef>
          </c:cat>
          <c:val>
            <c:numRef>
              <c:f>Roadmap!$H$5:$H$9</c:f>
              <c:numCache>
                <c:formatCode>#,##0.0</c:formatCode>
                <c:ptCount val="5"/>
                <c:pt idx="0">
                  <c:v>49</c:v>
                </c:pt>
                <c:pt idx="1">
                  <c:v>70</c:v>
                </c:pt>
                <c:pt idx="2">
                  <c:v>27</c:v>
                </c:pt>
                <c:pt idx="3">
                  <c:v>50</c:v>
                </c:pt>
                <c:pt idx="4">
                  <c:v>22</c:v>
                </c:pt>
              </c:numCache>
            </c:numRef>
          </c:val>
        </c:ser>
        <c:ser>
          <c:idx val="6"/>
          <c:order val="6"/>
          <c:tx>
            <c:strRef>
              <c:f>Roadmap!I4</c:f>
              <c:strCache>
                <c:ptCount val="1"/>
                <c:pt idx="0">
                  <c:v>PM</c:v>
                </c:pt>
              </c:strCache>
            </c:strRef>
          </c:tx>
          <c:spPr>
            <a:solidFill>
              <a:srgbClr val="93a9c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Roadmap!$A$5:$A$9</c:f>
              <c:strCache>
                <c:ptCount val="5"/>
                <c:pt idx="0">
                  <c:v>P0</c:v>
                </c:pt>
                <c:pt idx="1">
                  <c:v>P1</c:v>
                </c:pt>
                <c:pt idx="2">
                  <c:v>P2</c:v>
                </c:pt>
                <c:pt idx="3">
                  <c:v>P3</c:v>
                </c:pt>
                <c:pt idx="4">
                  <c:v>P4</c:v>
                </c:pt>
              </c:strCache>
            </c:strRef>
          </c:cat>
          <c:val>
            <c:numRef>
              <c:f>Roadmap!$I$5:$I$9</c:f>
              <c:numCache>
                <c:formatCode>#,##0.0</c:formatCode>
                <c:ptCount val="5"/>
                <c:pt idx="0">
                  <c:v>36</c:v>
                </c:pt>
                <c:pt idx="1">
                  <c:v>43</c:v>
                </c:pt>
                <c:pt idx="2">
                  <c:v>23</c:v>
                </c:pt>
                <c:pt idx="3">
                  <c:v>31</c:v>
                </c:pt>
                <c:pt idx="4">
                  <c:v>17</c:v>
                </c:pt>
              </c:numCache>
            </c:numRef>
          </c:val>
        </c:ser>
        <c:ser>
          <c:idx val="7"/>
          <c:order val="7"/>
          <c:tx>
            <c:strRef>
              <c:f>Roadmap!J4</c:f>
              <c:strCache>
                <c:ptCount val="1"/>
                <c:pt idx="0">
                  <c:v>Legal/DPO</c:v>
                </c:pt>
              </c:strCache>
            </c:strRef>
          </c:tx>
          <c:spPr>
            <a:solidFill>
              <a:srgbClr val="d0949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Roadmap!$A$5:$A$9</c:f>
              <c:strCache>
                <c:ptCount val="5"/>
                <c:pt idx="0">
                  <c:v>P0</c:v>
                </c:pt>
                <c:pt idx="1">
                  <c:v>P1</c:v>
                </c:pt>
                <c:pt idx="2">
                  <c:v>P2</c:v>
                </c:pt>
                <c:pt idx="3">
                  <c:v>P3</c:v>
                </c:pt>
                <c:pt idx="4">
                  <c:v>P4</c:v>
                </c:pt>
              </c:strCache>
            </c:strRef>
          </c:cat>
          <c:val>
            <c:numRef>
              <c:f>Roadmap!$J$5:$J$9</c:f>
              <c:numCache>
                <c:formatCode>#,##0.0</c:formatCode>
                <c:ptCount val="5"/>
                <c:pt idx="0">
                  <c:v>9</c:v>
                </c:pt>
                <c:pt idx="1">
                  <c:v>28</c:v>
                </c:pt>
                <c:pt idx="2">
                  <c:v>18</c:v>
                </c:pt>
                <c:pt idx="3">
                  <c:v>12</c:v>
                </c:pt>
                <c:pt idx="4">
                  <c:v>2</c:v>
                </c:pt>
              </c:numCache>
            </c:numRef>
          </c:val>
        </c:ser>
        <c:ser>
          <c:idx val="8"/>
          <c:order val="8"/>
          <c:tx>
            <c:strRef>
              <c:f>Roadmap!K4</c:f>
              <c:strCache>
                <c:ptCount val="1"/>
                <c:pt idx="0">
                  <c:v>Doc</c:v>
                </c:pt>
              </c:strCache>
            </c:strRef>
          </c:tx>
          <c:spPr>
            <a:solidFill>
              <a:srgbClr val="b8cd9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Roadmap!$A$5:$A$9</c:f>
              <c:strCache>
                <c:ptCount val="5"/>
                <c:pt idx="0">
                  <c:v>P0</c:v>
                </c:pt>
                <c:pt idx="1">
                  <c:v>P1</c:v>
                </c:pt>
                <c:pt idx="2">
                  <c:v>P2</c:v>
                </c:pt>
                <c:pt idx="3">
                  <c:v>P3</c:v>
                </c:pt>
                <c:pt idx="4">
                  <c:v>P4</c:v>
                </c:pt>
              </c:strCache>
            </c:strRef>
          </c:cat>
          <c:val>
            <c:numRef>
              <c:f>Roadmap!$K$5:$K$9</c:f>
              <c:numCache>
                <c:formatCode>#,##0.0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6</c:v>
                </c:pt>
                <c:pt idx="3">
                  <c:v>6</c:v>
                </c:pt>
                <c:pt idx="4">
                  <c:v>3</c:v>
                </c:pt>
              </c:numCache>
            </c:numRef>
          </c:val>
        </c:ser>
        <c:gapWidth val="150"/>
        <c:overlap val="100"/>
        <c:axId val="57627122"/>
        <c:axId val="35185792"/>
      </c:barChart>
      <c:catAx>
        <c:axId val="576271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185792"/>
        <c:crosses val="autoZero"/>
        <c:auto val="1"/>
        <c:lblAlgn val="ctr"/>
        <c:lblOffset val="100"/>
        <c:noMultiLvlLbl val="0"/>
      </c:catAx>
      <c:valAx>
        <c:axId val="351857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man-day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62712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Effort ต่อ Epic แยกตาม Phase (man-day)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Roadmap!C24</c:f>
              <c:strCache>
                <c:ptCount val="1"/>
                <c:pt idx="0">
                  <c:v>P0</c:v>
                </c:pt>
              </c:strCache>
            </c:strRef>
          </c:tx>
          <c:spPr>
            <a:solidFill>
              <a:srgbClr val="5b9bd5"/>
            </a:solidFill>
            <a:ln w="0">
              <a:solidFill>
                <a:srgbClr val="5b9bd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Roadmap!$A$25:$A$41</c:f>
              <c:strCache>
                <c:ptCount val="17"/>
                <c:pt idx="0">
                  <c:v>PLT</c:v>
                </c:pt>
                <c:pt idx="1">
                  <c:v>IAM</c:v>
                </c:pt>
                <c:pt idx="2">
                  <c:v>ORG</c:v>
                </c:pt>
                <c:pt idx="3">
                  <c:v>CON</c:v>
                </c:pt>
                <c:pt idx="4">
                  <c:v>PNG</c:v>
                </c:pt>
                <c:pt idx="5">
                  <c:v>ROPA</c:v>
                </c:pt>
                <c:pt idx="6">
                  <c:v>RTG</c:v>
                </c:pt>
                <c:pt idx="7">
                  <c:v>DFG</c:v>
                </c:pt>
                <c:pt idx="8">
                  <c:v>DSAR</c:v>
                </c:pt>
                <c:pt idx="9">
                  <c:v>BRE</c:v>
                </c:pt>
                <c:pt idx="10">
                  <c:v>DPO</c:v>
                </c:pt>
                <c:pt idx="11">
                  <c:v>DPIA</c:v>
                </c:pt>
                <c:pt idx="12">
                  <c:v>RRA</c:v>
                </c:pt>
                <c:pt idx="13">
                  <c:v>VEN</c:v>
                </c:pt>
                <c:pt idx="14">
                  <c:v>DPA</c:v>
                </c:pt>
                <c:pt idx="15">
                  <c:v>DSA</c:v>
                </c:pt>
                <c:pt idx="16">
                  <c:v>DPX</c:v>
                </c:pt>
              </c:strCache>
            </c:strRef>
          </c:cat>
          <c:val>
            <c:numRef>
              <c:f>Roadmap!$C$25:$C$41</c:f>
              <c:numCache>
                <c:formatCode>#,##0.0</c:formatCode>
                <c:ptCount val="17"/>
                <c:pt idx="0">
                  <c:v>275.8</c:v>
                </c:pt>
                <c:pt idx="1">
                  <c:v>154.1</c:v>
                </c:pt>
                <c:pt idx="2">
                  <c:v>67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ser>
          <c:idx val="1"/>
          <c:order val="1"/>
          <c:tx>
            <c:strRef>
              <c:f>Roadmap!D24</c:f>
              <c:strCache>
                <c:ptCount val="1"/>
                <c:pt idx="0">
                  <c:v>P1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ed7d31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Roadmap!$A$25:$A$41</c:f>
              <c:strCache>
                <c:ptCount val="17"/>
                <c:pt idx="0">
                  <c:v>PLT</c:v>
                </c:pt>
                <c:pt idx="1">
                  <c:v>IAM</c:v>
                </c:pt>
                <c:pt idx="2">
                  <c:v>ORG</c:v>
                </c:pt>
                <c:pt idx="3">
                  <c:v>CON</c:v>
                </c:pt>
                <c:pt idx="4">
                  <c:v>PNG</c:v>
                </c:pt>
                <c:pt idx="5">
                  <c:v>ROPA</c:v>
                </c:pt>
                <c:pt idx="6">
                  <c:v>RTG</c:v>
                </c:pt>
                <c:pt idx="7">
                  <c:v>DFG</c:v>
                </c:pt>
                <c:pt idx="8">
                  <c:v>DSAR</c:v>
                </c:pt>
                <c:pt idx="9">
                  <c:v>BRE</c:v>
                </c:pt>
                <c:pt idx="10">
                  <c:v>DPO</c:v>
                </c:pt>
                <c:pt idx="11">
                  <c:v>DPIA</c:v>
                </c:pt>
                <c:pt idx="12">
                  <c:v>RRA</c:v>
                </c:pt>
                <c:pt idx="13">
                  <c:v>VEN</c:v>
                </c:pt>
                <c:pt idx="14">
                  <c:v>DPA</c:v>
                </c:pt>
                <c:pt idx="15">
                  <c:v>DSA</c:v>
                </c:pt>
                <c:pt idx="16">
                  <c:v>DPX</c:v>
                </c:pt>
              </c:strCache>
            </c:strRef>
          </c:cat>
          <c:val>
            <c:numRef>
              <c:f>Roadmap!$D$25:$D$41</c:f>
              <c:numCache>
                <c:formatCode>#,##0.0</c:formatCode>
                <c:ptCount val="17"/>
                <c:pt idx="0">
                  <c:v>101.7</c:v>
                </c:pt>
                <c:pt idx="1">
                  <c:v>64.8</c:v>
                </c:pt>
                <c:pt idx="2">
                  <c:v>16.7</c:v>
                </c:pt>
                <c:pt idx="3">
                  <c:v>296.5</c:v>
                </c:pt>
                <c:pt idx="4">
                  <c:v>104.6</c:v>
                </c:pt>
                <c:pt idx="5">
                  <c:v>175.6</c:v>
                </c:pt>
                <c:pt idx="6">
                  <c:v>33.4</c:v>
                </c:pt>
                <c:pt idx="7">
                  <c:v>0</c:v>
                </c:pt>
                <c:pt idx="8">
                  <c:v>157.6</c:v>
                </c:pt>
                <c:pt idx="9">
                  <c:v>132.5</c:v>
                </c:pt>
                <c:pt idx="10">
                  <c:v>54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ser>
          <c:idx val="2"/>
          <c:order val="2"/>
          <c:tx>
            <c:strRef>
              <c:f>Roadmap!E24</c:f>
              <c:strCache>
                <c:ptCount val="1"/>
                <c:pt idx="0">
                  <c:v>P2</c:v>
                </c:pt>
              </c:strCache>
            </c:strRef>
          </c:tx>
          <c:spPr>
            <a:solidFill>
              <a:srgbClr val="8064a2"/>
            </a:solidFill>
            <a:ln w="0">
              <a:solidFill>
                <a:srgbClr val="8064a2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Roadmap!$A$25:$A$41</c:f>
              <c:strCache>
                <c:ptCount val="17"/>
                <c:pt idx="0">
                  <c:v>PLT</c:v>
                </c:pt>
                <c:pt idx="1">
                  <c:v>IAM</c:v>
                </c:pt>
                <c:pt idx="2">
                  <c:v>ORG</c:v>
                </c:pt>
                <c:pt idx="3">
                  <c:v>CON</c:v>
                </c:pt>
                <c:pt idx="4">
                  <c:v>PNG</c:v>
                </c:pt>
                <c:pt idx="5">
                  <c:v>ROPA</c:v>
                </c:pt>
                <c:pt idx="6">
                  <c:v>RTG</c:v>
                </c:pt>
                <c:pt idx="7">
                  <c:v>DFG</c:v>
                </c:pt>
                <c:pt idx="8">
                  <c:v>DSAR</c:v>
                </c:pt>
                <c:pt idx="9">
                  <c:v>BRE</c:v>
                </c:pt>
                <c:pt idx="10">
                  <c:v>DPO</c:v>
                </c:pt>
                <c:pt idx="11">
                  <c:v>DPIA</c:v>
                </c:pt>
                <c:pt idx="12">
                  <c:v>RRA</c:v>
                </c:pt>
                <c:pt idx="13">
                  <c:v>VEN</c:v>
                </c:pt>
                <c:pt idx="14">
                  <c:v>DPA</c:v>
                </c:pt>
                <c:pt idx="15">
                  <c:v>DSA</c:v>
                </c:pt>
                <c:pt idx="16">
                  <c:v>DPX</c:v>
                </c:pt>
              </c:strCache>
            </c:strRef>
          </c:cat>
          <c:val>
            <c:numRef>
              <c:f>Roadmap!$E$25:$E$41</c:f>
              <c:numCache>
                <c:formatCode>#,##0.0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43.8</c:v>
                </c:pt>
                <c:pt idx="7">
                  <c:v>88.9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129.5</c:v>
                </c:pt>
                <c:pt idx="12">
                  <c:v>68.7</c:v>
                </c:pt>
                <c:pt idx="13">
                  <c:v>80.4</c:v>
                </c:pt>
                <c:pt idx="14">
                  <c:v>71.1</c:v>
                </c:pt>
                <c:pt idx="15">
                  <c:v>47</c:v>
                </c:pt>
                <c:pt idx="16">
                  <c:v>35.9</c:v>
                </c:pt>
              </c:numCache>
            </c:numRef>
          </c:val>
        </c:ser>
        <c:ser>
          <c:idx val="3"/>
          <c:order val="3"/>
          <c:tx>
            <c:strRef>
              <c:f>Roadmap!F24</c:f>
              <c:strCache>
                <c:ptCount val="1"/>
                <c:pt idx="0">
                  <c:v>P3</c:v>
                </c:pt>
              </c:strCache>
            </c:strRef>
          </c:tx>
          <c:spPr>
            <a:solidFill>
              <a:srgbClr val="ffc000"/>
            </a:solidFill>
            <a:ln w="0">
              <a:solidFill>
                <a:srgbClr val="ffc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Roadmap!$A$25:$A$41</c:f>
              <c:strCache>
                <c:ptCount val="17"/>
                <c:pt idx="0">
                  <c:v>PLT</c:v>
                </c:pt>
                <c:pt idx="1">
                  <c:v>IAM</c:v>
                </c:pt>
                <c:pt idx="2">
                  <c:v>ORG</c:v>
                </c:pt>
                <c:pt idx="3">
                  <c:v>CON</c:v>
                </c:pt>
                <c:pt idx="4">
                  <c:v>PNG</c:v>
                </c:pt>
                <c:pt idx="5">
                  <c:v>ROPA</c:v>
                </c:pt>
                <c:pt idx="6">
                  <c:v>RTG</c:v>
                </c:pt>
                <c:pt idx="7">
                  <c:v>DFG</c:v>
                </c:pt>
                <c:pt idx="8">
                  <c:v>DSAR</c:v>
                </c:pt>
                <c:pt idx="9">
                  <c:v>BRE</c:v>
                </c:pt>
                <c:pt idx="10">
                  <c:v>DPO</c:v>
                </c:pt>
                <c:pt idx="11">
                  <c:v>DPIA</c:v>
                </c:pt>
                <c:pt idx="12">
                  <c:v>RRA</c:v>
                </c:pt>
                <c:pt idx="13">
                  <c:v>VEN</c:v>
                </c:pt>
                <c:pt idx="14">
                  <c:v>DPA</c:v>
                </c:pt>
                <c:pt idx="15">
                  <c:v>DSA</c:v>
                </c:pt>
                <c:pt idx="16">
                  <c:v>DPX</c:v>
                </c:pt>
              </c:strCache>
            </c:strRef>
          </c:cat>
          <c:val>
            <c:numRef>
              <c:f>Roadmap!$F$25:$F$41</c:f>
              <c:numCache>
                <c:formatCode>#,##0.0</c:formatCode>
                <c:ptCount val="17"/>
                <c:pt idx="0">
                  <c:v>35.9</c:v>
                </c:pt>
                <c:pt idx="1">
                  <c:v>50.5</c:v>
                </c:pt>
                <c:pt idx="2">
                  <c:v>26.5</c:v>
                </c:pt>
                <c:pt idx="3">
                  <c:v>68.2</c:v>
                </c:pt>
                <c:pt idx="4">
                  <c:v>58</c:v>
                </c:pt>
                <c:pt idx="5">
                  <c:v>55.1</c:v>
                </c:pt>
                <c:pt idx="6">
                  <c:v>58.8</c:v>
                </c:pt>
                <c:pt idx="7">
                  <c:v>85.5</c:v>
                </c:pt>
                <c:pt idx="8">
                  <c:v>117.9</c:v>
                </c:pt>
                <c:pt idx="9">
                  <c:v>37.3</c:v>
                </c:pt>
                <c:pt idx="10">
                  <c:v>83.4</c:v>
                </c:pt>
                <c:pt idx="11">
                  <c:v>29.4</c:v>
                </c:pt>
                <c:pt idx="12">
                  <c:v>83.4</c:v>
                </c:pt>
                <c:pt idx="13">
                  <c:v>58.8</c:v>
                </c:pt>
                <c:pt idx="14">
                  <c:v>58.9</c:v>
                </c:pt>
                <c:pt idx="15">
                  <c:v>38.1</c:v>
                </c:pt>
                <c:pt idx="16">
                  <c:v>95.7</c:v>
                </c:pt>
              </c:numCache>
            </c:numRef>
          </c:val>
        </c:ser>
        <c:ser>
          <c:idx val="4"/>
          <c:order val="4"/>
          <c:tx>
            <c:strRef>
              <c:f>Roadmap!G24</c:f>
              <c:strCache>
                <c:ptCount val="1"/>
                <c:pt idx="0">
                  <c:v>P4</c:v>
                </c:pt>
              </c:strCache>
            </c:strRef>
          </c:tx>
          <c:spPr>
            <a:solidFill>
              <a:srgbClr val="70ad47"/>
            </a:solidFill>
            <a:ln w="0">
              <a:solidFill>
                <a:srgbClr val="70ad47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Roadmap!$A$25:$A$41</c:f>
              <c:strCache>
                <c:ptCount val="17"/>
                <c:pt idx="0">
                  <c:v>PLT</c:v>
                </c:pt>
                <c:pt idx="1">
                  <c:v>IAM</c:v>
                </c:pt>
                <c:pt idx="2">
                  <c:v>ORG</c:v>
                </c:pt>
                <c:pt idx="3">
                  <c:v>CON</c:v>
                </c:pt>
                <c:pt idx="4">
                  <c:v>PNG</c:v>
                </c:pt>
                <c:pt idx="5">
                  <c:v>ROPA</c:v>
                </c:pt>
                <c:pt idx="6">
                  <c:v>RTG</c:v>
                </c:pt>
                <c:pt idx="7">
                  <c:v>DFG</c:v>
                </c:pt>
                <c:pt idx="8">
                  <c:v>DSAR</c:v>
                </c:pt>
                <c:pt idx="9">
                  <c:v>BRE</c:v>
                </c:pt>
                <c:pt idx="10">
                  <c:v>DPO</c:v>
                </c:pt>
                <c:pt idx="11">
                  <c:v>DPIA</c:v>
                </c:pt>
                <c:pt idx="12">
                  <c:v>RRA</c:v>
                </c:pt>
                <c:pt idx="13">
                  <c:v>VEN</c:v>
                </c:pt>
                <c:pt idx="14">
                  <c:v>DPA</c:v>
                </c:pt>
                <c:pt idx="15">
                  <c:v>DSA</c:v>
                </c:pt>
                <c:pt idx="16">
                  <c:v>DPX</c:v>
                </c:pt>
              </c:strCache>
            </c:strRef>
          </c:cat>
          <c:val>
            <c:numRef>
              <c:f>Roadmap!$G$25:$G$41</c:f>
              <c:numCache>
                <c:formatCode>#,##0.0</c:formatCode>
                <c:ptCount val="17"/>
                <c:pt idx="0">
                  <c:v>11.8</c:v>
                </c:pt>
                <c:pt idx="1">
                  <c:v>8.8</c:v>
                </c:pt>
                <c:pt idx="2">
                  <c:v>2.9</c:v>
                </c:pt>
                <c:pt idx="3">
                  <c:v>16.7</c:v>
                </c:pt>
                <c:pt idx="4">
                  <c:v>5.9</c:v>
                </c:pt>
                <c:pt idx="5">
                  <c:v>8.8</c:v>
                </c:pt>
                <c:pt idx="6">
                  <c:v>11.8</c:v>
                </c:pt>
                <c:pt idx="7">
                  <c:v>26.5</c:v>
                </c:pt>
                <c:pt idx="8">
                  <c:v>0</c:v>
                </c:pt>
                <c:pt idx="9">
                  <c:v>20.6</c:v>
                </c:pt>
                <c:pt idx="10">
                  <c:v>5.9</c:v>
                </c:pt>
                <c:pt idx="11">
                  <c:v>20.6</c:v>
                </c:pt>
                <c:pt idx="12">
                  <c:v>0</c:v>
                </c:pt>
                <c:pt idx="13">
                  <c:v>11.8</c:v>
                </c:pt>
                <c:pt idx="14">
                  <c:v>8.8</c:v>
                </c:pt>
                <c:pt idx="15">
                  <c:v>20.6</c:v>
                </c:pt>
                <c:pt idx="16">
                  <c:v>72.7</c:v>
                </c:pt>
              </c:numCache>
            </c:numRef>
          </c:val>
        </c:ser>
        <c:gapWidth val="150"/>
        <c:overlap val="100"/>
        <c:axId val="44471997"/>
        <c:axId val="76210072"/>
      </c:barChart>
      <c:catAx>
        <c:axId val="4447199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210072"/>
        <c:crosses val="autoZero"/>
        <c:auto val="1"/>
        <c:lblAlgn val="ctr"/>
        <c:lblOffset val="100"/>
        <c:noMultiLvlLbl val="0"/>
      </c:catAx>
      <c:valAx>
        <c:axId val="762100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47199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153720</xdr:rowOff>
    </xdr:from>
    <xdr:to>
      <xdr:col>18</xdr:col>
      <xdr:colOff>364680</xdr:colOff>
      <xdr:row>18</xdr:row>
      <xdr:rowOff>136080</xdr:rowOff>
    </xdr:to>
    <xdr:graphicFrame>
      <xdr:nvGraphicFramePr>
        <xdr:cNvPr id="0" name="Chart 1"/>
        <xdr:cNvGraphicFramePr/>
      </xdr:nvGraphicFramePr>
      <xdr:xfrm>
        <a:off x="977472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21</xdr:row>
      <xdr:rowOff>153720</xdr:rowOff>
    </xdr:from>
    <xdr:to>
      <xdr:col>18</xdr:col>
      <xdr:colOff>364680</xdr:colOff>
      <xdr:row>36</xdr:row>
      <xdr:rowOff>93960</xdr:rowOff>
    </xdr:to>
    <xdr:graphicFrame>
      <xdr:nvGraphicFramePr>
        <xdr:cNvPr id="1" name="Chart 2"/>
        <xdr:cNvGraphicFramePr/>
      </xdr:nvGraphicFramePr>
      <xdr:xfrm>
        <a:off x="9774720" y="4400640"/>
        <a:ext cx="64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153720</xdr:rowOff>
    </xdr:from>
    <xdr:to>
      <xdr:col>4</xdr:col>
      <xdr:colOff>380520</xdr:colOff>
      <xdr:row>40</xdr:row>
      <xdr:rowOff>48600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571680"/>
          <a:ext cx="10953360" cy="71337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16"/>
    <col collapsed="false" customWidth="true" hidden="false" outlineLevel="0" max="7" min="7" style="0" width="10"/>
  </cols>
  <sheetData>
    <row r="1" customFormat="false" ht="17.9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COUNTA(WBS!A5:A279)</f>
        <v>275</v>
      </c>
    </row>
    <row r="6" customFormat="false" ht="15" hidden="false" customHeight="false" outlineLevel="0" collapsed="false">
      <c r="A6" s="6" t="s">
        <v>5</v>
      </c>
      <c r="B6" s="5" t="n">
        <f aca="false">COUNTIF(Traceability!J5:J247,"✓")</f>
        <v>243</v>
      </c>
    </row>
    <row r="7" customFormat="false" ht="15" hidden="false" customHeight="false" outlineLevel="0" collapsed="false">
      <c r="A7" s="6" t="s">
        <v>6</v>
      </c>
      <c r="B7" s="5" t="n">
        <f aca="false">COUNTIF(WBS!F5:F279,"เพิ่มโดย PM/SA")</f>
        <v>32</v>
      </c>
    </row>
    <row r="8" customFormat="false" ht="15" hidden="false" customHeight="false" outlineLevel="0" collapsed="false">
      <c r="A8" s="6" t="s">
        <v>7</v>
      </c>
      <c r="B8" s="7" t="str">
        <f aca="false">COUNTIF(WBS!G5:G279,"Must")&amp;" / "&amp;COUNTIF(WBS!G5:G279,"Should")&amp;" / "&amp;COUNTIF(WBS!G5:G279,"Nice-to-have")</f>
        <v>140 / 112 / 23</v>
      </c>
    </row>
    <row r="9" customFormat="false" ht="15" hidden="false" customHeight="false" outlineLevel="0" collapsed="false">
      <c r="A9" s="4" t="s">
        <v>8</v>
      </c>
      <c r="B9" s="5" t="n">
        <f aca="false">COUNTIF(WBS!B5:B279,"IAM")</f>
        <v>21</v>
      </c>
    </row>
    <row r="10" customFormat="false" ht="15" hidden="false" customHeight="false" outlineLevel="0" collapsed="false">
      <c r="A10" s="4" t="s">
        <v>9</v>
      </c>
      <c r="B10" s="5" t="n">
        <f aca="false">COUNTIF(WBS!V5:V279,"ไม่มี")</f>
        <v>24</v>
      </c>
    </row>
    <row r="11" customFormat="false" ht="15" hidden="false" customHeight="false" outlineLevel="0" collapsed="false">
      <c r="A11" s="4" t="s">
        <v>10</v>
      </c>
      <c r="B11" s="8" t="n">
        <f aca="false">COUNTA(Task_List!A5:A1310)</f>
        <v>1306</v>
      </c>
    </row>
    <row r="12" customFormat="false" ht="15" hidden="false" customHeight="false" outlineLevel="0" collapsed="false">
      <c r="A12" s="4" t="s">
        <v>11</v>
      </c>
      <c r="B12" s="8" t="n">
        <f aca="false">Roadmap!L10</f>
        <v>4287.2</v>
      </c>
    </row>
    <row r="13" customFormat="false" ht="15" hidden="false" customHeight="false" outlineLevel="0" collapsed="false">
      <c r="A13" s="4" t="s">
        <v>12</v>
      </c>
      <c r="B13" s="8" t="n">
        <f aca="false">Roadmap!M10</f>
        <v>4930.28</v>
      </c>
    </row>
    <row r="14" customFormat="false" ht="15" hidden="false" customHeight="false" outlineLevel="0" collapsed="false">
      <c r="A14" s="4" t="s">
        <v>13</v>
      </c>
      <c r="B14" s="5" t="n">
        <f aca="false">Roadmap!N10</f>
        <v>32</v>
      </c>
    </row>
    <row r="15" customFormat="false" ht="15" hidden="false" customHeight="false" outlineLevel="0" collapsed="false">
      <c r="A15" s="4" t="s">
        <v>14</v>
      </c>
      <c r="B15" s="9" t="n">
        <f aca="false">Roadmap!S10</f>
        <v>14.7</v>
      </c>
    </row>
    <row r="16" customFormat="false" ht="15" hidden="false" customHeight="false" outlineLevel="0" collapsed="false">
      <c r="A16" s="4" t="s">
        <v>15</v>
      </c>
      <c r="B16" s="10" t="n">
        <f aca="false">Roadmap!Q10</f>
        <v>46328</v>
      </c>
    </row>
    <row r="17" customFormat="false" ht="15" hidden="false" customHeight="false" outlineLevel="0" collapsed="false">
      <c r="A17" s="4" t="s">
        <v>16</v>
      </c>
      <c r="B17" s="10" t="n">
        <f aca="false">Roadmap!R6</f>
        <v>46535</v>
      </c>
    </row>
    <row r="18" customFormat="false" ht="15" hidden="false" customHeight="false" outlineLevel="0" collapsed="false">
      <c r="A18" s="4" t="s">
        <v>17</v>
      </c>
      <c r="B18" s="10" t="n">
        <f aca="false">Roadmap!R10</f>
        <v>46773</v>
      </c>
    </row>
    <row r="19" customFormat="false" ht="15" hidden="false" customHeight="false" outlineLevel="0" collapsed="false">
      <c r="A19" s="4" t="s">
        <v>18</v>
      </c>
      <c r="B19" s="5" t="n">
        <f aca="false">MAX(SUM(Assumptions!$B$23,Assumptions!$B$24,Assumptions!$B$25,Assumptions!$B$26,Assumptions!$B$27,Assumptions!$B$28,Assumptions!$B$29),SUM(Assumptions!$C$23,Assumptions!$C$24,Assumptions!$C$25,Assumptions!$C$26,Assumptions!$C$27,Assumptions!$C$28,Assumptions!$C$29),SUM(Assumptions!$D$23,Assumptions!$D$24,Assumptions!$D$25,Assumptions!$D$26,Assumptions!$D$27,Assumptions!$D$28,Assumptions!$D$29),SUM(Assumptions!$E$23,Assumptions!$E$24,Assumptions!$E$25,Assumptions!$E$26,Assumptions!$E$27,Assumptions!$E$28,Assumptions!$E$29),SUM(Assumptions!$F$23,Assumptions!$F$24,Assumptions!$F$25,Assumptions!$F$26,Assumptions!$F$27,Assumptions!$F$28,Assumptions!$F$29))</f>
        <v>25</v>
      </c>
    </row>
    <row r="20" customFormat="false" ht="15" hidden="false" customHeight="false" outlineLevel="0" collapsed="false">
      <c r="A20" s="4" t="s">
        <v>19</v>
      </c>
      <c r="B20" s="8" t="n">
        <f aca="false">Roadmap!T10</f>
        <v>28847807.5</v>
      </c>
    </row>
    <row r="21" customFormat="false" ht="15" hidden="false" customHeight="false" outlineLevel="0" collapsed="false">
      <c r="A21" s="4" t="s">
        <v>20</v>
      </c>
      <c r="B21" s="8" t="n">
        <f aca="false">Roadmap!U10</f>
        <v>44020000</v>
      </c>
    </row>
    <row r="23" customFormat="false" ht="15" hidden="false" customHeight="false" outlineLevel="0" collapsed="false">
      <c r="A23" s="11" t="s">
        <v>21</v>
      </c>
    </row>
    <row r="24" customFormat="false" ht="31.5" hidden="false" customHeight="true" outlineLevel="0" collapsed="false">
      <c r="A24" s="3" t="s">
        <v>22</v>
      </c>
      <c r="B24" s="3" t="s">
        <v>23</v>
      </c>
      <c r="C24" s="3" t="s">
        <v>24</v>
      </c>
      <c r="D24" s="3" t="s">
        <v>25</v>
      </c>
      <c r="E24" s="3" t="s">
        <v>26</v>
      </c>
      <c r="F24" s="3" t="s">
        <v>20</v>
      </c>
      <c r="G24" s="3" t="s">
        <v>27</v>
      </c>
    </row>
    <row r="25" customFormat="false" ht="15" hidden="false" customHeight="false" outlineLevel="0" collapsed="false">
      <c r="A25" s="12" t="s">
        <v>28</v>
      </c>
      <c r="B25" s="13" t="n">
        <f aca="false">Roadmap!M5</f>
        <v>817.535</v>
      </c>
      <c r="C25" s="14" t="n">
        <f aca="false">Roadmap!N5</f>
        <v>6</v>
      </c>
      <c r="D25" s="15" t="n">
        <f aca="false">Roadmap!Q5</f>
        <v>46328</v>
      </c>
      <c r="E25" s="15" t="n">
        <f aca="false">Roadmap!R5</f>
        <v>46409</v>
      </c>
      <c r="F25" s="13" t="n">
        <f aca="false">Roadmap!U5</f>
        <v>8205000</v>
      </c>
      <c r="G25" s="16" t="str">
        <f aca="false">Roadmap!V5</f>
        <v>BE</v>
      </c>
    </row>
    <row r="26" customFormat="false" ht="15" hidden="false" customHeight="false" outlineLevel="0" collapsed="false">
      <c r="A26" s="17" t="s">
        <v>29</v>
      </c>
      <c r="B26" s="13" t="n">
        <f aca="false">Roadmap!M6</f>
        <v>1604.71</v>
      </c>
      <c r="C26" s="14" t="n">
        <f aca="false">Roadmap!N6</f>
        <v>9</v>
      </c>
      <c r="D26" s="15" t="n">
        <f aca="false">Roadmap!Q6</f>
        <v>46412</v>
      </c>
      <c r="E26" s="15" t="n">
        <f aca="false">Roadmap!R6</f>
        <v>46535</v>
      </c>
      <c r="F26" s="13" t="n">
        <f aca="false">Roadmap!U6</f>
        <v>13657500</v>
      </c>
      <c r="G26" s="16" t="str">
        <f aca="false">Roadmap!V6</f>
        <v>FE</v>
      </c>
    </row>
    <row r="27" customFormat="false" ht="15" hidden="false" customHeight="false" outlineLevel="0" collapsed="false">
      <c r="A27" s="18" t="s">
        <v>30</v>
      </c>
      <c r="B27" s="13" t="n">
        <f aca="false">Roadmap!M7</f>
        <v>778.895</v>
      </c>
      <c r="C27" s="14" t="n">
        <f aca="false">Roadmap!N7</f>
        <v>5</v>
      </c>
      <c r="D27" s="15" t="n">
        <f aca="false">Roadmap!Q7</f>
        <v>46538</v>
      </c>
      <c r="E27" s="15" t="n">
        <f aca="false">Roadmap!R7</f>
        <v>46605</v>
      </c>
      <c r="F27" s="13" t="n">
        <f aca="false">Roadmap!U7</f>
        <v>6987500</v>
      </c>
      <c r="G27" s="16" t="str">
        <f aca="false">Roadmap!V7</f>
        <v>FE</v>
      </c>
    </row>
    <row r="28" customFormat="false" ht="15" hidden="false" customHeight="false" outlineLevel="0" collapsed="false">
      <c r="A28" s="19" t="s">
        <v>31</v>
      </c>
      <c r="B28" s="13" t="n">
        <f aca="false">Roadmap!M8</f>
        <v>1352.86</v>
      </c>
      <c r="C28" s="14" t="n">
        <f aca="false">Roadmap!N8</f>
        <v>8</v>
      </c>
      <c r="D28" s="15" t="n">
        <f aca="false">Roadmap!Q8</f>
        <v>46608</v>
      </c>
      <c r="E28" s="15" t="n">
        <f aca="false">Roadmap!R8</f>
        <v>46717</v>
      </c>
      <c r="F28" s="13" t="n">
        <f aca="false">Roadmap!U8</f>
        <v>11180000</v>
      </c>
      <c r="G28" s="16" t="str">
        <f aca="false">Roadmap!V8</f>
        <v>FE</v>
      </c>
    </row>
    <row r="29" customFormat="false" ht="15" hidden="false" customHeight="false" outlineLevel="0" collapsed="false">
      <c r="A29" s="20" t="s">
        <v>32</v>
      </c>
      <c r="B29" s="13" t="n">
        <f aca="false">Roadmap!M9</f>
        <v>376.28</v>
      </c>
      <c r="C29" s="14" t="n">
        <f aca="false">Roadmap!N9</f>
        <v>4</v>
      </c>
      <c r="D29" s="15" t="n">
        <f aca="false">Roadmap!Q9</f>
        <v>46720</v>
      </c>
      <c r="E29" s="15" t="n">
        <f aca="false">Roadmap!R9</f>
        <v>46773</v>
      </c>
      <c r="F29" s="13" t="n">
        <f aca="false">Roadmap!U9</f>
        <v>3990000</v>
      </c>
      <c r="G29" s="16" t="str">
        <f aca="false">Roadmap!V9</f>
        <v>QA</v>
      </c>
    </row>
    <row r="31" customFormat="false" ht="15" hidden="false" customHeight="false" outlineLevel="0" collapsed="false">
      <c r="A31" s="11" t="s">
        <v>33</v>
      </c>
    </row>
    <row r="32" customFormat="false" ht="30" hidden="false" customHeight="true" outlineLevel="0" collapsed="false">
      <c r="A32" s="21" t="s">
        <v>34</v>
      </c>
      <c r="B32" s="21"/>
      <c r="C32" s="21"/>
      <c r="D32" s="21"/>
      <c r="E32" s="21"/>
      <c r="F32" s="21"/>
      <c r="G32" s="21"/>
    </row>
    <row r="33" customFormat="false" ht="30" hidden="false" customHeight="true" outlineLevel="0" collapsed="false">
      <c r="A33" s="21" t="s">
        <v>35</v>
      </c>
      <c r="B33" s="21"/>
      <c r="C33" s="21"/>
      <c r="D33" s="21"/>
      <c r="E33" s="21"/>
      <c r="F33" s="21"/>
      <c r="G33" s="21"/>
    </row>
    <row r="34" customFormat="false" ht="30" hidden="false" customHeight="true" outlineLevel="0" collapsed="false">
      <c r="A34" s="21" t="s">
        <v>36</v>
      </c>
      <c r="B34" s="21"/>
      <c r="C34" s="21"/>
      <c r="D34" s="21"/>
      <c r="E34" s="21"/>
      <c r="F34" s="21"/>
      <c r="G34" s="21"/>
    </row>
    <row r="35" customFormat="false" ht="30" hidden="false" customHeight="true" outlineLevel="0" collapsed="false">
      <c r="A35" s="21" t="s">
        <v>37</v>
      </c>
      <c r="B35" s="21"/>
      <c r="C35" s="21"/>
      <c r="D35" s="21"/>
      <c r="E35" s="21"/>
      <c r="F35" s="21"/>
      <c r="G35" s="21"/>
    </row>
    <row r="36" customFormat="false" ht="30" hidden="false" customHeight="true" outlineLevel="0" collapsed="false">
      <c r="A36" s="21" t="s">
        <v>38</v>
      </c>
      <c r="B36" s="21"/>
      <c r="C36" s="21"/>
      <c r="D36" s="21"/>
      <c r="E36" s="21"/>
      <c r="F36" s="21"/>
      <c r="G36" s="21"/>
    </row>
    <row r="38" customFormat="false" ht="15" hidden="false" customHeight="false" outlineLevel="0" collapsed="false">
      <c r="A38" s="11" t="s">
        <v>39</v>
      </c>
    </row>
    <row r="39" customFormat="false" ht="27.75" hidden="false" customHeight="true" outlineLevel="0" collapsed="false">
      <c r="A39" s="21" t="s">
        <v>40</v>
      </c>
      <c r="B39" s="21"/>
      <c r="C39" s="21"/>
      <c r="D39" s="21"/>
      <c r="E39" s="21"/>
      <c r="F39" s="21"/>
      <c r="G39" s="21"/>
    </row>
    <row r="40" customFormat="false" ht="27.75" hidden="false" customHeight="true" outlineLevel="0" collapsed="false">
      <c r="A40" s="21" t="s">
        <v>41</v>
      </c>
      <c r="B40" s="21"/>
      <c r="C40" s="21"/>
      <c r="D40" s="21"/>
      <c r="E40" s="21"/>
      <c r="F40" s="21"/>
      <c r="G40" s="21"/>
    </row>
    <row r="41" customFormat="false" ht="27.75" hidden="false" customHeight="true" outlineLevel="0" collapsed="false">
      <c r="A41" s="21" t="s">
        <v>42</v>
      </c>
      <c r="B41" s="21"/>
      <c r="C41" s="21"/>
      <c r="D41" s="21"/>
      <c r="E41" s="21"/>
      <c r="F41" s="21"/>
      <c r="G41" s="21"/>
    </row>
    <row r="42" customFormat="false" ht="27.75" hidden="false" customHeight="true" outlineLevel="0" collapsed="false">
      <c r="A42" s="21" t="s">
        <v>43</v>
      </c>
      <c r="B42" s="21"/>
      <c r="C42" s="21"/>
      <c r="D42" s="21"/>
      <c r="E42" s="21"/>
      <c r="F42" s="21"/>
      <c r="G42" s="21"/>
    </row>
    <row r="43" customFormat="false" ht="27.75" hidden="false" customHeight="true" outlineLevel="0" collapsed="false">
      <c r="A43" s="21" t="s">
        <v>44</v>
      </c>
      <c r="B43" s="21"/>
      <c r="C43" s="21"/>
      <c r="D43" s="21"/>
      <c r="E43" s="21"/>
      <c r="F43" s="21"/>
      <c r="G43" s="21"/>
    </row>
  </sheetData>
  <mergeCells count="11">
    <mergeCell ref="A1:F1"/>
    <mergeCell ref="A32:G32"/>
    <mergeCell ref="A33:G33"/>
    <mergeCell ref="A34:G34"/>
    <mergeCell ref="A35:G35"/>
    <mergeCell ref="A36:G36"/>
    <mergeCell ref="A39:G39"/>
    <mergeCell ref="A40:G40"/>
    <mergeCell ref="A41:G41"/>
    <mergeCell ref="A42:G42"/>
    <mergeCell ref="A43:G43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2"/>
  </cols>
  <sheetData>
    <row r="1" customFormat="false" ht="18.55" hidden="false" customHeight="false" outlineLevel="0" collapsed="false">
      <c r="A1" s="1" t="s">
        <v>45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46</v>
      </c>
    </row>
    <row r="4" customFormat="false" ht="31.5" hidden="false" customHeight="true" outlineLevel="0" collapsed="false">
      <c r="A4" s="3" t="s">
        <v>47</v>
      </c>
      <c r="B4" s="3" t="s">
        <v>3</v>
      </c>
      <c r="C4" s="3" t="s">
        <v>48</v>
      </c>
    </row>
    <row r="5" customFormat="false" ht="15" hidden="false" customHeight="true" outlineLevel="0" collapsed="false">
      <c r="A5" s="4" t="s">
        <v>49</v>
      </c>
      <c r="B5" s="22" t="n">
        <v>10</v>
      </c>
      <c r="C5" s="6" t="s">
        <v>50</v>
      </c>
      <c r="D5" s="6"/>
      <c r="E5" s="6"/>
      <c r="F5" s="6"/>
      <c r="G5" s="6"/>
      <c r="H5" s="6"/>
    </row>
    <row r="6" customFormat="false" ht="15" hidden="false" customHeight="true" outlineLevel="0" collapsed="false">
      <c r="A6" s="4" t="s">
        <v>51</v>
      </c>
      <c r="B6" s="23" t="n">
        <v>0.8</v>
      </c>
      <c r="C6" s="6" t="s">
        <v>52</v>
      </c>
      <c r="D6" s="6"/>
      <c r="E6" s="6"/>
      <c r="F6" s="6"/>
      <c r="G6" s="6"/>
      <c r="H6" s="6"/>
    </row>
    <row r="7" customFormat="false" ht="15" hidden="false" customHeight="true" outlineLevel="0" collapsed="false">
      <c r="A7" s="4" t="s">
        <v>53</v>
      </c>
      <c r="B7" s="23" t="n">
        <v>0.15</v>
      </c>
      <c r="C7" s="6" t="s">
        <v>54</v>
      </c>
      <c r="D7" s="6"/>
      <c r="E7" s="6"/>
      <c r="F7" s="6"/>
      <c r="G7" s="6"/>
      <c r="H7" s="6"/>
    </row>
    <row r="8" customFormat="false" ht="15" hidden="false" customHeight="true" outlineLevel="0" collapsed="false">
      <c r="A8" s="4" t="s">
        <v>55</v>
      </c>
      <c r="B8" s="23" t="n">
        <v>0.12</v>
      </c>
      <c r="C8" s="6" t="s">
        <v>56</v>
      </c>
      <c r="D8" s="6"/>
      <c r="E8" s="6"/>
      <c r="F8" s="6"/>
      <c r="G8" s="6"/>
      <c r="H8" s="6"/>
    </row>
    <row r="9" customFormat="false" ht="15" hidden="false" customHeight="true" outlineLevel="0" collapsed="false">
      <c r="A9" s="4" t="s">
        <v>57</v>
      </c>
      <c r="B9" s="23" t="n">
        <v>0.4</v>
      </c>
      <c r="C9" s="6" t="s">
        <v>58</v>
      </c>
      <c r="D9" s="6"/>
      <c r="E9" s="6"/>
      <c r="F9" s="6"/>
      <c r="G9" s="6"/>
      <c r="H9" s="6"/>
    </row>
    <row r="10" customFormat="false" ht="15" hidden="false" customHeight="true" outlineLevel="0" collapsed="false">
      <c r="A10" s="4" t="s">
        <v>59</v>
      </c>
      <c r="B10" s="23" t="n">
        <v>0.35</v>
      </c>
      <c r="C10" s="6" t="s">
        <v>60</v>
      </c>
      <c r="D10" s="6"/>
      <c r="E10" s="6"/>
      <c r="F10" s="6"/>
      <c r="G10" s="6"/>
      <c r="H10" s="6"/>
    </row>
    <row r="11" customFormat="false" ht="15" hidden="false" customHeight="true" outlineLevel="0" collapsed="false">
      <c r="A11" s="4" t="s">
        <v>61</v>
      </c>
      <c r="B11" s="22" t="n">
        <v>3</v>
      </c>
      <c r="C11" s="6" t="s">
        <v>62</v>
      </c>
      <c r="D11" s="6"/>
      <c r="E11" s="6"/>
      <c r="F11" s="6"/>
      <c r="G11" s="6"/>
      <c r="H11" s="6"/>
    </row>
    <row r="12" customFormat="false" ht="15" hidden="false" customHeight="true" outlineLevel="0" collapsed="false">
      <c r="A12" s="4" t="s">
        <v>15</v>
      </c>
      <c r="B12" s="24" t="n">
        <v>46328</v>
      </c>
      <c r="C12" s="6" t="s">
        <v>63</v>
      </c>
      <c r="D12" s="6"/>
      <c r="E12" s="6"/>
      <c r="F12" s="6"/>
      <c r="G12" s="6"/>
      <c r="H12" s="6"/>
    </row>
    <row r="13" customFormat="false" ht="15" hidden="false" customHeight="true" outlineLevel="0" collapsed="false">
      <c r="A13" s="4" t="s">
        <v>64</v>
      </c>
      <c r="B13" s="22" t="n">
        <v>5</v>
      </c>
      <c r="C13" s="6" t="s">
        <v>65</v>
      </c>
      <c r="D13" s="6"/>
      <c r="E13" s="6"/>
      <c r="F13" s="6"/>
      <c r="G13" s="6"/>
      <c r="H13" s="6"/>
    </row>
    <row r="14" customFormat="false" ht="31.5" hidden="false" customHeight="true" outlineLevel="0" collapsed="false">
      <c r="A14" s="3" t="s">
        <v>66</v>
      </c>
      <c r="B14" s="3" t="s">
        <v>67</v>
      </c>
      <c r="C14" s="3" t="s">
        <v>68</v>
      </c>
      <c r="D14" s="3"/>
      <c r="E14" s="3"/>
      <c r="F14" s="3"/>
      <c r="G14" s="3"/>
      <c r="H14" s="3"/>
    </row>
    <row r="15" customFormat="false" ht="15" hidden="false" customHeight="true" outlineLevel="0" collapsed="false">
      <c r="A15" s="7" t="s">
        <v>69</v>
      </c>
      <c r="B15" s="22" t="n">
        <v>1</v>
      </c>
      <c r="C15" s="6" t="s">
        <v>70</v>
      </c>
      <c r="D15" s="6"/>
      <c r="E15" s="6"/>
      <c r="F15" s="6"/>
      <c r="G15" s="6"/>
      <c r="H15" s="6"/>
    </row>
    <row r="16" customFormat="false" ht="15" hidden="false" customHeight="true" outlineLevel="0" collapsed="false">
      <c r="A16" s="7" t="s">
        <v>71</v>
      </c>
      <c r="B16" s="22" t="n">
        <v>3</v>
      </c>
      <c r="C16" s="6" t="s">
        <v>72</v>
      </c>
      <c r="D16" s="6"/>
      <c r="E16" s="6"/>
      <c r="F16" s="6"/>
      <c r="G16" s="6"/>
      <c r="H16" s="6"/>
    </row>
    <row r="17" customFormat="false" ht="15" hidden="false" customHeight="true" outlineLevel="0" collapsed="false">
      <c r="A17" s="7" t="s">
        <v>73</v>
      </c>
      <c r="B17" s="22" t="n">
        <v>5</v>
      </c>
      <c r="C17" s="6" t="s">
        <v>74</v>
      </c>
      <c r="D17" s="6"/>
      <c r="E17" s="6"/>
      <c r="F17" s="6"/>
      <c r="G17" s="6"/>
      <c r="H17" s="6"/>
    </row>
    <row r="18" customFormat="false" ht="15" hidden="false" customHeight="true" outlineLevel="0" collapsed="false">
      <c r="A18" s="7" t="s">
        <v>75</v>
      </c>
      <c r="B18" s="22" t="n">
        <v>10</v>
      </c>
      <c r="C18" s="6" t="s">
        <v>76</v>
      </c>
      <c r="D18" s="6"/>
      <c r="E18" s="6"/>
      <c r="F18" s="6"/>
      <c r="G18" s="6"/>
      <c r="H18" s="6"/>
    </row>
    <row r="19" customFormat="false" ht="15" hidden="false" customHeight="true" outlineLevel="0" collapsed="false">
      <c r="A19" s="7" t="s">
        <v>77</v>
      </c>
      <c r="B19" s="22" t="n">
        <v>20</v>
      </c>
      <c r="C19" s="6" t="s">
        <v>78</v>
      </c>
      <c r="D19" s="6"/>
      <c r="E19" s="6"/>
      <c r="F19" s="6"/>
      <c r="G19" s="6"/>
      <c r="H19" s="6"/>
    </row>
    <row r="20" customFormat="false" ht="15" hidden="false" customHeight="true" outlineLevel="0" collapsed="false">
      <c r="A20" s="7" t="s">
        <v>79</v>
      </c>
      <c r="B20" s="22" t="n">
        <v>0</v>
      </c>
      <c r="C20" s="6" t="s">
        <v>80</v>
      </c>
      <c r="D20" s="6"/>
      <c r="E20" s="6"/>
      <c r="F20" s="6"/>
      <c r="G20" s="6"/>
      <c r="H20" s="6"/>
    </row>
    <row r="22" customFormat="false" ht="31.5" hidden="false" customHeight="true" outlineLevel="0" collapsed="false">
      <c r="A22" s="3" t="s">
        <v>81</v>
      </c>
      <c r="B22" s="3" t="s">
        <v>82</v>
      </c>
      <c r="C22" s="3" t="s">
        <v>83</v>
      </c>
      <c r="D22" s="3" t="s">
        <v>84</v>
      </c>
      <c r="E22" s="3" t="s">
        <v>85</v>
      </c>
      <c r="F22" s="3" t="s">
        <v>86</v>
      </c>
      <c r="G22" s="3" t="s">
        <v>87</v>
      </c>
      <c r="H22" s="3" t="s">
        <v>88</v>
      </c>
    </row>
    <row r="23" customFormat="false" ht="23.85" hidden="false" customHeight="false" outlineLevel="0" collapsed="false">
      <c r="A23" s="4" t="s">
        <v>89</v>
      </c>
      <c r="B23" s="22" t="n">
        <v>1</v>
      </c>
      <c r="C23" s="22" t="n">
        <v>1</v>
      </c>
      <c r="D23" s="22" t="n">
        <v>1</v>
      </c>
      <c r="E23" s="22" t="n">
        <v>1</v>
      </c>
      <c r="F23" s="22" t="n">
        <v>1</v>
      </c>
      <c r="G23" s="25" t="n">
        <v>7000</v>
      </c>
      <c r="H23" s="14" t="s">
        <v>90</v>
      </c>
    </row>
    <row r="24" customFormat="false" ht="15" hidden="false" customHeight="false" outlineLevel="0" collapsed="false">
      <c r="A24" s="4" t="s">
        <v>91</v>
      </c>
      <c r="B24" s="22" t="n">
        <v>3</v>
      </c>
      <c r="C24" s="22" t="n">
        <v>2</v>
      </c>
      <c r="D24" s="22" t="n">
        <v>2</v>
      </c>
      <c r="E24" s="22" t="n">
        <v>2</v>
      </c>
      <c r="F24" s="22" t="n">
        <v>1</v>
      </c>
      <c r="G24" s="25" t="n">
        <v>7000</v>
      </c>
      <c r="H24" s="14" t="s">
        <v>92</v>
      </c>
    </row>
    <row r="25" customFormat="false" ht="15" hidden="false" customHeight="false" outlineLevel="0" collapsed="false">
      <c r="A25" s="4" t="s">
        <v>93</v>
      </c>
      <c r="B25" s="22" t="n">
        <v>2</v>
      </c>
      <c r="C25" s="22" t="n">
        <v>2</v>
      </c>
      <c r="D25" s="22" t="n">
        <v>1</v>
      </c>
      <c r="E25" s="22" t="n">
        <v>1</v>
      </c>
      <c r="F25" s="22" t="n">
        <v>1</v>
      </c>
      <c r="G25" s="25" t="n">
        <v>5500</v>
      </c>
      <c r="H25" s="14" t="s">
        <v>92</v>
      </c>
    </row>
    <row r="26" customFormat="false" ht="15" hidden="false" customHeight="false" outlineLevel="0" collapsed="false">
      <c r="A26" s="4" t="s">
        <v>94</v>
      </c>
      <c r="B26" s="22" t="n">
        <v>6</v>
      </c>
      <c r="C26" s="22" t="n">
        <v>7</v>
      </c>
      <c r="D26" s="22" t="n">
        <v>7</v>
      </c>
      <c r="E26" s="22" t="n">
        <v>7</v>
      </c>
      <c r="F26" s="22" t="n">
        <v>5</v>
      </c>
      <c r="G26" s="25" t="n">
        <v>6500</v>
      </c>
      <c r="H26" s="14" t="s">
        <v>92</v>
      </c>
    </row>
    <row r="27" customFormat="false" ht="15" hidden="false" customHeight="false" outlineLevel="0" collapsed="false">
      <c r="A27" s="4" t="s">
        <v>95</v>
      </c>
      <c r="B27" s="22" t="n">
        <v>4</v>
      </c>
      <c r="C27" s="22" t="n">
        <v>6</v>
      </c>
      <c r="D27" s="22" t="n">
        <v>6</v>
      </c>
      <c r="E27" s="22" t="n">
        <v>6</v>
      </c>
      <c r="F27" s="22" t="n">
        <v>4</v>
      </c>
      <c r="G27" s="25" t="n">
        <v>5500</v>
      </c>
      <c r="H27" s="14" t="s">
        <v>92</v>
      </c>
    </row>
    <row r="28" customFormat="false" ht="15" hidden="false" customHeight="false" outlineLevel="0" collapsed="false">
      <c r="A28" s="4" t="s">
        <v>96</v>
      </c>
      <c r="B28" s="22" t="n">
        <v>4</v>
      </c>
      <c r="C28" s="22" t="n">
        <v>5</v>
      </c>
      <c r="D28" s="22" t="n">
        <v>5</v>
      </c>
      <c r="E28" s="22" t="n">
        <v>5</v>
      </c>
      <c r="F28" s="22" t="n">
        <v>3</v>
      </c>
      <c r="G28" s="25" t="n">
        <v>4500</v>
      </c>
      <c r="H28" s="14" t="s">
        <v>92</v>
      </c>
    </row>
    <row r="29" customFormat="false" ht="15" hidden="false" customHeight="false" outlineLevel="0" collapsed="false">
      <c r="A29" s="4" t="s">
        <v>97</v>
      </c>
      <c r="B29" s="22" t="n">
        <v>2</v>
      </c>
      <c r="C29" s="22" t="n">
        <v>2</v>
      </c>
      <c r="D29" s="22" t="n">
        <v>1</v>
      </c>
      <c r="E29" s="22" t="n">
        <v>1</v>
      </c>
      <c r="F29" s="22" t="n">
        <v>1</v>
      </c>
      <c r="G29" s="25" t="n">
        <v>6500</v>
      </c>
      <c r="H29" s="14" t="s">
        <v>92</v>
      </c>
    </row>
    <row r="30" customFormat="false" ht="23.85" hidden="false" customHeight="false" outlineLevel="0" collapsed="false">
      <c r="A30" s="4" t="s">
        <v>98</v>
      </c>
      <c r="B30" s="22" t="n">
        <v>0.5</v>
      </c>
      <c r="C30" s="22" t="n">
        <v>0.5</v>
      </c>
      <c r="D30" s="22" t="n">
        <v>0.5</v>
      </c>
      <c r="E30" s="22" t="n">
        <v>0.5</v>
      </c>
      <c r="F30" s="22" t="n">
        <v>0.5</v>
      </c>
      <c r="G30" s="25" t="n">
        <v>8000</v>
      </c>
      <c r="H30" s="14" t="s">
        <v>90</v>
      </c>
    </row>
    <row r="31" customFormat="false" ht="23.85" hidden="false" customHeight="false" outlineLevel="0" collapsed="false">
      <c r="A31" s="4" t="s">
        <v>99</v>
      </c>
      <c r="B31" s="22" t="n">
        <v>0.5</v>
      </c>
      <c r="C31" s="22" t="n">
        <v>0.5</v>
      </c>
      <c r="D31" s="22" t="n">
        <v>0.5</v>
      </c>
      <c r="E31" s="22" t="n">
        <v>0.5</v>
      </c>
      <c r="F31" s="22" t="n">
        <v>0.5</v>
      </c>
      <c r="G31" s="25" t="n">
        <v>3500</v>
      </c>
      <c r="H31" s="14" t="s">
        <v>90</v>
      </c>
    </row>
    <row r="32" customFormat="false" ht="15" hidden="false" customHeight="false" outlineLevel="0" collapsed="false">
      <c r="A32" s="26" t="s">
        <v>100</v>
      </c>
    </row>
    <row r="34" customFormat="false" ht="15" hidden="false" customHeight="false" outlineLevel="0" collapsed="false">
      <c r="A34" s="11" t="s">
        <v>101</v>
      </c>
    </row>
    <row r="35" customFormat="false" ht="30" hidden="false" customHeight="true" outlineLevel="0" collapsed="false">
      <c r="A35" s="21" t="s">
        <v>102</v>
      </c>
      <c r="B35" s="21"/>
      <c r="C35" s="21"/>
      <c r="D35" s="21"/>
      <c r="E35" s="21"/>
      <c r="F35" s="21"/>
      <c r="G35" s="21"/>
      <c r="H35" s="21"/>
    </row>
    <row r="36" customFormat="false" ht="30" hidden="false" customHeight="true" outlineLevel="0" collapsed="false">
      <c r="A36" s="21" t="s">
        <v>103</v>
      </c>
      <c r="B36" s="21"/>
      <c r="C36" s="21"/>
      <c r="D36" s="21"/>
      <c r="E36" s="21"/>
      <c r="F36" s="21"/>
      <c r="G36" s="21"/>
      <c r="H36" s="21"/>
    </row>
    <row r="37" customFormat="false" ht="30" hidden="false" customHeight="true" outlineLevel="0" collapsed="false">
      <c r="A37" s="21" t="s">
        <v>104</v>
      </c>
      <c r="B37" s="21"/>
      <c r="C37" s="21"/>
      <c r="D37" s="21"/>
      <c r="E37" s="21"/>
      <c r="F37" s="21"/>
      <c r="G37" s="21"/>
      <c r="H37" s="21"/>
    </row>
    <row r="38" customFormat="false" ht="30" hidden="false" customHeight="true" outlineLevel="0" collapsed="false">
      <c r="A38" s="21" t="s">
        <v>105</v>
      </c>
      <c r="B38" s="21"/>
      <c r="C38" s="21"/>
      <c r="D38" s="21"/>
      <c r="E38" s="21"/>
      <c r="F38" s="21"/>
      <c r="G38" s="21"/>
      <c r="H38" s="21"/>
    </row>
    <row r="39" customFormat="false" ht="30" hidden="false" customHeight="true" outlineLevel="0" collapsed="false">
      <c r="A39" s="21" t="s">
        <v>106</v>
      </c>
      <c r="B39" s="21"/>
      <c r="C39" s="21"/>
      <c r="D39" s="21"/>
      <c r="E39" s="21"/>
      <c r="F39" s="21"/>
      <c r="G39" s="21"/>
      <c r="H39" s="21"/>
    </row>
    <row r="40" customFormat="false" ht="30" hidden="false" customHeight="true" outlineLevel="0" collapsed="false">
      <c r="A40" s="21" t="s">
        <v>107</v>
      </c>
      <c r="B40" s="21"/>
      <c r="C40" s="21"/>
      <c r="D40" s="21"/>
      <c r="E40" s="21"/>
      <c r="F40" s="21"/>
      <c r="G40" s="21"/>
      <c r="H40" s="21"/>
    </row>
    <row r="41" customFormat="false" ht="30" hidden="false" customHeight="true" outlineLevel="0" collapsed="false">
      <c r="A41" s="21" t="s">
        <v>108</v>
      </c>
      <c r="B41" s="21"/>
      <c r="C41" s="21"/>
      <c r="D41" s="21"/>
      <c r="E41" s="21"/>
      <c r="F41" s="21"/>
      <c r="G41" s="21"/>
      <c r="H41" s="21"/>
    </row>
    <row r="42" customFormat="false" ht="30" hidden="false" customHeight="true" outlineLevel="0" collapsed="false">
      <c r="A42" s="21" t="s">
        <v>109</v>
      </c>
      <c r="B42" s="21"/>
      <c r="C42" s="21"/>
      <c r="D42" s="21"/>
      <c r="E42" s="21"/>
      <c r="F42" s="21"/>
      <c r="G42" s="21"/>
      <c r="H42" s="21"/>
    </row>
    <row r="43" customFormat="false" ht="30" hidden="false" customHeight="true" outlineLevel="0" collapsed="false">
      <c r="A43" s="21" t="s">
        <v>110</v>
      </c>
      <c r="B43" s="21"/>
      <c r="C43" s="21"/>
      <c r="D43" s="21"/>
      <c r="E43" s="21"/>
      <c r="F43" s="21"/>
      <c r="G43" s="21"/>
      <c r="H43" s="21"/>
    </row>
    <row r="44" customFormat="false" ht="30" hidden="false" customHeight="true" outlineLevel="0" collapsed="false">
      <c r="A44" s="21" t="s">
        <v>111</v>
      </c>
      <c r="B44" s="21"/>
      <c r="C44" s="21"/>
      <c r="D44" s="21"/>
      <c r="E44" s="21"/>
      <c r="F44" s="21"/>
      <c r="G44" s="21"/>
      <c r="H44" s="21"/>
    </row>
    <row r="45" customFormat="false" ht="30" hidden="false" customHeight="true" outlineLevel="0" collapsed="false">
      <c r="A45" s="21" t="s">
        <v>112</v>
      </c>
      <c r="B45" s="21"/>
      <c r="C45" s="21"/>
      <c r="D45" s="21"/>
      <c r="E45" s="21"/>
      <c r="F45" s="21"/>
      <c r="G45" s="21"/>
      <c r="H45" s="21"/>
    </row>
  </sheetData>
  <mergeCells count="28">
    <mergeCell ref="A1:H1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A35:H35"/>
    <mergeCell ref="A36:H36"/>
    <mergeCell ref="A37:H37"/>
    <mergeCell ref="A38:H38"/>
    <mergeCell ref="A39:H39"/>
    <mergeCell ref="A40:H40"/>
    <mergeCell ref="A41:H41"/>
    <mergeCell ref="A42:H42"/>
    <mergeCell ref="A43:H43"/>
    <mergeCell ref="A44:H44"/>
    <mergeCell ref="A45:H45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2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8" min="8" style="0" width="7"/>
    <col collapsed="false" customWidth="true" hidden="false" outlineLevel="0" max="9" min="9" style="0" width="46"/>
    <col collapsed="false" customWidth="true" hidden="false" outlineLevel="0" max="10" min="10" style="0" width="38"/>
    <col collapsed="false" customWidth="true" hidden="false" outlineLevel="0" max="11" min="11" style="0" width="36"/>
    <col collapsed="false" customWidth="true" hidden="false" outlineLevel="0" max="12" min="12" style="0" width="14"/>
    <col collapsed="false" customWidth="true" hidden="false" outlineLevel="0" max="14" min="13" style="0" width="6"/>
    <col collapsed="false" customWidth="true" hidden="false" outlineLevel="0" max="15" min="15" style="0" width="5"/>
    <col collapsed="false" customWidth="true" hidden="false" outlineLevel="0" max="20" min="16" style="0" width="7"/>
    <col collapsed="false" customWidth="true" hidden="false" outlineLevel="0" max="21" min="21" style="0" width="8"/>
    <col collapsed="false" customWidth="true" hidden="false" outlineLevel="0" max="22" min="22" style="0" width="10"/>
    <col collapsed="false" customWidth="true" hidden="false" outlineLevel="0" max="23" min="23" style="0" width="28"/>
  </cols>
  <sheetData>
    <row r="1" customFormat="false" ht="17.9" hidden="false" customHeight="false" outlineLevel="0" collapsed="false">
      <c r="A1" s="27" t="s">
        <v>113</v>
      </c>
    </row>
    <row r="2" customFormat="false" ht="15" hidden="false" customHeight="false" outlineLevel="0" collapsed="false">
      <c r="A2" s="2" t="s">
        <v>114</v>
      </c>
    </row>
    <row r="4" customFormat="false" ht="31.5" hidden="false" customHeight="true" outlineLevel="0" collapsed="false">
      <c r="A4" s="3" t="s">
        <v>115</v>
      </c>
      <c r="B4" s="3" t="s">
        <v>116</v>
      </c>
      <c r="C4" s="3" t="s">
        <v>117</v>
      </c>
      <c r="D4" s="3" t="s">
        <v>118</v>
      </c>
      <c r="E4" s="3" t="s">
        <v>119</v>
      </c>
      <c r="F4" s="3" t="s">
        <v>120</v>
      </c>
      <c r="G4" s="3" t="s">
        <v>121</v>
      </c>
      <c r="H4" s="3" t="s">
        <v>22</v>
      </c>
      <c r="I4" s="3" t="s">
        <v>122</v>
      </c>
      <c r="J4" s="3" t="s">
        <v>123</v>
      </c>
      <c r="K4" s="3" t="s">
        <v>124</v>
      </c>
      <c r="L4" s="3" t="s">
        <v>125</v>
      </c>
      <c r="M4" s="3" t="s">
        <v>126</v>
      </c>
      <c r="N4" s="3" t="s">
        <v>127</v>
      </c>
      <c r="O4" s="3" t="s">
        <v>128</v>
      </c>
      <c r="P4" s="3" t="s">
        <v>129</v>
      </c>
      <c r="Q4" s="3" t="s">
        <v>130</v>
      </c>
      <c r="R4" s="3" t="s">
        <v>131</v>
      </c>
      <c r="S4" s="3" t="s">
        <v>132</v>
      </c>
      <c r="T4" s="3" t="s">
        <v>133</v>
      </c>
      <c r="U4" s="3" t="s">
        <v>134</v>
      </c>
      <c r="V4" s="3" t="s">
        <v>135</v>
      </c>
      <c r="W4" s="3" t="s">
        <v>136</v>
      </c>
    </row>
    <row r="5" customFormat="false" ht="43.25" hidden="false" customHeight="false" outlineLevel="0" collapsed="false">
      <c r="A5" s="7" t="s">
        <v>137</v>
      </c>
      <c r="B5" s="14" t="s">
        <v>138</v>
      </c>
      <c r="C5" s="6" t="s">
        <v>139</v>
      </c>
      <c r="D5" s="6" t="s">
        <v>140</v>
      </c>
      <c r="E5" s="6" t="s">
        <v>141</v>
      </c>
      <c r="F5" s="28" t="s">
        <v>142</v>
      </c>
      <c r="G5" s="29" t="s">
        <v>143</v>
      </c>
      <c r="H5" s="30" t="s">
        <v>144</v>
      </c>
      <c r="I5" s="28" t="s">
        <v>145</v>
      </c>
      <c r="J5" s="28" t="s">
        <v>146</v>
      </c>
      <c r="K5" s="28" t="s">
        <v>147</v>
      </c>
      <c r="L5" s="6" t="s">
        <v>148</v>
      </c>
      <c r="M5" s="22" t="s">
        <v>75</v>
      </c>
      <c r="N5" s="22" t="s">
        <v>73</v>
      </c>
      <c r="O5" s="22" t="s">
        <v>149</v>
      </c>
      <c r="P5" s="31" t="n">
        <f aca="false">IFERROR(VLOOKUP($M5,Assumptions!$A$15:$B$20,2,FALSE()),0)</f>
        <v>10</v>
      </c>
      <c r="Q5" s="31" t="n">
        <f aca="false">IFERROR(VLOOKUP($N5,Assumptions!$A$15:$B$20,2,FALSE()),0)</f>
        <v>5</v>
      </c>
      <c r="R5" s="31" t="n">
        <f aca="false">ROUND((P5+Q5)*Assumptions!$B$8,1)</f>
        <v>1.8</v>
      </c>
      <c r="S5" s="31" t="n">
        <f aca="false">IF($O5="Y",ROUND(Q5*Assumptions!$B$9,1),0)</f>
        <v>0</v>
      </c>
      <c r="T5" s="31" t="n">
        <f aca="false">ROUND((P5+Q5)*Assumptions!$B$10,1)</f>
        <v>5.3</v>
      </c>
      <c r="U5" s="9" t="n">
        <f aca="false">SUM(P5:T5)</f>
        <v>22.1</v>
      </c>
      <c r="V5" s="14" t="s">
        <v>79</v>
      </c>
      <c r="W5" s="28"/>
    </row>
    <row r="6" customFormat="false" ht="43.25" hidden="false" customHeight="false" outlineLevel="0" collapsed="false">
      <c r="A6" s="7" t="s">
        <v>150</v>
      </c>
      <c r="B6" s="14" t="s">
        <v>138</v>
      </c>
      <c r="C6" s="6" t="s">
        <v>139</v>
      </c>
      <c r="D6" s="6" t="s">
        <v>151</v>
      </c>
      <c r="E6" s="6" t="s">
        <v>152</v>
      </c>
      <c r="F6" s="28" t="s">
        <v>142</v>
      </c>
      <c r="G6" s="29" t="s">
        <v>143</v>
      </c>
      <c r="H6" s="30" t="s">
        <v>144</v>
      </c>
      <c r="I6" s="28" t="s">
        <v>153</v>
      </c>
      <c r="J6" s="28" t="s">
        <v>154</v>
      </c>
      <c r="K6" s="28" t="s">
        <v>155</v>
      </c>
      <c r="L6" s="6" t="s">
        <v>137</v>
      </c>
      <c r="M6" s="22" t="s">
        <v>75</v>
      </c>
      <c r="N6" s="22" t="s">
        <v>71</v>
      </c>
      <c r="O6" s="22" t="s">
        <v>149</v>
      </c>
      <c r="P6" s="31" t="n">
        <f aca="false">IFERROR(VLOOKUP($M6,Assumptions!$A$15:$B$20,2,FALSE()),0)</f>
        <v>10</v>
      </c>
      <c r="Q6" s="31" t="n">
        <f aca="false">IFERROR(VLOOKUP($N6,Assumptions!$A$15:$B$20,2,FALSE()),0)</f>
        <v>3</v>
      </c>
      <c r="R6" s="31" t="n">
        <f aca="false">ROUND((P6+Q6)*Assumptions!$B$8,1)</f>
        <v>1.6</v>
      </c>
      <c r="S6" s="31" t="n">
        <f aca="false">IF($O6="Y",ROUND(Q6*Assumptions!$B$9,1),0)</f>
        <v>0</v>
      </c>
      <c r="T6" s="31" t="n">
        <f aca="false">ROUND((P6+Q6)*Assumptions!$B$10,1)</f>
        <v>4.6</v>
      </c>
      <c r="U6" s="9" t="n">
        <f aca="false">SUM(P6:T6)</f>
        <v>19.2</v>
      </c>
      <c r="V6" s="14" t="s">
        <v>79</v>
      </c>
      <c r="W6" s="28"/>
    </row>
    <row r="7" customFormat="false" ht="23.85" hidden="false" customHeight="false" outlineLevel="0" collapsed="false">
      <c r="A7" s="7" t="s">
        <v>156</v>
      </c>
      <c r="B7" s="14" t="s">
        <v>138</v>
      </c>
      <c r="C7" s="6" t="s">
        <v>139</v>
      </c>
      <c r="D7" s="6" t="s">
        <v>157</v>
      </c>
      <c r="E7" s="6" t="s">
        <v>158</v>
      </c>
      <c r="F7" s="28" t="s">
        <v>142</v>
      </c>
      <c r="G7" s="29" t="s">
        <v>143</v>
      </c>
      <c r="H7" s="30" t="s">
        <v>144</v>
      </c>
      <c r="I7" s="28" t="s">
        <v>159</v>
      </c>
      <c r="J7" s="28" t="s">
        <v>160</v>
      </c>
      <c r="K7" s="28" t="s">
        <v>161</v>
      </c>
      <c r="L7" s="6" t="s">
        <v>137</v>
      </c>
      <c r="M7" s="22" t="s">
        <v>71</v>
      </c>
      <c r="N7" s="22" t="s">
        <v>73</v>
      </c>
      <c r="O7" s="22" t="s">
        <v>149</v>
      </c>
      <c r="P7" s="31" t="n">
        <f aca="false">IFERROR(VLOOKUP($M7,Assumptions!$A$15:$B$20,2,FALSE()),0)</f>
        <v>3</v>
      </c>
      <c r="Q7" s="31" t="n">
        <f aca="false">IFERROR(VLOOKUP($N7,Assumptions!$A$15:$B$20,2,FALSE()),0)</f>
        <v>5</v>
      </c>
      <c r="R7" s="31" t="n">
        <f aca="false">ROUND((P7+Q7)*Assumptions!$B$8,1)</f>
        <v>1</v>
      </c>
      <c r="S7" s="31" t="n">
        <f aca="false">IF($O7="Y",ROUND(Q7*Assumptions!$B$9,1),0)</f>
        <v>0</v>
      </c>
      <c r="T7" s="31" t="n">
        <f aca="false">ROUND((P7+Q7)*Assumptions!$B$10,1)</f>
        <v>2.8</v>
      </c>
      <c r="U7" s="9" t="n">
        <f aca="false">SUM(P7:T7)</f>
        <v>11.8</v>
      </c>
      <c r="V7" s="14" t="s">
        <v>79</v>
      </c>
      <c r="W7" s="28"/>
    </row>
    <row r="8" customFormat="false" ht="32.8" hidden="false" customHeight="false" outlineLevel="0" collapsed="false">
      <c r="A8" s="7" t="s">
        <v>162</v>
      </c>
      <c r="B8" s="14" t="s">
        <v>138</v>
      </c>
      <c r="C8" s="6" t="s">
        <v>139</v>
      </c>
      <c r="D8" s="6" t="s">
        <v>163</v>
      </c>
      <c r="E8" s="6" t="s">
        <v>164</v>
      </c>
      <c r="F8" s="28" t="s">
        <v>142</v>
      </c>
      <c r="G8" s="29" t="s">
        <v>143</v>
      </c>
      <c r="H8" s="30" t="s">
        <v>144</v>
      </c>
      <c r="I8" s="28" t="s">
        <v>165</v>
      </c>
      <c r="J8" s="28" t="s">
        <v>166</v>
      </c>
      <c r="K8" s="28" t="s">
        <v>167</v>
      </c>
      <c r="L8" s="6" t="s">
        <v>168</v>
      </c>
      <c r="M8" s="22" t="s">
        <v>75</v>
      </c>
      <c r="N8" s="22" t="s">
        <v>73</v>
      </c>
      <c r="O8" s="22" t="s">
        <v>169</v>
      </c>
      <c r="P8" s="31" t="n">
        <f aca="false">IFERROR(VLOOKUP($M8,Assumptions!$A$15:$B$20,2,FALSE()),0)</f>
        <v>10</v>
      </c>
      <c r="Q8" s="31" t="n">
        <f aca="false">IFERROR(VLOOKUP($N8,Assumptions!$A$15:$B$20,2,FALSE()),0)</f>
        <v>5</v>
      </c>
      <c r="R8" s="31" t="n">
        <f aca="false">ROUND((P8+Q8)*Assumptions!$B$8,1)</f>
        <v>1.8</v>
      </c>
      <c r="S8" s="31" t="n">
        <f aca="false">IF($O8="Y",ROUND(Q8*Assumptions!$B$9,1),0)</f>
        <v>2</v>
      </c>
      <c r="T8" s="31" t="n">
        <f aca="false">ROUND((P8+Q8)*Assumptions!$B$10,1)</f>
        <v>5.3</v>
      </c>
      <c r="U8" s="9" t="n">
        <f aca="false">SUM(P8:T8)</f>
        <v>24.1</v>
      </c>
      <c r="V8" s="14" t="s">
        <v>79</v>
      </c>
      <c r="W8" s="28"/>
    </row>
    <row r="9" customFormat="false" ht="43.25" hidden="false" customHeight="false" outlineLevel="0" collapsed="false">
      <c r="A9" s="7" t="s">
        <v>170</v>
      </c>
      <c r="B9" s="14" t="s">
        <v>138</v>
      </c>
      <c r="C9" s="6" t="s">
        <v>139</v>
      </c>
      <c r="D9" s="6" t="s">
        <v>171</v>
      </c>
      <c r="E9" s="6" t="s">
        <v>172</v>
      </c>
      <c r="F9" s="28" t="s">
        <v>142</v>
      </c>
      <c r="G9" s="29" t="s">
        <v>143</v>
      </c>
      <c r="H9" s="30" t="s">
        <v>144</v>
      </c>
      <c r="I9" s="28" t="s">
        <v>173</v>
      </c>
      <c r="J9" s="28" t="s">
        <v>174</v>
      </c>
      <c r="K9" s="28" t="s">
        <v>175</v>
      </c>
      <c r="L9" s="6" t="s">
        <v>176</v>
      </c>
      <c r="M9" s="22" t="s">
        <v>77</v>
      </c>
      <c r="N9" s="22" t="s">
        <v>73</v>
      </c>
      <c r="O9" s="22" t="s">
        <v>169</v>
      </c>
      <c r="P9" s="31" t="n">
        <f aca="false">IFERROR(VLOOKUP($M9,Assumptions!$A$15:$B$20,2,FALSE()),0)</f>
        <v>20</v>
      </c>
      <c r="Q9" s="31" t="n">
        <f aca="false">IFERROR(VLOOKUP($N9,Assumptions!$A$15:$B$20,2,FALSE()),0)</f>
        <v>5</v>
      </c>
      <c r="R9" s="31" t="n">
        <f aca="false">ROUND((P9+Q9)*Assumptions!$B$8,1)</f>
        <v>3</v>
      </c>
      <c r="S9" s="31" t="n">
        <f aca="false">IF($O9="Y",ROUND(Q9*Assumptions!$B$9,1),0)</f>
        <v>2</v>
      </c>
      <c r="T9" s="31" t="n">
        <f aca="false">ROUND((P9+Q9)*Assumptions!$B$10,1)</f>
        <v>8.8</v>
      </c>
      <c r="U9" s="9" t="n">
        <f aca="false">SUM(P9:T9)</f>
        <v>38.8</v>
      </c>
      <c r="V9" s="14" t="s">
        <v>79</v>
      </c>
      <c r="W9" s="28" t="s">
        <v>177</v>
      </c>
    </row>
    <row r="10" customFormat="false" ht="32.8" hidden="false" customHeight="false" outlineLevel="0" collapsed="false">
      <c r="A10" s="7" t="s">
        <v>178</v>
      </c>
      <c r="B10" s="14" t="s">
        <v>138</v>
      </c>
      <c r="C10" s="6" t="s">
        <v>139</v>
      </c>
      <c r="D10" s="6" t="s">
        <v>179</v>
      </c>
      <c r="E10" s="6" t="s">
        <v>180</v>
      </c>
      <c r="F10" s="28" t="s">
        <v>142</v>
      </c>
      <c r="G10" s="29" t="s">
        <v>143</v>
      </c>
      <c r="H10" s="30" t="s">
        <v>144</v>
      </c>
      <c r="I10" s="28" t="s">
        <v>181</v>
      </c>
      <c r="J10" s="28" t="s">
        <v>182</v>
      </c>
      <c r="K10" s="28" t="s">
        <v>183</v>
      </c>
      <c r="L10" s="6" t="s">
        <v>137</v>
      </c>
      <c r="M10" s="22" t="s">
        <v>75</v>
      </c>
      <c r="N10" s="22" t="s">
        <v>77</v>
      </c>
      <c r="O10" s="22" t="s">
        <v>169</v>
      </c>
      <c r="P10" s="31" t="n">
        <f aca="false">IFERROR(VLOOKUP($M10,Assumptions!$A$15:$B$20,2,FALSE()),0)</f>
        <v>10</v>
      </c>
      <c r="Q10" s="31" t="n">
        <f aca="false">IFERROR(VLOOKUP($N10,Assumptions!$A$15:$B$20,2,FALSE()),0)</f>
        <v>20</v>
      </c>
      <c r="R10" s="31" t="n">
        <f aca="false">ROUND((P10+Q10)*Assumptions!$B$8,1)</f>
        <v>3.6</v>
      </c>
      <c r="S10" s="31" t="n">
        <f aca="false">IF($O10="Y",ROUND(Q10*Assumptions!$B$9,1),0)</f>
        <v>8</v>
      </c>
      <c r="T10" s="31" t="n">
        <f aca="false">ROUND((P10+Q10)*Assumptions!$B$10,1)</f>
        <v>10.5</v>
      </c>
      <c r="U10" s="9" t="n">
        <f aca="false">SUM(P10:T10)</f>
        <v>52.1</v>
      </c>
      <c r="V10" s="14" t="s">
        <v>79</v>
      </c>
      <c r="W10" s="28" t="s">
        <v>184</v>
      </c>
    </row>
    <row r="11" customFormat="false" ht="23.85" hidden="false" customHeight="false" outlineLevel="0" collapsed="false">
      <c r="A11" s="7" t="s">
        <v>185</v>
      </c>
      <c r="B11" s="14" t="s">
        <v>138</v>
      </c>
      <c r="C11" s="6" t="s">
        <v>139</v>
      </c>
      <c r="D11" s="6" t="s">
        <v>186</v>
      </c>
      <c r="E11" s="6" t="s">
        <v>187</v>
      </c>
      <c r="F11" s="28" t="s">
        <v>142</v>
      </c>
      <c r="G11" s="29" t="s">
        <v>143</v>
      </c>
      <c r="H11" s="30" t="s">
        <v>144</v>
      </c>
      <c r="I11" s="28" t="s">
        <v>188</v>
      </c>
      <c r="J11" s="28" t="s">
        <v>189</v>
      </c>
      <c r="K11" s="28" t="s">
        <v>190</v>
      </c>
      <c r="L11" s="6" t="s">
        <v>191</v>
      </c>
      <c r="M11" s="22" t="s">
        <v>73</v>
      </c>
      <c r="N11" s="22" t="s">
        <v>73</v>
      </c>
      <c r="O11" s="22" t="s">
        <v>169</v>
      </c>
      <c r="P11" s="31" t="n">
        <f aca="false">IFERROR(VLOOKUP($M11,Assumptions!$A$15:$B$20,2,FALSE()),0)</f>
        <v>5</v>
      </c>
      <c r="Q11" s="31" t="n">
        <f aca="false">IFERROR(VLOOKUP($N11,Assumptions!$A$15:$B$20,2,FALSE()),0)</f>
        <v>5</v>
      </c>
      <c r="R11" s="31" t="n">
        <f aca="false">ROUND((P11+Q11)*Assumptions!$B$8,1)</f>
        <v>1.2</v>
      </c>
      <c r="S11" s="31" t="n">
        <f aca="false">IF($O11="Y",ROUND(Q11*Assumptions!$B$9,1),0)</f>
        <v>2</v>
      </c>
      <c r="T11" s="31" t="n">
        <f aca="false">ROUND((P11+Q11)*Assumptions!$B$10,1)</f>
        <v>3.5</v>
      </c>
      <c r="U11" s="9" t="n">
        <f aca="false">SUM(P11:T11)</f>
        <v>16.7</v>
      </c>
      <c r="V11" s="14" t="s">
        <v>79</v>
      </c>
      <c r="W11" s="28"/>
    </row>
    <row r="12" customFormat="false" ht="23.85" hidden="false" customHeight="false" outlineLevel="0" collapsed="false">
      <c r="A12" s="7" t="s">
        <v>192</v>
      </c>
      <c r="B12" s="14" t="s">
        <v>138</v>
      </c>
      <c r="C12" s="6" t="s">
        <v>139</v>
      </c>
      <c r="D12" s="6" t="s">
        <v>193</v>
      </c>
      <c r="E12" s="6" t="s">
        <v>194</v>
      </c>
      <c r="F12" s="28" t="s">
        <v>142</v>
      </c>
      <c r="G12" s="29" t="s">
        <v>143</v>
      </c>
      <c r="H12" s="30" t="s">
        <v>144</v>
      </c>
      <c r="I12" s="28" t="s">
        <v>195</v>
      </c>
      <c r="J12" s="28" t="s">
        <v>196</v>
      </c>
      <c r="K12" s="28" t="s">
        <v>197</v>
      </c>
      <c r="L12" s="6" t="s">
        <v>198</v>
      </c>
      <c r="M12" s="22" t="s">
        <v>73</v>
      </c>
      <c r="N12" s="22" t="s">
        <v>73</v>
      </c>
      <c r="O12" s="22" t="s">
        <v>169</v>
      </c>
      <c r="P12" s="31" t="n">
        <f aca="false">IFERROR(VLOOKUP($M12,Assumptions!$A$15:$B$20,2,FALSE()),0)</f>
        <v>5</v>
      </c>
      <c r="Q12" s="31" t="n">
        <f aca="false">IFERROR(VLOOKUP($N12,Assumptions!$A$15:$B$20,2,FALSE()),0)</f>
        <v>5</v>
      </c>
      <c r="R12" s="31" t="n">
        <f aca="false">ROUND((P12+Q12)*Assumptions!$B$8,1)</f>
        <v>1.2</v>
      </c>
      <c r="S12" s="31" t="n">
        <f aca="false">IF($O12="Y",ROUND(Q12*Assumptions!$B$9,1),0)</f>
        <v>2</v>
      </c>
      <c r="T12" s="31" t="n">
        <f aca="false">ROUND((P12+Q12)*Assumptions!$B$10,1)</f>
        <v>3.5</v>
      </c>
      <c r="U12" s="9" t="n">
        <f aca="false">SUM(P12:T12)</f>
        <v>16.7</v>
      </c>
      <c r="V12" s="14" t="s">
        <v>79</v>
      </c>
      <c r="W12" s="28"/>
    </row>
    <row r="13" customFormat="false" ht="23.85" hidden="false" customHeight="false" outlineLevel="0" collapsed="false">
      <c r="A13" s="7" t="s">
        <v>199</v>
      </c>
      <c r="B13" s="14" t="s">
        <v>138</v>
      </c>
      <c r="C13" s="6" t="s">
        <v>139</v>
      </c>
      <c r="D13" s="6" t="s">
        <v>200</v>
      </c>
      <c r="E13" s="6" t="s">
        <v>201</v>
      </c>
      <c r="F13" s="28" t="s">
        <v>142</v>
      </c>
      <c r="G13" s="29" t="s">
        <v>143</v>
      </c>
      <c r="H13" s="30" t="s">
        <v>144</v>
      </c>
      <c r="I13" s="28" t="s">
        <v>202</v>
      </c>
      <c r="J13" s="28" t="s">
        <v>203</v>
      </c>
      <c r="K13" s="28" t="s">
        <v>204</v>
      </c>
      <c r="L13" s="6" t="s">
        <v>137</v>
      </c>
      <c r="M13" s="22" t="s">
        <v>73</v>
      </c>
      <c r="N13" s="22" t="s">
        <v>71</v>
      </c>
      <c r="O13" s="22" t="s">
        <v>149</v>
      </c>
      <c r="P13" s="31" t="n">
        <f aca="false">IFERROR(VLOOKUP($M13,Assumptions!$A$15:$B$20,2,FALSE()),0)</f>
        <v>5</v>
      </c>
      <c r="Q13" s="31" t="n">
        <f aca="false">IFERROR(VLOOKUP($N13,Assumptions!$A$15:$B$20,2,FALSE()),0)</f>
        <v>3</v>
      </c>
      <c r="R13" s="31" t="n">
        <f aca="false">ROUND((P13+Q13)*Assumptions!$B$8,1)</f>
        <v>1</v>
      </c>
      <c r="S13" s="31" t="n">
        <f aca="false">IF($O13="Y",ROUND(Q13*Assumptions!$B$9,1),0)</f>
        <v>0</v>
      </c>
      <c r="T13" s="31" t="n">
        <f aca="false">ROUND((P13+Q13)*Assumptions!$B$10,1)</f>
        <v>2.8</v>
      </c>
      <c r="U13" s="9" t="n">
        <f aca="false">SUM(P13:T13)</f>
        <v>11.8</v>
      </c>
      <c r="V13" s="14" t="s">
        <v>79</v>
      </c>
      <c r="W13" s="28"/>
    </row>
    <row r="14" customFormat="false" ht="32.8" hidden="false" customHeight="false" outlineLevel="0" collapsed="false">
      <c r="A14" s="7" t="s">
        <v>168</v>
      </c>
      <c r="B14" s="14" t="s">
        <v>138</v>
      </c>
      <c r="C14" s="6" t="s">
        <v>139</v>
      </c>
      <c r="D14" s="6" t="s">
        <v>205</v>
      </c>
      <c r="E14" s="6" t="s">
        <v>206</v>
      </c>
      <c r="F14" s="28" t="s">
        <v>142</v>
      </c>
      <c r="G14" s="29" t="s">
        <v>143</v>
      </c>
      <c r="H14" s="30" t="s">
        <v>144</v>
      </c>
      <c r="I14" s="28" t="s">
        <v>207</v>
      </c>
      <c r="J14" s="28" t="s">
        <v>208</v>
      </c>
      <c r="K14" s="28" t="s">
        <v>209</v>
      </c>
      <c r="L14" s="6" t="s">
        <v>137</v>
      </c>
      <c r="M14" s="22" t="s">
        <v>73</v>
      </c>
      <c r="N14" s="22" t="s">
        <v>71</v>
      </c>
      <c r="O14" s="22" t="s">
        <v>149</v>
      </c>
      <c r="P14" s="31" t="n">
        <f aca="false">IFERROR(VLOOKUP($M14,Assumptions!$A$15:$B$20,2,FALSE()),0)</f>
        <v>5</v>
      </c>
      <c r="Q14" s="31" t="n">
        <f aca="false">IFERROR(VLOOKUP($N14,Assumptions!$A$15:$B$20,2,FALSE()),0)</f>
        <v>3</v>
      </c>
      <c r="R14" s="31" t="n">
        <f aca="false">ROUND((P14+Q14)*Assumptions!$B$8,1)</f>
        <v>1</v>
      </c>
      <c r="S14" s="31" t="n">
        <f aca="false">IF($O14="Y",ROUND(Q14*Assumptions!$B$9,1),0)</f>
        <v>0</v>
      </c>
      <c r="T14" s="31" t="n">
        <f aca="false">ROUND((P14+Q14)*Assumptions!$B$10,1)</f>
        <v>2.8</v>
      </c>
      <c r="U14" s="9" t="n">
        <f aca="false">SUM(P14:T14)</f>
        <v>11.8</v>
      </c>
      <c r="V14" s="14" t="s">
        <v>79</v>
      </c>
      <c r="W14" s="28"/>
    </row>
    <row r="15" customFormat="false" ht="32.8" hidden="false" customHeight="false" outlineLevel="0" collapsed="false">
      <c r="A15" s="7" t="s">
        <v>210</v>
      </c>
      <c r="B15" s="14" t="s">
        <v>138</v>
      </c>
      <c r="C15" s="6" t="s">
        <v>139</v>
      </c>
      <c r="D15" s="6" t="s">
        <v>211</v>
      </c>
      <c r="E15" s="6" t="s">
        <v>212</v>
      </c>
      <c r="F15" s="28" t="s">
        <v>142</v>
      </c>
      <c r="G15" s="29" t="s">
        <v>143</v>
      </c>
      <c r="H15" s="30" t="s">
        <v>144</v>
      </c>
      <c r="I15" s="28" t="s">
        <v>213</v>
      </c>
      <c r="J15" s="28" t="s">
        <v>79</v>
      </c>
      <c r="K15" s="28" t="s">
        <v>214</v>
      </c>
      <c r="L15" s="6" t="s">
        <v>168</v>
      </c>
      <c r="M15" s="22" t="s">
        <v>73</v>
      </c>
      <c r="N15" s="22" t="s">
        <v>79</v>
      </c>
      <c r="O15" s="22" t="s">
        <v>149</v>
      </c>
      <c r="P15" s="31" t="n">
        <f aca="false">IFERROR(VLOOKUP($M15,Assumptions!$A$15:$B$20,2,FALSE()),0)</f>
        <v>5</v>
      </c>
      <c r="Q15" s="31" t="n">
        <f aca="false">IFERROR(VLOOKUP($N15,Assumptions!$A$15:$B$20,2,FALSE()),0)</f>
        <v>0</v>
      </c>
      <c r="R15" s="31" t="n">
        <f aca="false">ROUND((P15+Q15)*Assumptions!$B$8,1)</f>
        <v>0.6</v>
      </c>
      <c r="S15" s="31" t="n">
        <f aca="false">IF($O15="Y",ROUND(Q15*Assumptions!$B$9,1),0)</f>
        <v>0</v>
      </c>
      <c r="T15" s="31" t="n">
        <f aca="false">ROUND((P15+Q15)*Assumptions!$B$10,1)</f>
        <v>1.8</v>
      </c>
      <c r="U15" s="9" t="n">
        <f aca="false">SUM(P15:T15)</f>
        <v>7.4</v>
      </c>
      <c r="V15" s="14" t="s">
        <v>79</v>
      </c>
      <c r="W15" s="28" t="s">
        <v>215</v>
      </c>
    </row>
    <row r="16" customFormat="false" ht="32.8" hidden="false" customHeight="false" outlineLevel="0" collapsed="false">
      <c r="A16" s="7" t="s">
        <v>216</v>
      </c>
      <c r="B16" s="14" t="s">
        <v>138</v>
      </c>
      <c r="C16" s="6" t="s">
        <v>139</v>
      </c>
      <c r="D16" s="6" t="s">
        <v>217</v>
      </c>
      <c r="E16" s="6" t="s">
        <v>218</v>
      </c>
      <c r="F16" s="28" t="s">
        <v>142</v>
      </c>
      <c r="G16" s="29" t="s">
        <v>143</v>
      </c>
      <c r="H16" s="30" t="s">
        <v>144</v>
      </c>
      <c r="I16" s="28" t="s">
        <v>219</v>
      </c>
      <c r="J16" s="28" t="s">
        <v>79</v>
      </c>
      <c r="K16" s="28" t="s">
        <v>220</v>
      </c>
      <c r="L16" s="6" t="s">
        <v>137</v>
      </c>
      <c r="M16" s="22" t="s">
        <v>73</v>
      </c>
      <c r="N16" s="22" t="s">
        <v>79</v>
      </c>
      <c r="O16" s="22" t="s">
        <v>149</v>
      </c>
      <c r="P16" s="31" t="n">
        <f aca="false">IFERROR(VLOOKUP($M16,Assumptions!$A$15:$B$20,2,FALSE()),0)</f>
        <v>5</v>
      </c>
      <c r="Q16" s="31" t="n">
        <f aca="false">IFERROR(VLOOKUP($N16,Assumptions!$A$15:$B$20,2,FALSE()),0)</f>
        <v>0</v>
      </c>
      <c r="R16" s="31" t="n">
        <f aca="false">ROUND((P16+Q16)*Assumptions!$B$8,1)</f>
        <v>0.6</v>
      </c>
      <c r="S16" s="31" t="n">
        <f aca="false">IF($O16="Y",ROUND(Q16*Assumptions!$B$9,1),0)</f>
        <v>0</v>
      </c>
      <c r="T16" s="31" t="n">
        <f aca="false">ROUND((P16+Q16)*Assumptions!$B$10,1)</f>
        <v>1.8</v>
      </c>
      <c r="U16" s="9" t="n">
        <f aca="false">SUM(P16:T16)</f>
        <v>7.4</v>
      </c>
      <c r="V16" s="14" t="s">
        <v>79</v>
      </c>
      <c r="W16" s="28" t="s">
        <v>221</v>
      </c>
    </row>
    <row r="17" customFormat="false" ht="32.8" hidden="false" customHeight="false" outlineLevel="0" collapsed="false">
      <c r="A17" s="7" t="s">
        <v>222</v>
      </c>
      <c r="B17" s="14" t="s">
        <v>138</v>
      </c>
      <c r="C17" s="6" t="s">
        <v>139</v>
      </c>
      <c r="D17" s="6" t="s">
        <v>223</v>
      </c>
      <c r="E17" s="6" t="s">
        <v>224</v>
      </c>
      <c r="F17" s="28" t="s">
        <v>142</v>
      </c>
      <c r="G17" s="29" t="s">
        <v>143</v>
      </c>
      <c r="H17" s="30" t="s">
        <v>144</v>
      </c>
      <c r="I17" s="28" t="s">
        <v>225</v>
      </c>
      <c r="J17" s="28" t="s">
        <v>79</v>
      </c>
      <c r="K17" s="28" t="s">
        <v>226</v>
      </c>
      <c r="L17" s="6" t="s">
        <v>137</v>
      </c>
      <c r="M17" s="22" t="s">
        <v>73</v>
      </c>
      <c r="N17" s="22" t="s">
        <v>79</v>
      </c>
      <c r="O17" s="22" t="s">
        <v>149</v>
      </c>
      <c r="P17" s="31" t="n">
        <f aca="false">IFERROR(VLOOKUP($M17,Assumptions!$A$15:$B$20,2,FALSE()),0)</f>
        <v>5</v>
      </c>
      <c r="Q17" s="31" t="n">
        <f aca="false">IFERROR(VLOOKUP($N17,Assumptions!$A$15:$B$20,2,FALSE()),0)</f>
        <v>0</v>
      </c>
      <c r="R17" s="31" t="n">
        <f aca="false">ROUND((P17+Q17)*Assumptions!$B$8,1)</f>
        <v>0.6</v>
      </c>
      <c r="S17" s="31" t="n">
        <f aca="false">IF($O17="Y",ROUND(Q17*Assumptions!$B$9,1),0)</f>
        <v>0</v>
      </c>
      <c r="T17" s="31" t="n">
        <f aca="false">ROUND((P17+Q17)*Assumptions!$B$10,1)</f>
        <v>1.8</v>
      </c>
      <c r="U17" s="9" t="n">
        <f aca="false">SUM(P17:T17)</f>
        <v>7.4</v>
      </c>
      <c r="V17" s="14" t="s">
        <v>79</v>
      </c>
      <c r="W17" s="28"/>
    </row>
    <row r="18" customFormat="false" ht="23.85" hidden="false" customHeight="false" outlineLevel="0" collapsed="false">
      <c r="A18" s="7" t="s">
        <v>227</v>
      </c>
      <c r="B18" s="14" t="s">
        <v>138</v>
      </c>
      <c r="C18" s="6" t="s">
        <v>139</v>
      </c>
      <c r="D18" s="6" t="s">
        <v>228</v>
      </c>
      <c r="E18" s="6" t="s">
        <v>229</v>
      </c>
      <c r="F18" s="28" t="s">
        <v>142</v>
      </c>
      <c r="G18" s="29" t="s">
        <v>143</v>
      </c>
      <c r="H18" s="30" t="s">
        <v>144</v>
      </c>
      <c r="I18" s="28" t="s">
        <v>230</v>
      </c>
      <c r="J18" s="28" t="s">
        <v>231</v>
      </c>
      <c r="K18" s="28" t="s">
        <v>232</v>
      </c>
      <c r="L18" s="6" t="s">
        <v>168</v>
      </c>
      <c r="M18" s="22" t="s">
        <v>73</v>
      </c>
      <c r="N18" s="22" t="s">
        <v>73</v>
      </c>
      <c r="O18" s="22" t="s">
        <v>169</v>
      </c>
      <c r="P18" s="31" t="n">
        <f aca="false">IFERROR(VLOOKUP($M18,Assumptions!$A$15:$B$20,2,FALSE()),0)</f>
        <v>5</v>
      </c>
      <c r="Q18" s="31" t="n">
        <f aca="false">IFERROR(VLOOKUP($N18,Assumptions!$A$15:$B$20,2,FALSE()),0)</f>
        <v>5</v>
      </c>
      <c r="R18" s="31" t="n">
        <f aca="false">ROUND((P18+Q18)*Assumptions!$B$8,1)</f>
        <v>1.2</v>
      </c>
      <c r="S18" s="31" t="n">
        <f aca="false">IF($O18="Y",ROUND(Q18*Assumptions!$B$9,1),0)</f>
        <v>2</v>
      </c>
      <c r="T18" s="31" t="n">
        <f aca="false">ROUND((P18+Q18)*Assumptions!$B$10,1)</f>
        <v>3.5</v>
      </c>
      <c r="U18" s="9" t="n">
        <f aca="false">SUM(P18:T18)</f>
        <v>16.7</v>
      </c>
      <c r="V18" s="14" t="s">
        <v>79</v>
      </c>
      <c r="W18" s="28" t="s">
        <v>233</v>
      </c>
    </row>
    <row r="19" customFormat="false" ht="32.8" hidden="false" customHeight="false" outlineLevel="0" collapsed="false">
      <c r="A19" s="7" t="s">
        <v>234</v>
      </c>
      <c r="B19" s="14" t="s">
        <v>138</v>
      </c>
      <c r="C19" s="6" t="s">
        <v>139</v>
      </c>
      <c r="D19" s="6" t="s">
        <v>235</v>
      </c>
      <c r="E19" s="6" t="s">
        <v>236</v>
      </c>
      <c r="F19" s="28" t="s">
        <v>142</v>
      </c>
      <c r="G19" s="29" t="s">
        <v>143</v>
      </c>
      <c r="H19" s="30" t="s">
        <v>144</v>
      </c>
      <c r="I19" s="28" t="s">
        <v>237</v>
      </c>
      <c r="J19" s="28" t="s">
        <v>238</v>
      </c>
      <c r="K19" s="28" t="s">
        <v>239</v>
      </c>
      <c r="L19" s="6" t="s">
        <v>240</v>
      </c>
      <c r="M19" s="22" t="s">
        <v>73</v>
      </c>
      <c r="N19" s="22" t="s">
        <v>71</v>
      </c>
      <c r="O19" s="22" t="s">
        <v>149</v>
      </c>
      <c r="P19" s="31" t="n">
        <f aca="false">IFERROR(VLOOKUP($M19,Assumptions!$A$15:$B$20,2,FALSE()),0)</f>
        <v>5</v>
      </c>
      <c r="Q19" s="31" t="n">
        <f aca="false">IFERROR(VLOOKUP($N19,Assumptions!$A$15:$B$20,2,FALSE()),0)</f>
        <v>3</v>
      </c>
      <c r="R19" s="31" t="n">
        <f aca="false">ROUND((P19+Q19)*Assumptions!$B$8,1)</f>
        <v>1</v>
      </c>
      <c r="S19" s="31" t="n">
        <f aca="false">IF($O19="Y",ROUND(Q19*Assumptions!$B$9,1),0)</f>
        <v>0</v>
      </c>
      <c r="T19" s="31" t="n">
        <f aca="false">ROUND((P19+Q19)*Assumptions!$B$10,1)</f>
        <v>2.8</v>
      </c>
      <c r="U19" s="9" t="n">
        <f aca="false">SUM(P19:T19)</f>
        <v>11.8</v>
      </c>
      <c r="V19" s="14" t="s">
        <v>79</v>
      </c>
      <c r="W19" s="28"/>
    </row>
    <row r="20" customFormat="false" ht="32.8" hidden="false" customHeight="false" outlineLevel="0" collapsed="false">
      <c r="A20" s="7" t="s">
        <v>241</v>
      </c>
      <c r="B20" s="14" t="s">
        <v>138</v>
      </c>
      <c r="C20" s="6" t="s">
        <v>139</v>
      </c>
      <c r="D20" s="6" t="s">
        <v>242</v>
      </c>
      <c r="E20" s="6" t="s">
        <v>243</v>
      </c>
      <c r="F20" s="28" t="s">
        <v>142</v>
      </c>
      <c r="G20" s="29" t="s">
        <v>143</v>
      </c>
      <c r="H20" s="29" t="s">
        <v>244</v>
      </c>
      <c r="I20" s="28" t="s">
        <v>245</v>
      </c>
      <c r="J20" s="28" t="s">
        <v>246</v>
      </c>
      <c r="K20" s="28" t="s">
        <v>247</v>
      </c>
      <c r="L20" s="6" t="s">
        <v>248</v>
      </c>
      <c r="M20" s="22" t="s">
        <v>75</v>
      </c>
      <c r="N20" s="22" t="s">
        <v>75</v>
      </c>
      <c r="O20" s="22" t="s">
        <v>169</v>
      </c>
      <c r="P20" s="31" t="n">
        <f aca="false">IFERROR(VLOOKUP($M20,Assumptions!$A$15:$B$20,2,FALSE()),0)</f>
        <v>10</v>
      </c>
      <c r="Q20" s="31" t="n">
        <f aca="false">IFERROR(VLOOKUP($N20,Assumptions!$A$15:$B$20,2,FALSE()),0)</f>
        <v>10</v>
      </c>
      <c r="R20" s="31" t="n">
        <f aca="false">ROUND((P20+Q20)*Assumptions!$B$8,1)</f>
        <v>2.4</v>
      </c>
      <c r="S20" s="31" t="n">
        <f aca="false">IF($O20="Y",ROUND(Q20*Assumptions!$B$9,1),0)</f>
        <v>4</v>
      </c>
      <c r="T20" s="31" t="n">
        <f aca="false">ROUND((P20+Q20)*Assumptions!$B$10,1)</f>
        <v>7</v>
      </c>
      <c r="U20" s="9" t="n">
        <f aca="false">SUM(P20:T20)</f>
        <v>33.4</v>
      </c>
      <c r="V20" s="14" t="s">
        <v>79</v>
      </c>
      <c r="W20" s="28" t="s">
        <v>249</v>
      </c>
    </row>
    <row r="21" customFormat="false" ht="23.85" hidden="false" customHeight="false" outlineLevel="0" collapsed="false">
      <c r="A21" s="7" t="s">
        <v>250</v>
      </c>
      <c r="B21" s="14" t="s">
        <v>138</v>
      </c>
      <c r="C21" s="6" t="s">
        <v>139</v>
      </c>
      <c r="D21" s="6" t="s">
        <v>251</v>
      </c>
      <c r="E21" s="6" t="s">
        <v>251</v>
      </c>
      <c r="F21" s="28" t="s">
        <v>142</v>
      </c>
      <c r="G21" s="29" t="s">
        <v>143</v>
      </c>
      <c r="H21" s="29" t="s">
        <v>244</v>
      </c>
      <c r="I21" s="28" t="s">
        <v>252</v>
      </c>
      <c r="J21" s="28" t="s">
        <v>253</v>
      </c>
      <c r="K21" s="28" t="s">
        <v>254</v>
      </c>
      <c r="L21" s="6" t="s">
        <v>255</v>
      </c>
      <c r="M21" s="22" t="s">
        <v>73</v>
      </c>
      <c r="N21" s="22" t="s">
        <v>75</v>
      </c>
      <c r="O21" s="22" t="s">
        <v>169</v>
      </c>
      <c r="P21" s="31" t="n">
        <f aca="false">IFERROR(VLOOKUP($M21,Assumptions!$A$15:$B$20,2,FALSE()),0)</f>
        <v>5</v>
      </c>
      <c r="Q21" s="31" t="n">
        <f aca="false">IFERROR(VLOOKUP($N21,Assumptions!$A$15:$B$20,2,FALSE()),0)</f>
        <v>10</v>
      </c>
      <c r="R21" s="31" t="n">
        <f aca="false">ROUND((P21+Q21)*Assumptions!$B$8,1)</f>
        <v>1.8</v>
      </c>
      <c r="S21" s="31" t="n">
        <f aca="false">IF($O21="Y",ROUND(Q21*Assumptions!$B$9,1),0)</f>
        <v>4</v>
      </c>
      <c r="T21" s="31" t="n">
        <f aca="false">ROUND((P21+Q21)*Assumptions!$B$10,1)</f>
        <v>5.3</v>
      </c>
      <c r="U21" s="9" t="n">
        <f aca="false">SUM(P21:T21)</f>
        <v>26.1</v>
      </c>
      <c r="V21" s="14" t="s">
        <v>79</v>
      </c>
      <c r="W21" s="28"/>
    </row>
    <row r="22" customFormat="false" ht="23.85" hidden="false" customHeight="false" outlineLevel="0" collapsed="false">
      <c r="A22" s="7" t="s">
        <v>256</v>
      </c>
      <c r="B22" s="14" t="s">
        <v>138</v>
      </c>
      <c r="C22" s="6" t="s">
        <v>139</v>
      </c>
      <c r="D22" s="6" t="s">
        <v>257</v>
      </c>
      <c r="E22" s="6" t="s">
        <v>258</v>
      </c>
      <c r="F22" s="28" t="s">
        <v>142</v>
      </c>
      <c r="G22" s="29" t="s">
        <v>143</v>
      </c>
      <c r="H22" s="29" t="s">
        <v>244</v>
      </c>
      <c r="I22" s="28" t="s">
        <v>259</v>
      </c>
      <c r="J22" s="28" t="s">
        <v>260</v>
      </c>
      <c r="K22" s="28" t="s">
        <v>261</v>
      </c>
      <c r="L22" s="6" t="s">
        <v>262</v>
      </c>
      <c r="M22" s="22" t="s">
        <v>75</v>
      </c>
      <c r="N22" s="22" t="s">
        <v>75</v>
      </c>
      <c r="O22" s="22" t="s">
        <v>169</v>
      </c>
      <c r="P22" s="31" t="n">
        <f aca="false">IFERROR(VLOOKUP($M22,Assumptions!$A$15:$B$20,2,FALSE()),0)</f>
        <v>10</v>
      </c>
      <c r="Q22" s="31" t="n">
        <f aca="false">IFERROR(VLOOKUP($N22,Assumptions!$A$15:$B$20,2,FALSE()),0)</f>
        <v>10</v>
      </c>
      <c r="R22" s="31" t="n">
        <f aca="false">ROUND((P22+Q22)*Assumptions!$B$8,1)</f>
        <v>2.4</v>
      </c>
      <c r="S22" s="31" t="n">
        <f aca="false">IF($O22="Y",ROUND(Q22*Assumptions!$B$9,1),0)</f>
        <v>4</v>
      </c>
      <c r="T22" s="31" t="n">
        <f aca="false">ROUND((P22+Q22)*Assumptions!$B$10,1)</f>
        <v>7</v>
      </c>
      <c r="U22" s="9" t="n">
        <f aca="false">SUM(P22:T22)</f>
        <v>33.4</v>
      </c>
      <c r="V22" s="14" t="s">
        <v>79</v>
      </c>
      <c r="W22" s="28"/>
    </row>
    <row r="23" customFormat="false" ht="23.85" hidden="false" customHeight="false" outlineLevel="0" collapsed="false">
      <c r="A23" s="7" t="s">
        <v>263</v>
      </c>
      <c r="B23" s="14" t="s">
        <v>138</v>
      </c>
      <c r="C23" s="6" t="s">
        <v>139</v>
      </c>
      <c r="D23" s="6" t="s">
        <v>264</v>
      </c>
      <c r="E23" s="6" t="s">
        <v>264</v>
      </c>
      <c r="F23" s="28" t="s">
        <v>142</v>
      </c>
      <c r="G23" s="32" t="s">
        <v>265</v>
      </c>
      <c r="H23" s="29" t="s">
        <v>244</v>
      </c>
      <c r="I23" s="28" t="s">
        <v>266</v>
      </c>
      <c r="J23" s="28" t="s">
        <v>267</v>
      </c>
      <c r="K23" s="28" t="s">
        <v>268</v>
      </c>
      <c r="L23" s="6" t="s">
        <v>137</v>
      </c>
      <c r="M23" s="22" t="s">
        <v>71</v>
      </c>
      <c r="N23" s="22" t="s">
        <v>71</v>
      </c>
      <c r="O23" s="22" t="s">
        <v>149</v>
      </c>
      <c r="P23" s="31" t="n">
        <f aca="false">IFERROR(VLOOKUP($M23,Assumptions!$A$15:$B$20,2,FALSE()),0)</f>
        <v>3</v>
      </c>
      <c r="Q23" s="31" t="n">
        <f aca="false">IFERROR(VLOOKUP($N23,Assumptions!$A$15:$B$20,2,FALSE()),0)</f>
        <v>3</v>
      </c>
      <c r="R23" s="31" t="n">
        <f aca="false">ROUND((P23+Q23)*Assumptions!$B$8,1)</f>
        <v>0.7</v>
      </c>
      <c r="S23" s="31" t="n">
        <f aca="false">IF($O23="Y",ROUND(Q23*Assumptions!$B$9,1),0)</f>
        <v>0</v>
      </c>
      <c r="T23" s="31" t="n">
        <f aca="false">ROUND((P23+Q23)*Assumptions!$B$10,1)</f>
        <v>2.1</v>
      </c>
      <c r="U23" s="9" t="n">
        <f aca="false">SUM(P23:T23)</f>
        <v>8.8</v>
      </c>
      <c r="V23" s="14" t="s">
        <v>79</v>
      </c>
      <c r="W23" s="28" t="s">
        <v>269</v>
      </c>
    </row>
    <row r="24" customFormat="false" ht="32.8" hidden="false" customHeight="false" outlineLevel="0" collapsed="false">
      <c r="A24" s="7" t="s">
        <v>270</v>
      </c>
      <c r="B24" s="14" t="s">
        <v>138</v>
      </c>
      <c r="C24" s="6" t="s">
        <v>139</v>
      </c>
      <c r="D24" s="6" t="s">
        <v>271</v>
      </c>
      <c r="E24" s="6" t="s">
        <v>271</v>
      </c>
      <c r="F24" s="28" t="s">
        <v>142</v>
      </c>
      <c r="G24" s="32" t="s">
        <v>265</v>
      </c>
      <c r="H24" s="32" t="s">
        <v>272</v>
      </c>
      <c r="I24" s="28" t="s">
        <v>273</v>
      </c>
      <c r="J24" s="28" t="s">
        <v>274</v>
      </c>
      <c r="K24" s="28" t="s">
        <v>275</v>
      </c>
      <c r="L24" s="6" t="s">
        <v>210</v>
      </c>
      <c r="M24" s="22" t="s">
        <v>75</v>
      </c>
      <c r="N24" s="22" t="s">
        <v>73</v>
      </c>
      <c r="O24" s="22" t="s">
        <v>169</v>
      </c>
      <c r="P24" s="31" t="n">
        <f aca="false">IFERROR(VLOOKUP($M24,Assumptions!$A$15:$B$20,2,FALSE()),0)</f>
        <v>10</v>
      </c>
      <c r="Q24" s="31" t="n">
        <f aca="false">IFERROR(VLOOKUP($N24,Assumptions!$A$15:$B$20,2,FALSE()),0)</f>
        <v>5</v>
      </c>
      <c r="R24" s="31" t="n">
        <f aca="false">ROUND((P24+Q24)*Assumptions!$B$8,1)</f>
        <v>1.8</v>
      </c>
      <c r="S24" s="31" t="n">
        <f aca="false">IF($O24="Y",ROUND(Q24*Assumptions!$B$9,1),0)</f>
        <v>2</v>
      </c>
      <c r="T24" s="31" t="n">
        <f aca="false">ROUND((P24+Q24)*Assumptions!$B$10,1)</f>
        <v>5.3</v>
      </c>
      <c r="U24" s="9" t="n">
        <f aca="false">SUM(P24:T24)</f>
        <v>24.1</v>
      </c>
      <c r="V24" s="14" t="s">
        <v>79</v>
      </c>
      <c r="W24" s="28" t="s">
        <v>276</v>
      </c>
    </row>
    <row r="25" customFormat="false" ht="23.85" hidden="false" customHeight="false" outlineLevel="0" collapsed="false">
      <c r="A25" s="7" t="s">
        <v>277</v>
      </c>
      <c r="B25" s="14" t="s">
        <v>138</v>
      </c>
      <c r="C25" s="6" t="s">
        <v>139</v>
      </c>
      <c r="D25" s="6" t="s">
        <v>278</v>
      </c>
      <c r="E25" s="6" t="s">
        <v>279</v>
      </c>
      <c r="F25" s="28" t="s">
        <v>142</v>
      </c>
      <c r="G25" s="32" t="s">
        <v>265</v>
      </c>
      <c r="H25" s="32" t="s">
        <v>272</v>
      </c>
      <c r="I25" s="28" t="s">
        <v>280</v>
      </c>
      <c r="J25" s="28" t="s">
        <v>281</v>
      </c>
      <c r="K25" s="28" t="s">
        <v>282</v>
      </c>
      <c r="L25" s="6" t="s">
        <v>283</v>
      </c>
      <c r="M25" s="22" t="s">
        <v>73</v>
      </c>
      <c r="N25" s="22" t="s">
        <v>71</v>
      </c>
      <c r="O25" s="22" t="s">
        <v>149</v>
      </c>
      <c r="P25" s="31" t="n">
        <f aca="false">IFERROR(VLOOKUP($M25,Assumptions!$A$15:$B$20,2,FALSE()),0)</f>
        <v>5</v>
      </c>
      <c r="Q25" s="31" t="n">
        <f aca="false">IFERROR(VLOOKUP($N25,Assumptions!$A$15:$B$20,2,FALSE()),0)</f>
        <v>3</v>
      </c>
      <c r="R25" s="31" t="n">
        <f aca="false">ROUND((P25+Q25)*Assumptions!$B$8,1)</f>
        <v>1</v>
      </c>
      <c r="S25" s="31" t="n">
        <f aca="false">IF($O25="Y",ROUND(Q25*Assumptions!$B$9,1),0)</f>
        <v>0</v>
      </c>
      <c r="T25" s="31" t="n">
        <f aca="false">ROUND((P25+Q25)*Assumptions!$B$10,1)</f>
        <v>2.8</v>
      </c>
      <c r="U25" s="9" t="n">
        <f aca="false">SUM(P25:T25)</f>
        <v>11.8</v>
      </c>
      <c r="V25" s="14" t="s">
        <v>79</v>
      </c>
      <c r="W25" s="28"/>
    </row>
    <row r="26" customFormat="false" ht="32.8" hidden="false" customHeight="false" outlineLevel="0" collapsed="false">
      <c r="A26" s="7" t="s">
        <v>284</v>
      </c>
      <c r="B26" s="14" t="s">
        <v>138</v>
      </c>
      <c r="C26" s="6" t="s">
        <v>139</v>
      </c>
      <c r="D26" s="6" t="s">
        <v>285</v>
      </c>
      <c r="E26" s="6" t="s">
        <v>285</v>
      </c>
      <c r="F26" s="28" t="s">
        <v>142</v>
      </c>
      <c r="G26" s="33" t="s">
        <v>286</v>
      </c>
      <c r="H26" s="33" t="s">
        <v>287</v>
      </c>
      <c r="I26" s="28" t="s">
        <v>288</v>
      </c>
      <c r="J26" s="28" t="s">
        <v>289</v>
      </c>
      <c r="K26" s="28" t="s">
        <v>290</v>
      </c>
      <c r="L26" s="6" t="s">
        <v>222</v>
      </c>
      <c r="M26" s="22" t="s">
        <v>73</v>
      </c>
      <c r="N26" s="22" t="s">
        <v>71</v>
      </c>
      <c r="O26" s="22" t="s">
        <v>149</v>
      </c>
      <c r="P26" s="31" t="n">
        <f aca="false">IFERROR(VLOOKUP($M26,Assumptions!$A$15:$B$20,2,FALSE()),0)</f>
        <v>5</v>
      </c>
      <c r="Q26" s="31" t="n">
        <f aca="false">IFERROR(VLOOKUP($N26,Assumptions!$A$15:$B$20,2,FALSE()),0)</f>
        <v>3</v>
      </c>
      <c r="R26" s="31" t="n">
        <f aca="false">ROUND((P26+Q26)*Assumptions!$B$8,1)</f>
        <v>1</v>
      </c>
      <c r="S26" s="31" t="n">
        <f aca="false">IF($O26="Y",ROUND(Q26*Assumptions!$B$9,1),0)</f>
        <v>0</v>
      </c>
      <c r="T26" s="31" t="n">
        <f aca="false">ROUND((P26+Q26)*Assumptions!$B$10,1)</f>
        <v>2.8</v>
      </c>
      <c r="U26" s="9" t="n">
        <f aca="false">SUM(P26:T26)</f>
        <v>11.8</v>
      </c>
      <c r="V26" s="14" t="s">
        <v>79</v>
      </c>
      <c r="W26" s="28" t="s">
        <v>291</v>
      </c>
    </row>
    <row r="27" customFormat="false" ht="43.25" hidden="false" customHeight="false" outlineLevel="0" collapsed="false">
      <c r="A27" s="7" t="s">
        <v>292</v>
      </c>
      <c r="B27" s="14" t="s">
        <v>293</v>
      </c>
      <c r="C27" s="6" t="s">
        <v>294</v>
      </c>
      <c r="D27" s="6" t="s">
        <v>295</v>
      </c>
      <c r="E27" s="6" t="s">
        <v>296</v>
      </c>
      <c r="F27" s="28" t="s">
        <v>142</v>
      </c>
      <c r="G27" s="29" t="s">
        <v>143</v>
      </c>
      <c r="H27" s="30" t="s">
        <v>144</v>
      </c>
      <c r="I27" s="28" t="s">
        <v>297</v>
      </c>
      <c r="J27" s="28" t="s">
        <v>298</v>
      </c>
      <c r="K27" s="28" t="s">
        <v>299</v>
      </c>
      <c r="L27" s="6" t="s">
        <v>300</v>
      </c>
      <c r="M27" s="22" t="s">
        <v>75</v>
      </c>
      <c r="N27" s="22" t="s">
        <v>73</v>
      </c>
      <c r="O27" s="22" t="s">
        <v>169</v>
      </c>
      <c r="P27" s="31" t="n">
        <f aca="false">IFERROR(VLOOKUP($M27,Assumptions!$A$15:$B$20,2,FALSE()),0)</f>
        <v>10</v>
      </c>
      <c r="Q27" s="31" t="n">
        <f aca="false">IFERROR(VLOOKUP($N27,Assumptions!$A$15:$B$20,2,FALSE()),0)</f>
        <v>5</v>
      </c>
      <c r="R27" s="31" t="n">
        <f aca="false">ROUND((P27+Q27)*Assumptions!$B$8,1)</f>
        <v>1.8</v>
      </c>
      <c r="S27" s="31" t="n">
        <f aca="false">IF($O27="Y",ROUND(Q27*Assumptions!$B$9,1),0)</f>
        <v>2</v>
      </c>
      <c r="T27" s="31" t="n">
        <f aca="false">ROUND((P27+Q27)*Assumptions!$B$10,1)</f>
        <v>5.3</v>
      </c>
      <c r="U27" s="9" t="n">
        <f aca="false">SUM(P27:T27)</f>
        <v>24.1</v>
      </c>
      <c r="V27" s="14" t="s">
        <v>79</v>
      </c>
      <c r="W27" s="28"/>
    </row>
    <row r="28" customFormat="false" ht="43.25" hidden="false" customHeight="false" outlineLevel="0" collapsed="false">
      <c r="A28" s="7" t="s">
        <v>283</v>
      </c>
      <c r="B28" s="14" t="s">
        <v>293</v>
      </c>
      <c r="C28" s="6" t="s">
        <v>294</v>
      </c>
      <c r="D28" s="6" t="s">
        <v>301</v>
      </c>
      <c r="E28" s="6" t="s">
        <v>302</v>
      </c>
      <c r="F28" s="28" t="s">
        <v>142</v>
      </c>
      <c r="G28" s="29" t="s">
        <v>143</v>
      </c>
      <c r="H28" s="30" t="s">
        <v>144</v>
      </c>
      <c r="I28" s="28" t="s">
        <v>303</v>
      </c>
      <c r="J28" s="28" t="s">
        <v>304</v>
      </c>
      <c r="K28" s="28" t="s">
        <v>305</v>
      </c>
      <c r="L28" s="6" t="s">
        <v>292</v>
      </c>
      <c r="M28" s="22" t="s">
        <v>75</v>
      </c>
      <c r="N28" s="22" t="s">
        <v>73</v>
      </c>
      <c r="O28" s="22" t="s">
        <v>149</v>
      </c>
      <c r="P28" s="31" t="n">
        <f aca="false">IFERROR(VLOOKUP($M28,Assumptions!$A$15:$B$20,2,FALSE()),0)</f>
        <v>10</v>
      </c>
      <c r="Q28" s="31" t="n">
        <f aca="false">IFERROR(VLOOKUP($N28,Assumptions!$A$15:$B$20,2,FALSE()),0)</f>
        <v>5</v>
      </c>
      <c r="R28" s="31" t="n">
        <f aca="false">ROUND((P28+Q28)*Assumptions!$B$8,1)</f>
        <v>1.8</v>
      </c>
      <c r="S28" s="31" t="n">
        <f aca="false">IF($O28="Y",ROUND(Q28*Assumptions!$B$9,1),0)</f>
        <v>0</v>
      </c>
      <c r="T28" s="31" t="n">
        <f aca="false">ROUND((P28+Q28)*Assumptions!$B$10,1)</f>
        <v>5.3</v>
      </c>
      <c r="U28" s="9" t="n">
        <f aca="false">SUM(P28:T28)</f>
        <v>22.1</v>
      </c>
      <c r="V28" s="14" t="s">
        <v>79</v>
      </c>
      <c r="W28" s="28"/>
    </row>
    <row r="29" customFormat="false" ht="23.85" hidden="false" customHeight="false" outlineLevel="0" collapsed="false">
      <c r="A29" s="7" t="s">
        <v>306</v>
      </c>
      <c r="B29" s="14" t="s">
        <v>293</v>
      </c>
      <c r="C29" s="6" t="s">
        <v>294</v>
      </c>
      <c r="D29" s="6" t="s">
        <v>307</v>
      </c>
      <c r="E29" s="6" t="s">
        <v>308</v>
      </c>
      <c r="F29" s="28" t="s">
        <v>142</v>
      </c>
      <c r="G29" s="29" t="s">
        <v>143</v>
      </c>
      <c r="H29" s="30" t="s">
        <v>144</v>
      </c>
      <c r="I29" s="28" t="s">
        <v>309</v>
      </c>
      <c r="J29" s="28" t="s">
        <v>310</v>
      </c>
      <c r="K29" s="28" t="s">
        <v>311</v>
      </c>
      <c r="L29" s="6" t="s">
        <v>150</v>
      </c>
      <c r="M29" s="22" t="s">
        <v>73</v>
      </c>
      <c r="N29" s="22" t="s">
        <v>73</v>
      </c>
      <c r="O29" s="22" t="s">
        <v>169</v>
      </c>
      <c r="P29" s="31" t="n">
        <f aca="false">IFERROR(VLOOKUP($M29,Assumptions!$A$15:$B$20,2,FALSE()),0)</f>
        <v>5</v>
      </c>
      <c r="Q29" s="31" t="n">
        <f aca="false">IFERROR(VLOOKUP($N29,Assumptions!$A$15:$B$20,2,FALSE()),0)</f>
        <v>5</v>
      </c>
      <c r="R29" s="31" t="n">
        <f aca="false">ROUND((P29+Q29)*Assumptions!$B$8,1)</f>
        <v>1.2</v>
      </c>
      <c r="S29" s="31" t="n">
        <f aca="false">IF($O29="Y",ROUND(Q29*Assumptions!$B$9,1),0)</f>
        <v>2</v>
      </c>
      <c r="T29" s="31" t="n">
        <f aca="false">ROUND((P29+Q29)*Assumptions!$B$10,1)</f>
        <v>3.5</v>
      </c>
      <c r="U29" s="9" t="n">
        <f aca="false">SUM(P29:T29)</f>
        <v>16.7</v>
      </c>
      <c r="V29" s="14" t="s">
        <v>79</v>
      </c>
      <c r="W29" s="28"/>
    </row>
    <row r="30" customFormat="false" ht="32.8" hidden="false" customHeight="false" outlineLevel="0" collapsed="false">
      <c r="A30" s="7" t="s">
        <v>312</v>
      </c>
      <c r="B30" s="14" t="s">
        <v>293</v>
      </c>
      <c r="C30" s="6" t="s">
        <v>294</v>
      </c>
      <c r="D30" s="6" t="s">
        <v>313</v>
      </c>
      <c r="E30" s="6" t="s">
        <v>314</v>
      </c>
      <c r="F30" s="28" t="s">
        <v>315</v>
      </c>
      <c r="G30" s="29" t="s">
        <v>143</v>
      </c>
      <c r="H30" s="30" t="s">
        <v>144</v>
      </c>
      <c r="I30" s="28" t="s">
        <v>316</v>
      </c>
      <c r="J30" s="28" t="s">
        <v>317</v>
      </c>
      <c r="K30" s="28" t="s">
        <v>318</v>
      </c>
      <c r="L30" s="6" t="s">
        <v>319</v>
      </c>
      <c r="M30" s="22" t="s">
        <v>73</v>
      </c>
      <c r="N30" s="22" t="s">
        <v>73</v>
      </c>
      <c r="O30" s="22" t="s">
        <v>169</v>
      </c>
      <c r="P30" s="31" t="n">
        <f aca="false">IFERROR(VLOOKUP($M30,Assumptions!$A$15:$B$20,2,FALSE()),0)</f>
        <v>5</v>
      </c>
      <c r="Q30" s="31" t="n">
        <f aca="false">IFERROR(VLOOKUP($N30,Assumptions!$A$15:$B$20,2,FALSE()),0)</f>
        <v>5</v>
      </c>
      <c r="R30" s="31" t="n">
        <f aca="false">ROUND((P30+Q30)*Assumptions!$B$8,1)</f>
        <v>1.2</v>
      </c>
      <c r="S30" s="31" t="n">
        <f aca="false">IF($O30="Y",ROUND(Q30*Assumptions!$B$9,1),0)</f>
        <v>2</v>
      </c>
      <c r="T30" s="31" t="n">
        <f aca="false">ROUND((P30+Q30)*Assumptions!$B$10,1)</f>
        <v>3.5</v>
      </c>
      <c r="U30" s="9" t="n">
        <f aca="false">SUM(P30:T30)</f>
        <v>16.7</v>
      </c>
      <c r="V30" s="34" t="s">
        <v>320</v>
      </c>
      <c r="W30" s="28"/>
    </row>
    <row r="31" customFormat="false" ht="32.8" hidden="false" customHeight="false" outlineLevel="0" collapsed="false">
      <c r="A31" s="7" t="s">
        <v>321</v>
      </c>
      <c r="B31" s="14" t="s">
        <v>293</v>
      </c>
      <c r="C31" s="6" t="s">
        <v>294</v>
      </c>
      <c r="D31" s="6" t="s">
        <v>322</v>
      </c>
      <c r="E31" s="6" t="s">
        <v>323</v>
      </c>
      <c r="F31" s="28" t="s">
        <v>324</v>
      </c>
      <c r="G31" s="29" t="s">
        <v>143</v>
      </c>
      <c r="H31" s="30" t="s">
        <v>144</v>
      </c>
      <c r="I31" s="28" t="s">
        <v>325</v>
      </c>
      <c r="J31" s="28" t="s">
        <v>326</v>
      </c>
      <c r="K31" s="28" t="s">
        <v>327</v>
      </c>
      <c r="L31" s="6" t="s">
        <v>283</v>
      </c>
      <c r="M31" s="22" t="s">
        <v>73</v>
      </c>
      <c r="N31" s="22" t="s">
        <v>73</v>
      </c>
      <c r="O31" s="22" t="s">
        <v>169</v>
      </c>
      <c r="P31" s="31" t="n">
        <f aca="false">IFERROR(VLOOKUP($M31,Assumptions!$A$15:$B$20,2,FALSE()),0)</f>
        <v>5</v>
      </c>
      <c r="Q31" s="31" t="n">
        <f aca="false">IFERROR(VLOOKUP($N31,Assumptions!$A$15:$B$20,2,FALSE()),0)</f>
        <v>5</v>
      </c>
      <c r="R31" s="31" t="n">
        <f aca="false">ROUND((P31+Q31)*Assumptions!$B$8,1)</f>
        <v>1.2</v>
      </c>
      <c r="S31" s="31" t="n">
        <f aca="false">IF($O31="Y",ROUND(Q31*Assumptions!$B$9,1),0)</f>
        <v>2</v>
      </c>
      <c r="T31" s="31" t="n">
        <f aca="false">ROUND((P31+Q31)*Assumptions!$B$10,1)</f>
        <v>3.5</v>
      </c>
      <c r="U31" s="9" t="n">
        <f aca="false">SUM(P31:T31)</f>
        <v>16.7</v>
      </c>
      <c r="V31" s="34" t="s">
        <v>320</v>
      </c>
      <c r="W31" s="28"/>
    </row>
    <row r="32" customFormat="false" ht="32.8" hidden="false" customHeight="false" outlineLevel="0" collapsed="false">
      <c r="A32" s="7" t="s">
        <v>328</v>
      </c>
      <c r="B32" s="14" t="s">
        <v>293</v>
      </c>
      <c r="C32" s="6" t="s">
        <v>294</v>
      </c>
      <c r="D32" s="6" t="s">
        <v>329</v>
      </c>
      <c r="E32" s="6" t="s">
        <v>330</v>
      </c>
      <c r="F32" s="28" t="s">
        <v>315</v>
      </c>
      <c r="G32" s="29" t="s">
        <v>143</v>
      </c>
      <c r="H32" s="30" t="s">
        <v>144</v>
      </c>
      <c r="I32" s="28" t="s">
        <v>331</v>
      </c>
      <c r="J32" s="28" t="s">
        <v>332</v>
      </c>
      <c r="K32" s="28" t="s">
        <v>333</v>
      </c>
      <c r="L32" s="6" t="s">
        <v>334</v>
      </c>
      <c r="M32" s="22" t="s">
        <v>75</v>
      </c>
      <c r="N32" s="22" t="s">
        <v>71</v>
      </c>
      <c r="O32" s="22" t="s">
        <v>149</v>
      </c>
      <c r="P32" s="31" t="n">
        <f aca="false">IFERROR(VLOOKUP($M32,Assumptions!$A$15:$B$20,2,FALSE()),0)</f>
        <v>10</v>
      </c>
      <c r="Q32" s="31" t="n">
        <f aca="false">IFERROR(VLOOKUP($N32,Assumptions!$A$15:$B$20,2,FALSE()),0)</f>
        <v>3</v>
      </c>
      <c r="R32" s="31" t="n">
        <f aca="false">ROUND((P32+Q32)*Assumptions!$B$8,1)</f>
        <v>1.6</v>
      </c>
      <c r="S32" s="31" t="n">
        <f aca="false">IF($O32="Y",ROUND(Q32*Assumptions!$B$9,1),0)</f>
        <v>0</v>
      </c>
      <c r="T32" s="31" t="n">
        <f aca="false">ROUND((P32+Q32)*Assumptions!$B$10,1)</f>
        <v>4.6</v>
      </c>
      <c r="U32" s="9" t="n">
        <f aca="false">SUM(P32:T32)</f>
        <v>19.2</v>
      </c>
      <c r="V32" s="34" t="s">
        <v>320</v>
      </c>
      <c r="W32" s="28"/>
    </row>
    <row r="33" customFormat="false" ht="32.8" hidden="false" customHeight="false" outlineLevel="0" collapsed="false">
      <c r="A33" s="7" t="s">
        <v>335</v>
      </c>
      <c r="B33" s="14" t="s">
        <v>293</v>
      </c>
      <c r="C33" s="6" t="s">
        <v>294</v>
      </c>
      <c r="D33" s="6" t="s">
        <v>336</v>
      </c>
      <c r="E33" s="6" t="s">
        <v>337</v>
      </c>
      <c r="F33" s="28" t="s">
        <v>315</v>
      </c>
      <c r="G33" s="29" t="s">
        <v>143</v>
      </c>
      <c r="H33" s="30" t="s">
        <v>144</v>
      </c>
      <c r="I33" s="28" t="s">
        <v>338</v>
      </c>
      <c r="J33" s="28" t="s">
        <v>339</v>
      </c>
      <c r="K33" s="28" t="s">
        <v>340</v>
      </c>
      <c r="L33" s="6" t="s">
        <v>292</v>
      </c>
      <c r="M33" s="22" t="s">
        <v>73</v>
      </c>
      <c r="N33" s="22" t="s">
        <v>71</v>
      </c>
      <c r="O33" s="22" t="s">
        <v>169</v>
      </c>
      <c r="P33" s="31" t="n">
        <f aca="false">IFERROR(VLOOKUP($M33,Assumptions!$A$15:$B$20,2,FALSE()),0)</f>
        <v>5</v>
      </c>
      <c r="Q33" s="31" t="n">
        <f aca="false">IFERROR(VLOOKUP($N33,Assumptions!$A$15:$B$20,2,FALSE()),0)</f>
        <v>3</v>
      </c>
      <c r="R33" s="31" t="n">
        <f aca="false">ROUND((P33+Q33)*Assumptions!$B$8,1)</f>
        <v>1</v>
      </c>
      <c r="S33" s="31" t="n">
        <f aca="false">IF($O33="Y",ROUND(Q33*Assumptions!$B$9,1),0)</f>
        <v>1.2</v>
      </c>
      <c r="T33" s="31" t="n">
        <f aca="false">ROUND((P33+Q33)*Assumptions!$B$10,1)</f>
        <v>2.8</v>
      </c>
      <c r="U33" s="9" t="n">
        <f aca="false">SUM(P33:T33)</f>
        <v>13</v>
      </c>
      <c r="V33" s="34" t="s">
        <v>320</v>
      </c>
      <c r="W33" s="28"/>
    </row>
    <row r="34" customFormat="false" ht="32.8" hidden="false" customHeight="false" outlineLevel="0" collapsed="false">
      <c r="A34" s="7" t="s">
        <v>341</v>
      </c>
      <c r="B34" s="14" t="s">
        <v>293</v>
      </c>
      <c r="C34" s="6" t="s">
        <v>294</v>
      </c>
      <c r="D34" s="6" t="s">
        <v>342</v>
      </c>
      <c r="E34" s="6" t="s">
        <v>343</v>
      </c>
      <c r="F34" s="28" t="s">
        <v>315</v>
      </c>
      <c r="G34" s="29" t="s">
        <v>143</v>
      </c>
      <c r="H34" s="30" t="s">
        <v>144</v>
      </c>
      <c r="I34" s="28" t="s">
        <v>344</v>
      </c>
      <c r="J34" s="28" t="s">
        <v>345</v>
      </c>
      <c r="K34" s="28" t="s">
        <v>346</v>
      </c>
      <c r="L34" s="6" t="s">
        <v>283</v>
      </c>
      <c r="M34" s="22" t="s">
        <v>73</v>
      </c>
      <c r="N34" s="22" t="s">
        <v>71</v>
      </c>
      <c r="O34" s="22" t="s">
        <v>149</v>
      </c>
      <c r="P34" s="31" t="n">
        <f aca="false">IFERROR(VLOOKUP($M34,Assumptions!$A$15:$B$20,2,FALSE()),0)</f>
        <v>5</v>
      </c>
      <c r="Q34" s="31" t="n">
        <f aca="false">IFERROR(VLOOKUP($N34,Assumptions!$A$15:$B$20,2,FALSE()),0)</f>
        <v>3</v>
      </c>
      <c r="R34" s="31" t="n">
        <f aca="false">ROUND((P34+Q34)*Assumptions!$B$8,1)</f>
        <v>1</v>
      </c>
      <c r="S34" s="31" t="n">
        <f aca="false">IF($O34="Y",ROUND(Q34*Assumptions!$B$9,1),0)</f>
        <v>0</v>
      </c>
      <c r="T34" s="31" t="n">
        <f aca="false">ROUND((P34+Q34)*Assumptions!$B$10,1)</f>
        <v>2.8</v>
      </c>
      <c r="U34" s="9" t="n">
        <f aca="false">SUM(P34:T34)</f>
        <v>11.8</v>
      </c>
      <c r="V34" s="34" t="s">
        <v>320</v>
      </c>
      <c r="W34" s="28"/>
    </row>
    <row r="35" customFormat="false" ht="23.85" hidden="false" customHeight="false" outlineLevel="0" collapsed="false">
      <c r="A35" s="7" t="s">
        <v>347</v>
      </c>
      <c r="B35" s="14" t="s">
        <v>293</v>
      </c>
      <c r="C35" s="6" t="s">
        <v>294</v>
      </c>
      <c r="D35" s="6" t="s">
        <v>348</v>
      </c>
      <c r="E35" s="6" t="s">
        <v>348</v>
      </c>
      <c r="F35" s="28" t="s">
        <v>315</v>
      </c>
      <c r="G35" s="29" t="s">
        <v>143</v>
      </c>
      <c r="H35" s="30" t="s">
        <v>144</v>
      </c>
      <c r="I35" s="28" t="s">
        <v>349</v>
      </c>
      <c r="J35" s="28" t="s">
        <v>350</v>
      </c>
      <c r="K35" s="28" t="s">
        <v>351</v>
      </c>
      <c r="L35" s="6" t="s">
        <v>216</v>
      </c>
      <c r="M35" s="22" t="s">
        <v>71</v>
      </c>
      <c r="N35" s="22" t="s">
        <v>73</v>
      </c>
      <c r="O35" s="22" t="s">
        <v>169</v>
      </c>
      <c r="P35" s="31" t="n">
        <f aca="false">IFERROR(VLOOKUP($M35,Assumptions!$A$15:$B$20,2,FALSE()),0)</f>
        <v>3</v>
      </c>
      <c r="Q35" s="31" t="n">
        <f aca="false">IFERROR(VLOOKUP($N35,Assumptions!$A$15:$B$20,2,FALSE()),0)</f>
        <v>5</v>
      </c>
      <c r="R35" s="31" t="n">
        <f aca="false">ROUND((P35+Q35)*Assumptions!$B$8,1)</f>
        <v>1</v>
      </c>
      <c r="S35" s="31" t="n">
        <f aca="false">IF($O35="Y",ROUND(Q35*Assumptions!$B$9,1),0)</f>
        <v>2</v>
      </c>
      <c r="T35" s="31" t="n">
        <f aca="false">ROUND((P35+Q35)*Assumptions!$B$10,1)</f>
        <v>2.8</v>
      </c>
      <c r="U35" s="9" t="n">
        <f aca="false">SUM(P35:T35)</f>
        <v>13.8</v>
      </c>
      <c r="V35" s="34" t="s">
        <v>320</v>
      </c>
      <c r="W35" s="28"/>
    </row>
    <row r="36" customFormat="false" ht="23.85" hidden="false" customHeight="false" outlineLevel="0" collapsed="false">
      <c r="A36" s="7" t="s">
        <v>352</v>
      </c>
      <c r="B36" s="14" t="s">
        <v>293</v>
      </c>
      <c r="C36" s="6" t="s">
        <v>294</v>
      </c>
      <c r="D36" s="6" t="s">
        <v>353</v>
      </c>
      <c r="E36" s="6" t="s">
        <v>354</v>
      </c>
      <c r="F36" s="28" t="s">
        <v>142</v>
      </c>
      <c r="G36" s="29" t="s">
        <v>143</v>
      </c>
      <c r="H36" s="29" t="s">
        <v>244</v>
      </c>
      <c r="I36" s="28" t="s">
        <v>355</v>
      </c>
      <c r="J36" s="28" t="s">
        <v>356</v>
      </c>
      <c r="K36" s="28" t="s">
        <v>357</v>
      </c>
      <c r="L36" s="6" t="s">
        <v>283</v>
      </c>
      <c r="M36" s="22" t="s">
        <v>73</v>
      </c>
      <c r="N36" s="22" t="s">
        <v>71</v>
      </c>
      <c r="O36" s="22" t="s">
        <v>149</v>
      </c>
      <c r="P36" s="31" t="n">
        <f aca="false">IFERROR(VLOOKUP($M36,Assumptions!$A$15:$B$20,2,FALSE()),0)</f>
        <v>5</v>
      </c>
      <c r="Q36" s="31" t="n">
        <f aca="false">IFERROR(VLOOKUP($N36,Assumptions!$A$15:$B$20,2,FALSE()),0)</f>
        <v>3</v>
      </c>
      <c r="R36" s="31" t="n">
        <f aca="false">ROUND((P36+Q36)*Assumptions!$B$8,1)</f>
        <v>1</v>
      </c>
      <c r="S36" s="31" t="n">
        <f aca="false">IF($O36="Y",ROUND(Q36*Assumptions!$B$9,1),0)</f>
        <v>0</v>
      </c>
      <c r="T36" s="31" t="n">
        <f aca="false">ROUND((P36+Q36)*Assumptions!$B$10,1)</f>
        <v>2.8</v>
      </c>
      <c r="U36" s="9" t="n">
        <f aca="false">SUM(P36:T36)</f>
        <v>11.8</v>
      </c>
      <c r="V36" s="14" t="s">
        <v>79</v>
      </c>
      <c r="W36" s="28" t="s">
        <v>358</v>
      </c>
    </row>
    <row r="37" customFormat="false" ht="32.8" hidden="false" customHeight="false" outlineLevel="0" collapsed="false">
      <c r="A37" s="7" t="s">
        <v>359</v>
      </c>
      <c r="B37" s="14" t="s">
        <v>293</v>
      </c>
      <c r="C37" s="6" t="s">
        <v>294</v>
      </c>
      <c r="D37" s="6" t="s">
        <v>360</v>
      </c>
      <c r="E37" s="6" t="s">
        <v>361</v>
      </c>
      <c r="F37" s="28" t="s">
        <v>142</v>
      </c>
      <c r="G37" s="29" t="s">
        <v>143</v>
      </c>
      <c r="H37" s="29" t="s">
        <v>244</v>
      </c>
      <c r="I37" s="28" t="s">
        <v>362</v>
      </c>
      <c r="J37" s="28" t="s">
        <v>363</v>
      </c>
      <c r="K37" s="28" t="s">
        <v>364</v>
      </c>
      <c r="L37" s="6" t="s">
        <v>162</v>
      </c>
      <c r="M37" s="22" t="s">
        <v>73</v>
      </c>
      <c r="N37" s="22" t="s">
        <v>71</v>
      </c>
      <c r="O37" s="22" t="s">
        <v>149</v>
      </c>
      <c r="P37" s="31" t="n">
        <f aca="false">IFERROR(VLOOKUP($M37,Assumptions!$A$15:$B$20,2,FALSE()),0)</f>
        <v>5</v>
      </c>
      <c r="Q37" s="31" t="n">
        <f aca="false">IFERROR(VLOOKUP($N37,Assumptions!$A$15:$B$20,2,FALSE()),0)</f>
        <v>3</v>
      </c>
      <c r="R37" s="31" t="n">
        <f aca="false">ROUND((P37+Q37)*Assumptions!$B$8,1)</f>
        <v>1</v>
      </c>
      <c r="S37" s="31" t="n">
        <f aca="false">IF($O37="Y",ROUND(Q37*Assumptions!$B$9,1),0)</f>
        <v>0</v>
      </c>
      <c r="T37" s="31" t="n">
        <f aca="false">ROUND((P37+Q37)*Assumptions!$B$10,1)</f>
        <v>2.8</v>
      </c>
      <c r="U37" s="9" t="n">
        <f aca="false">SUM(P37:T37)</f>
        <v>11.8</v>
      </c>
      <c r="V37" s="14" t="s">
        <v>79</v>
      </c>
      <c r="W37" s="28" t="s">
        <v>365</v>
      </c>
    </row>
    <row r="38" customFormat="false" ht="23.85" hidden="false" customHeight="false" outlineLevel="0" collapsed="false">
      <c r="A38" s="7" t="s">
        <v>366</v>
      </c>
      <c r="B38" s="14" t="s">
        <v>293</v>
      </c>
      <c r="C38" s="6" t="s">
        <v>294</v>
      </c>
      <c r="D38" s="6" t="s">
        <v>367</v>
      </c>
      <c r="E38" s="6" t="s">
        <v>368</v>
      </c>
      <c r="F38" s="28" t="s">
        <v>369</v>
      </c>
      <c r="G38" s="32" t="s">
        <v>265</v>
      </c>
      <c r="H38" s="29" t="s">
        <v>244</v>
      </c>
      <c r="I38" s="28" t="s">
        <v>370</v>
      </c>
      <c r="J38" s="28" t="s">
        <v>371</v>
      </c>
      <c r="K38" s="28" t="s">
        <v>372</v>
      </c>
      <c r="L38" s="6" t="s">
        <v>312</v>
      </c>
      <c r="M38" s="22" t="s">
        <v>71</v>
      </c>
      <c r="N38" s="22" t="s">
        <v>71</v>
      </c>
      <c r="O38" s="22" t="s">
        <v>149</v>
      </c>
      <c r="P38" s="31" t="n">
        <f aca="false">IFERROR(VLOOKUP($M38,Assumptions!$A$15:$B$20,2,FALSE()),0)</f>
        <v>3</v>
      </c>
      <c r="Q38" s="31" t="n">
        <f aca="false">IFERROR(VLOOKUP($N38,Assumptions!$A$15:$B$20,2,FALSE()),0)</f>
        <v>3</v>
      </c>
      <c r="R38" s="31" t="n">
        <f aca="false">ROUND((P38+Q38)*Assumptions!$B$8,1)</f>
        <v>0.7</v>
      </c>
      <c r="S38" s="31" t="n">
        <f aca="false">IF($O38="Y",ROUND(Q38*Assumptions!$B$9,1),0)</f>
        <v>0</v>
      </c>
      <c r="T38" s="31" t="n">
        <f aca="false">ROUND((P38+Q38)*Assumptions!$B$10,1)</f>
        <v>2.1</v>
      </c>
      <c r="U38" s="9" t="n">
        <f aca="false">SUM(P38:T38)</f>
        <v>8.8</v>
      </c>
      <c r="V38" s="34" t="s">
        <v>320</v>
      </c>
      <c r="W38" s="28" t="s">
        <v>373</v>
      </c>
    </row>
    <row r="39" customFormat="false" ht="23.85" hidden="false" customHeight="false" outlineLevel="0" collapsed="false">
      <c r="A39" s="7" t="s">
        <v>374</v>
      </c>
      <c r="B39" s="14" t="s">
        <v>293</v>
      </c>
      <c r="C39" s="6" t="s">
        <v>294</v>
      </c>
      <c r="D39" s="6" t="s">
        <v>375</v>
      </c>
      <c r="E39" s="6" t="s">
        <v>376</v>
      </c>
      <c r="F39" s="28" t="s">
        <v>369</v>
      </c>
      <c r="G39" s="32" t="s">
        <v>265</v>
      </c>
      <c r="H39" s="29" t="s">
        <v>244</v>
      </c>
      <c r="I39" s="28" t="s">
        <v>377</v>
      </c>
      <c r="J39" s="28" t="s">
        <v>378</v>
      </c>
      <c r="K39" s="28" t="s">
        <v>379</v>
      </c>
      <c r="L39" s="6" t="s">
        <v>312</v>
      </c>
      <c r="M39" s="22" t="s">
        <v>71</v>
      </c>
      <c r="N39" s="22" t="s">
        <v>71</v>
      </c>
      <c r="O39" s="22" t="s">
        <v>149</v>
      </c>
      <c r="P39" s="31" t="n">
        <f aca="false">IFERROR(VLOOKUP($M39,Assumptions!$A$15:$B$20,2,FALSE()),0)</f>
        <v>3</v>
      </c>
      <c r="Q39" s="31" t="n">
        <f aca="false">IFERROR(VLOOKUP($N39,Assumptions!$A$15:$B$20,2,FALSE()),0)</f>
        <v>3</v>
      </c>
      <c r="R39" s="31" t="n">
        <f aca="false">ROUND((P39+Q39)*Assumptions!$B$8,1)</f>
        <v>0.7</v>
      </c>
      <c r="S39" s="31" t="n">
        <f aca="false">IF($O39="Y",ROUND(Q39*Assumptions!$B$9,1),0)</f>
        <v>0</v>
      </c>
      <c r="T39" s="31" t="n">
        <f aca="false">ROUND((P39+Q39)*Assumptions!$B$10,1)</f>
        <v>2.1</v>
      </c>
      <c r="U39" s="9" t="n">
        <f aca="false">SUM(P39:T39)</f>
        <v>8.8</v>
      </c>
      <c r="V39" s="34" t="s">
        <v>320</v>
      </c>
      <c r="W39" s="28"/>
    </row>
    <row r="40" customFormat="false" ht="32.8" hidden="false" customHeight="false" outlineLevel="0" collapsed="false">
      <c r="A40" s="7" t="s">
        <v>380</v>
      </c>
      <c r="B40" s="14" t="s">
        <v>293</v>
      </c>
      <c r="C40" s="6" t="s">
        <v>294</v>
      </c>
      <c r="D40" s="6" t="s">
        <v>381</v>
      </c>
      <c r="E40" s="6" t="s">
        <v>382</v>
      </c>
      <c r="F40" s="28" t="s">
        <v>369</v>
      </c>
      <c r="G40" s="32" t="s">
        <v>265</v>
      </c>
      <c r="H40" s="29" t="s">
        <v>244</v>
      </c>
      <c r="I40" s="28" t="s">
        <v>383</v>
      </c>
      <c r="J40" s="28" t="s">
        <v>384</v>
      </c>
      <c r="K40" s="28" t="s">
        <v>385</v>
      </c>
      <c r="L40" s="6" t="s">
        <v>292</v>
      </c>
      <c r="M40" s="22" t="s">
        <v>73</v>
      </c>
      <c r="N40" s="22" t="s">
        <v>71</v>
      </c>
      <c r="O40" s="22" t="s">
        <v>149</v>
      </c>
      <c r="P40" s="31" t="n">
        <f aca="false">IFERROR(VLOOKUP($M40,Assumptions!$A$15:$B$20,2,FALSE()),0)</f>
        <v>5</v>
      </c>
      <c r="Q40" s="31" t="n">
        <f aca="false">IFERROR(VLOOKUP($N40,Assumptions!$A$15:$B$20,2,FALSE()),0)</f>
        <v>3</v>
      </c>
      <c r="R40" s="31" t="n">
        <f aca="false">ROUND((P40+Q40)*Assumptions!$B$8,1)</f>
        <v>1</v>
      </c>
      <c r="S40" s="31" t="n">
        <f aca="false">IF($O40="Y",ROUND(Q40*Assumptions!$B$9,1),0)</f>
        <v>0</v>
      </c>
      <c r="T40" s="31" t="n">
        <f aca="false">ROUND((P40+Q40)*Assumptions!$B$10,1)</f>
        <v>2.8</v>
      </c>
      <c r="U40" s="9" t="n">
        <f aca="false">SUM(P40:T40)</f>
        <v>11.8</v>
      </c>
      <c r="V40" s="35" t="s">
        <v>386</v>
      </c>
      <c r="W40" s="28" t="s">
        <v>387</v>
      </c>
    </row>
    <row r="41" customFormat="false" ht="32.8" hidden="false" customHeight="false" outlineLevel="0" collapsed="false">
      <c r="A41" s="7" t="s">
        <v>388</v>
      </c>
      <c r="B41" s="14" t="s">
        <v>293</v>
      </c>
      <c r="C41" s="6" t="s">
        <v>294</v>
      </c>
      <c r="D41" s="6" t="s">
        <v>389</v>
      </c>
      <c r="E41" s="6" t="s">
        <v>390</v>
      </c>
      <c r="F41" s="28" t="s">
        <v>391</v>
      </c>
      <c r="G41" s="32" t="s">
        <v>265</v>
      </c>
      <c r="H41" s="29" t="s">
        <v>244</v>
      </c>
      <c r="I41" s="28" t="s">
        <v>392</v>
      </c>
      <c r="J41" s="28" t="s">
        <v>393</v>
      </c>
      <c r="K41" s="28" t="s">
        <v>394</v>
      </c>
      <c r="L41" s="6" t="s">
        <v>395</v>
      </c>
      <c r="M41" s="22" t="s">
        <v>73</v>
      </c>
      <c r="N41" s="22" t="s">
        <v>71</v>
      </c>
      <c r="O41" s="22" t="s">
        <v>149</v>
      </c>
      <c r="P41" s="31" t="n">
        <f aca="false">IFERROR(VLOOKUP($M41,Assumptions!$A$15:$B$20,2,FALSE()),0)</f>
        <v>5</v>
      </c>
      <c r="Q41" s="31" t="n">
        <f aca="false">IFERROR(VLOOKUP($N41,Assumptions!$A$15:$B$20,2,FALSE()),0)</f>
        <v>3</v>
      </c>
      <c r="R41" s="31" t="n">
        <f aca="false">ROUND((P41+Q41)*Assumptions!$B$8,1)</f>
        <v>1</v>
      </c>
      <c r="S41" s="31" t="n">
        <f aca="false">IF($O41="Y",ROUND(Q41*Assumptions!$B$9,1),0)</f>
        <v>0</v>
      </c>
      <c r="T41" s="31" t="n">
        <f aca="false">ROUND((P41+Q41)*Assumptions!$B$10,1)</f>
        <v>2.8</v>
      </c>
      <c r="U41" s="9" t="n">
        <f aca="false">SUM(P41:T41)</f>
        <v>11.8</v>
      </c>
      <c r="V41" s="36" t="s">
        <v>396</v>
      </c>
      <c r="W41" s="28" t="s">
        <v>397</v>
      </c>
    </row>
    <row r="42" customFormat="false" ht="23.85" hidden="false" customHeight="false" outlineLevel="0" collapsed="false">
      <c r="A42" s="7" t="s">
        <v>398</v>
      </c>
      <c r="B42" s="14" t="s">
        <v>293</v>
      </c>
      <c r="C42" s="6" t="s">
        <v>294</v>
      </c>
      <c r="D42" s="6" t="s">
        <v>399</v>
      </c>
      <c r="E42" s="6" t="s">
        <v>400</v>
      </c>
      <c r="F42" s="28" t="s">
        <v>142</v>
      </c>
      <c r="G42" s="32" t="s">
        <v>265</v>
      </c>
      <c r="H42" s="32" t="s">
        <v>272</v>
      </c>
      <c r="I42" s="28" t="s">
        <v>401</v>
      </c>
      <c r="J42" s="28" t="s">
        <v>402</v>
      </c>
      <c r="K42" s="28" t="s">
        <v>403</v>
      </c>
      <c r="L42" s="6" t="s">
        <v>192</v>
      </c>
      <c r="M42" s="22" t="s">
        <v>71</v>
      </c>
      <c r="N42" s="22" t="s">
        <v>71</v>
      </c>
      <c r="O42" s="22" t="s">
        <v>149</v>
      </c>
      <c r="P42" s="31" t="n">
        <f aca="false">IFERROR(VLOOKUP($M42,Assumptions!$A$15:$B$20,2,FALSE()),0)</f>
        <v>3</v>
      </c>
      <c r="Q42" s="31" t="n">
        <f aca="false">IFERROR(VLOOKUP($N42,Assumptions!$A$15:$B$20,2,FALSE()),0)</f>
        <v>3</v>
      </c>
      <c r="R42" s="31" t="n">
        <f aca="false">ROUND((P42+Q42)*Assumptions!$B$8,1)</f>
        <v>0.7</v>
      </c>
      <c r="S42" s="31" t="n">
        <f aca="false">IF($O42="Y",ROUND(Q42*Assumptions!$B$9,1),0)</f>
        <v>0</v>
      </c>
      <c r="T42" s="31" t="n">
        <f aca="false">ROUND((P42+Q42)*Assumptions!$B$10,1)</f>
        <v>2.1</v>
      </c>
      <c r="U42" s="9" t="n">
        <f aca="false">SUM(P42:T42)</f>
        <v>8.8</v>
      </c>
      <c r="V42" s="14" t="s">
        <v>79</v>
      </c>
      <c r="W42" s="28"/>
    </row>
    <row r="43" customFormat="false" ht="32.8" hidden="false" customHeight="false" outlineLevel="0" collapsed="false">
      <c r="A43" s="7" t="s">
        <v>404</v>
      </c>
      <c r="B43" s="14" t="s">
        <v>293</v>
      </c>
      <c r="C43" s="6" t="s">
        <v>294</v>
      </c>
      <c r="D43" s="6" t="s">
        <v>405</v>
      </c>
      <c r="E43" s="6" t="s">
        <v>406</v>
      </c>
      <c r="F43" s="28" t="s">
        <v>142</v>
      </c>
      <c r="G43" s="32" t="s">
        <v>265</v>
      </c>
      <c r="H43" s="32" t="s">
        <v>272</v>
      </c>
      <c r="I43" s="28" t="s">
        <v>407</v>
      </c>
      <c r="J43" s="28" t="s">
        <v>408</v>
      </c>
      <c r="K43" s="28" t="s">
        <v>409</v>
      </c>
      <c r="L43" s="6" t="s">
        <v>283</v>
      </c>
      <c r="M43" s="22" t="s">
        <v>71</v>
      </c>
      <c r="N43" s="22" t="s">
        <v>71</v>
      </c>
      <c r="O43" s="22" t="s">
        <v>149</v>
      </c>
      <c r="P43" s="31" t="n">
        <f aca="false">IFERROR(VLOOKUP($M43,Assumptions!$A$15:$B$20,2,FALSE()),0)</f>
        <v>3</v>
      </c>
      <c r="Q43" s="31" t="n">
        <f aca="false">IFERROR(VLOOKUP($N43,Assumptions!$A$15:$B$20,2,FALSE()),0)</f>
        <v>3</v>
      </c>
      <c r="R43" s="31" t="n">
        <f aca="false">ROUND((P43+Q43)*Assumptions!$B$8,1)</f>
        <v>0.7</v>
      </c>
      <c r="S43" s="31" t="n">
        <f aca="false">IF($O43="Y",ROUND(Q43*Assumptions!$B$9,1),0)</f>
        <v>0</v>
      </c>
      <c r="T43" s="31" t="n">
        <f aca="false">ROUND((P43+Q43)*Assumptions!$B$10,1)</f>
        <v>2.1</v>
      </c>
      <c r="U43" s="9" t="n">
        <f aca="false">SUM(P43:T43)</f>
        <v>8.8</v>
      </c>
      <c r="V43" s="14" t="s">
        <v>79</v>
      </c>
      <c r="W43" s="28"/>
    </row>
    <row r="44" customFormat="false" ht="23.85" hidden="false" customHeight="false" outlineLevel="0" collapsed="false">
      <c r="A44" s="7" t="s">
        <v>410</v>
      </c>
      <c r="B44" s="14" t="s">
        <v>293</v>
      </c>
      <c r="C44" s="6" t="s">
        <v>294</v>
      </c>
      <c r="D44" s="6" t="s">
        <v>411</v>
      </c>
      <c r="E44" s="6" t="s">
        <v>412</v>
      </c>
      <c r="F44" s="28" t="s">
        <v>142</v>
      </c>
      <c r="G44" s="32" t="s">
        <v>265</v>
      </c>
      <c r="H44" s="32" t="s">
        <v>272</v>
      </c>
      <c r="I44" s="28" t="s">
        <v>413</v>
      </c>
      <c r="J44" s="28" t="s">
        <v>414</v>
      </c>
      <c r="K44" s="28" t="s">
        <v>415</v>
      </c>
      <c r="L44" s="6" t="s">
        <v>292</v>
      </c>
      <c r="M44" s="22" t="s">
        <v>71</v>
      </c>
      <c r="N44" s="22" t="s">
        <v>71</v>
      </c>
      <c r="O44" s="22" t="s">
        <v>149</v>
      </c>
      <c r="P44" s="31" t="n">
        <f aca="false">IFERROR(VLOOKUP($M44,Assumptions!$A$15:$B$20,2,FALSE()),0)</f>
        <v>3</v>
      </c>
      <c r="Q44" s="31" t="n">
        <f aca="false">IFERROR(VLOOKUP($N44,Assumptions!$A$15:$B$20,2,FALSE()),0)</f>
        <v>3</v>
      </c>
      <c r="R44" s="31" t="n">
        <f aca="false">ROUND((P44+Q44)*Assumptions!$B$8,1)</f>
        <v>0.7</v>
      </c>
      <c r="S44" s="31" t="n">
        <f aca="false">IF($O44="Y",ROUND(Q44*Assumptions!$B$9,1),0)</f>
        <v>0</v>
      </c>
      <c r="T44" s="31" t="n">
        <f aca="false">ROUND((P44+Q44)*Assumptions!$B$10,1)</f>
        <v>2.1</v>
      </c>
      <c r="U44" s="9" t="n">
        <f aca="false">SUM(P44:T44)</f>
        <v>8.8</v>
      </c>
      <c r="V44" s="14" t="s">
        <v>79</v>
      </c>
      <c r="W44" s="28"/>
    </row>
    <row r="45" customFormat="false" ht="23.85" hidden="false" customHeight="false" outlineLevel="0" collapsed="false">
      <c r="A45" s="7" t="s">
        <v>416</v>
      </c>
      <c r="B45" s="14" t="s">
        <v>293</v>
      </c>
      <c r="C45" s="6" t="s">
        <v>294</v>
      </c>
      <c r="D45" s="6" t="s">
        <v>417</v>
      </c>
      <c r="E45" s="6" t="s">
        <v>418</v>
      </c>
      <c r="F45" s="28" t="s">
        <v>142</v>
      </c>
      <c r="G45" s="32" t="s">
        <v>265</v>
      </c>
      <c r="H45" s="32" t="s">
        <v>272</v>
      </c>
      <c r="I45" s="28" t="s">
        <v>419</v>
      </c>
      <c r="J45" s="28" t="s">
        <v>79</v>
      </c>
      <c r="K45" s="28" t="s">
        <v>420</v>
      </c>
      <c r="L45" s="6" t="s">
        <v>380</v>
      </c>
      <c r="M45" s="22" t="s">
        <v>73</v>
      </c>
      <c r="N45" s="22" t="s">
        <v>79</v>
      </c>
      <c r="O45" s="22" t="s">
        <v>149</v>
      </c>
      <c r="P45" s="31" t="n">
        <f aca="false">IFERROR(VLOOKUP($M45,Assumptions!$A$15:$B$20,2,FALSE()),0)</f>
        <v>5</v>
      </c>
      <c r="Q45" s="31" t="n">
        <f aca="false">IFERROR(VLOOKUP($N45,Assumptions!$A$15:$B$20,2,FALSE()),0)</f>
        <v>0</v>
      </c>
      <c r="R45" s="31" t="n">
        <f aca="false">ROUND((P45+Q45)*Assumptions!$B$8,1)</f>
        <v>0.6</v>
      </c>
      <c r="S45" s="31" t="n">
        <f aca="false">IF($O45="Y",ROUND(Q45*Assumptions!$B$9,1),0)</f>
        <v>0</v>
      </c>
      <c r="T45" s="31" t="n">
        <f aca="false">ROUND((P45+Q45)*Assumptions!$B$10,1)</f>
        <v>1.8</v>
      </c>
      <c r="U45" s="9" t="n">
        <f aca="false">SUM(P45:T45)</f>
        <v>7.4</v>
      </c>
      <c r="V45" s="14" t="s">
        <v>79</v>
      </c>
      <c r="W45" s="28" t="s">
        <v>421</v>
      </c>
    </row>
    <row r="46" customFormat="false" ht="23.85" hidden="false" customHeight="false" outlineLevel="0" collapsed="false">
      <c r="A46" s="7" t="s">
        <v>422</v>
      </c>
      <c r="B46" s="14" t="s">
        <v>293</v>
      </c>
      <c r="C46" s="6" t="s">
        <v>294</v>
      </c>
      <c r="D46" s="6" t="s">
        <v>423</v>
      </c>
      <c r="E46" s="6" t="s">
        <v>424</v>
      </c>
      <c r="F46" s="28" t="s">
        <v>315</v>
      </c>
      <c r="G46" s="32" t="s">
        <v>265</v>
      </c>
      <c r="H46" s="32" t="s">
        <v>272</v>
      </c>
      <c r="I46" s="28" t="s">
        <v>425</v>
      </c>
      <c r="J46" s="28" t="s">
        <v>426</v>
      </c>
      <c r="K46" s="28" t="s">
        <v>427</v>
      </c>
      <c r="L46" s="6" t="s">
        <v>428</v>
      </c>
      <c r="M46" s="22" t="s">
        <v>73</v>
      </c>
      <c r="N46" s="22" t="s">
        <v>73</v>
      </c>
      <c r="O46" s="22" t="s">
        <v>169</v>
      </c>
      <c r="P46" s="31" t="n">
        <f aca="false">IFERROR(VLOOKUP($M46,Assumptions!$A$15:$B$20,2,FALSE()),0)</f>
        <v>5</v>
      </c>
      <c r="Q46" s="31" t="n">
        <f aca="false">IFERROR(VLOOKUP($N46,Assumptions!$A$15:$B$20,2,FALSE()),0)</f>
        <v>5</v>
      </c>
      <c r="R46" s="31" t="n">
        <f aca="false">ROUND((P46+Q46)*Assumptions!$B$8,1)</f>
        <v>1.2</v>
      </c>
      <c r="S46" s="31" t="n">
        <f aca="false">IF($O46="Y",ROUND(Q46*Assumptions!$B$9,1),0)</f>
        <v>2</v>
      </c>
      <c r="T46" s="31" t="n">
        <f aca="false">ROUND((P46+Q46)*Assumptions!$B$10,1)</f>
        <v>3.5</v>
      </c>
      <c r="U46" s="9" t="n">
        <f aca="false">SUM(P46:T46)</f>
        <v>16.7</v>
      </c>
      <c r="V46" s="35" t="s">
        <v>386</v>
      </c>
      <c r="W46" s="28"/>
    </row>
    <row r="47" customFormat="false" ht="23.85" hidden="false" customHeight="false" outlineLevel="0" collapsed="false">
      <c r="A47" s="7" t="s">
        <v>429</v>
      </c>
      <c r="B47" s="14" t="s">
        <v>293</v>
      </c>
      <c r="C47" s="6" t="s">
        <v>294</v>
      </c>
      <c r="D47" s="6" t="s">
        <v>430</v>
      </c>
      <c r="E47" s="6" t="s">
        <v>431</v>
      </c>
      <c r="F47" s="28" t="s">
        <v>142</v>
      </c>
      <c r="G47" s="33" t="s">
        <v>286</v>
      </c>
      <c r="H47" s="33" t="s">
        <v>287</v>
      </c>
      <c r="I47" s="28" t="s">
        <v>432</v>
      </c>
      <c r="J47" s="28" t="s">
        <v>433</v>
      </c>
      <c r="K47" s="28" t="s">
        <v>434</v>
      </c>
      <c r="L47" s="6" t="s">
        <v>321</v>
      </c>
      <c r="M47" s="22" t="s">
        <v>71</v>
      </c>
      <c r="N47" s="22" t="s">
        <v>71</v>
      </c>
      <c r="O47" s="22" t="s">
        <v>149</v>
      </c>
      <c r="P47" s="31" t="n">
        <f aca="false">IFERROR(VLOOKUP($M47,Assumptions!$A$15:$B$20,2,FALSE()),0)</f>
        <v>3</v>
      </c>
      <c r="Q47" s="31" t="n">
        <f aca="false">IFERROR(VLOOKUP($N47,Assumptions!$A$15:$B$20,2,FALSE()),0)</f>
        <v>3</v>
      </c>
      <c r="R47" s="31" t="n">
        <f aca="false">ROUND((P47+Q47)*Assumptions!$B$8,1)</f>
        <v>0.7</v>
      </c>
      <c r="S47" s="31" t="n">
        <f aca="false">IF($O47="Y",ROUND(Q47*Assumptions!$B$9,1),0)</f>
        <v>0</v>
      </c>
      <c r="T47" s="31" t="n">
        <f aca="false">ROUND((P47+Q47)*Assumptions!$B$10,1)</f>
        <v>2.1</v>
      </c>
      <c r="U47" s="9" t="n">
        <f aca="false">SUM(P47:T47)</f>
        <v>8.8</v>
      </c>
      <c r="V47" s="14" t="s">
        <v>79</v>
      </c>
      <c r="W47" s="28"/>
    </row>
    <row r="48" customFormat="false" ht="23.85" hidden="false" customHeight="false" outlineLevel="0" collapsed="false">
      <c r="A48" s="7" t="s">
        <v>435</v>
      </c>
      <c r="B48" s="14" t="s">
        <v>436</v>
      </c>
      <c r="C48" s="6" t="s">
        <v>437</v>
      </c>
      <c r="D48" s="6" t="s">
        <v>438</v>
      </c>
      <c r="E48" s="6" t="s">
        <v>439</v>
      </c>
      <c r="F48" s="28" t="s">
        <v>440</v>
      </c>
      <c r="G48" s="29" t="s">
        <v>143</v>
      </c>
      <c r="H48" s="30" t="s">
        <v>144</v>
      </c>
      <c r="I48" s="28" t="s">
        <v>441</v>
      </c>
      <c r="J48" s="28" t="s">
        <v>442</v>
      </c>
      <c r="K48" s="28" t="s">
        <v>443</v>
      </c>
      <c r="L48" s="6" t="s">
        <v>150</v>
      </c>
      <c r="M48" s="22" t="s">
        <v>71</v>
      </c>
      <c r="N48" s="22" t="s">
        <v>71</v>
      </c>
      <c r="O48" s="22" t="s">
        <v>169</v>
      </c>
      <c r="P48" s="31" t="n">
        <f aca="false">IFERROR(VLOOKUP($M48,Assumptions!$A$15:$B$20,2,FALSE()),0)</f>
        <v>3</v>
      </c>
      <c r="Q48" s="31" t="n">
        <f aca="false">IFERROR(VLOOKUP($N48,Assumptions!$A$15:$B$20,2,FALSE()),0)</f>
        <v>3</v>
      </c>
      <c r="R48" s="31" t="n">
        <f aca="false">ROUND((P48+Q48)*Assumptions!$B$8,1)</f>
        <v>0.7</v>
      </c>
      <c r="S48" s="31" t="n">
        <f aca="false">IF($O48="Y",ROUND(Q48*Assumptions!$B$9,1),0)</f>
        <v>1.2</v>
      </c>
      <c r="T48" s="31" t="n">
        <f aca="false">ROUND((P48+Q48)*Assumptions!$B$10,1)</f>
        <v>2.1</v>
      </c>
      <c r="U48" s="9" t="n">
        <f aca="false">SUM(P48:T48)</f>
        <v>10</v>
      </c>
      <c r="V48" s="34" t="s">
        <v>320</v>
      </c>
      <c r="W48" s="28"/>
    </row>
    <row r="49" customFormat="false" ht="23.85" hidden="false" customHeight="false" outlineLevel="0" collapsed="false">
      <c r="A49" s="7" t="s">
        <v>444</v>
      </c>
      <c r="B49" s="14" t="s">
        <v>436</v>
      </c>
      <c r="C49" s="6" t="s">
        <v>437</v>
      </c>
      <c r="D49" s="6" t="s">
        <v>445</v>
      </c>
      <c r="E49" s="6" t="s">
        <v>446</v>
      </c>
      <c r="F49" s="28" t="s">
        <v>447</v>
      </c>
      <c r="G49" s="32" t="s">
        <v>265</v>
      </c>
      <c r="H49" s="30" t="s">
        <v>144</v>
      </c>
      <c r="I49" s="28" t="s">
        <v>448</v>
      </c>
      <c r="J49" s="28" t="s">
        <v>449</v>
      </c>
      <c r="K49" s="28" t="s">
        <v>450</v>
      </c>
      <c r="L49" s="6" t="s">
        <v>451</v>
      </c>
      <c r="M49" s="22" t="s">
        <v>73</v>
      </c>
      <c r="N49" s="22" t="s">
        <v>71</v>
      </c>
      <c r="O49" s="22" t="s">
        <v>149</v>
      </c>
      <c r="P49" s="31" t="n">
        <f aca="false">IFERROR(VLOOKUP($M49,Assumptions!$A$15:$B$20,2,FALSE()),0)</f>
        <v>5</v>
      </c>
      <c r="Q49" s="31" t="n">
        <f aca="false">IFERROR(VLOOKUP($N49,Assumptions!$A$15:$B$20,2,FALSE()),0)</f>
        <v>3</v>
      </c>
      <c r="R49" s="31" t="n">
        <f aca="false">ROUND((P49+Q49)*Assumptions!$B$8,1)</f>
        <v>1</v>
      </c>
      <c r="S49" s="31" t="n">
        <f aca="false">IF($O49="Y",ROUND(Q49*Assumptions!$B$9,1),0)</f>
        <v>0</v>
      </c>
      <c r="T49" s="31" t="n">
        <f aca="false">ROUND((P49+Q49)*Assumptions!$B$10,1)</f>
        <v>2.8</v>
      </c>
      <c r="U49" s="9" t="n">
        <f aca="false">SUM(P49:T49)</f>
        <v>11.8</v>
      </c>
      <c r="V49" s="34" t="s">
        <v>320</v>
      </c>
      <c r="W49" s="28" t="s">
        <v>452</v>
      </c>
    </row>
    <row r="50" customFormat="false" ht="23.85" hidden="false" customHeight="false" outlineLevel="0" collapsed="false">
      <c r="A50" s="7" t="s">
        <v>451</v>
      </c>
      <c r="B50" s="14" t="s">
        <v>436</v>
      </c>
      <c r="C50" s="6" t="s">
        <v>437</v>
      </c>
      <c r="D50" s="6" t="s">
        <v>453</v>
      </c>
      <c r="E50" s="6" t="s">
        <v>454</v>
      </c>
      <c r="F50" s="28" t="s">
        <v>369</v>
      </c>
      <c r="G50" s="29" t="s">
        <v>143</v>
      </c>
      <c r="H50" s="30" t="s">
        <v>144</v>
      </c>
      <c r="I50" s="28" t="s">
        <v>455</v>
      </c>
      <c r="J50" s="28" t="s">
        <v>456</v>
      </c>
      <c r="K50" s="28" t="s">
        <v>457</v>
      </c>
      <c r="L50" s="6" t="s">
        <v>435</v>
      </c>
      <c r="M50" s="22" t="s">
        <v>73</v>
      </c>
      <c r="N50" s="22" t="s">
        <v>73</v>
      </c>
      <c r="O50" s="22" t="s">
        <v>169</v>
      </c>
      <c r="P50" s="31" t="n">
        <f aca="false">IFERROR(VLOOKUP($M50,Assumptions!$A$15:$B$20,2,FALSE()),0)</f>
        <v>5</v>
      </c>
      <c r="Q50" s="31" t="n">
        <f aca="false">IFERROR(VLOOKUP($N50,Assumptions!$A$15:$B$20,2,FALSE()),0)</f>
        <v>5</v>
      </c>
      <c r="R50" s="31" t="n">
        <f aca="false">ROUND((P50+Q50)*Assumptions!$B$8,1)</f>
        <v>1.2</v>
      </c>
      <c r="S50" s="31" t="n">
        <f aca="false">IF($O50="Y",ROUND(Q50*Assumptions!$B$9,1),0)</f>
        <v>2</v>
      </c>
      <c r="T50" s="31" t="n">
        <f aca="false">ROUND((P50+Q50)*Assumptions!$B$10,1)</f>
        <v>3.5</v>
      </c>
      <c r="U50" s="9" t="n">
        <f aca="false">SUM(P50:T50)</f>
        <v>16.7</v>
      </c>
      <c r="V50" s="34" t="s">
        <v>320</v>
      </c>
      <c r="W50" s="28"/>
    </row>
    <row r="51" customFormat="false" ht="32.8" hidden="false" customHeight="false" outlineLevel="0" collapsed="false">
      <c r="A51" s="7" t="s">
        <v>458</v>
      </c>
      <c r="B51" s="14" t="s">
        <v>436</v>
      </c>
      <c r="C51" s="6" t="s">
        <v>437</v>
      </c>
      <c r="D51" s="6" t="s">
        <v>459</v>
      </c>
      <c r="E51" s="6" t="s">
        <v>460</v>
      </c>
      <c r="F51" s="28" t="s">
        <v>461</v>
      </c>
      <c r="G51" s="29" t="s">
        <v>143</v>
      </c>
      <c r="H51" s="30" t="s">
        <v>144</v>
      </c>
      <c r="I51" s="28" t="s">
        <v>462</v>
      </c>
      <c r="J51" s="28" t="s">
        <v>463</v>
      </c>
      <c r="K51" s="28" t="s">
        <v>464</v>
      </c>
      <c r="L51" s="6" t="s">
        <v>435</v>
      </c>
      <c r="M51" s="22" t="s">
        <v>73</v>
      </c>
      <c r="N51" s="22" t="s">
        <v>73</v>
      </c>
      <c r="O51" s="22" t="s">
        <v>149</v>
      </c>
      <c r="P51" s="31" t="n">
        <f aca="false">IFERROR(VLOOKUP($M51,Assumptions!$A$15:$B$20,2,FALSE()),0)</f>
        <v>5</v>
      </c>
      <c r="Q51" s="31" t="n">
        <f aca="false">IFERROR(VLOOKUP($N51,Assumptions!$A$15:$B$20,2,FALSE()),0)</f>
        <v>5</v>
      </c>
      <c r="R51" s="31" t="n">
        <f aca="false">ROUND((P51+Q51)*Assumptions!$B$8,1)</f>
        <v>1.2</v>
      </c>
      <c r="S51" s="31" t="n">
        <f aca="false">IF($O51="Y",ROUND(Q51*Assumptions!$B$9,1),0)</f>
        <v>0</v>
      </c>
      <c r="T51" s="31" t="n">
        <f aca="false">ROUND((P51+Q51)*Assumptions!$B$10,1)</f>
        <v>3.5</v>
      </c>
      <c r="U51" s="9" t="n">
        <f aca="false">SUM(P51:T51)</f>
        <v>14.7</v>
      </c>
      <c r="V51" s="34" t="s">
        <v>320</v>
      </c>
      <c r="W51" s="28"/>
    </row>
    <row r="52" customFormat="false" ht="23.85" hidden="false" customHeight="false" outlineLevel="0" collapsed="false">
      <c r="A52" s="7" t="s">
        <v>465</v>
      </c>
      <c r="B52" s="14" t="s">
        <v>436</v>
      </c>
      <c r="C52" s="6" t="s">
        <v>437</v>
      </c>
      <c r="D52" s="6" t="s">
        <v>466</v>
      </c>
      <c r="E52" s="6" t="s">
        <v>467</v>
      </c>
      <c r="F52" s="28" t="s">
        <v>369</v>
      </c>
      <c r="G52" s="32" t="s">
        <v>265</v>
      </c>
      <c r="H52" s="30" t="s">
        <v>144</v>
      </c>
      <c r="I52" s="28" t="s">
        <v>468</v>
      </c>
      <c r="J52" s="28" t="s">
        <v>469</v>
      </c>
      <c r="K52" s="28" t="s">
        <v>470</v>
      </c>
      <c r="L52" s="6" t="s">
        <v>150</v>
      </c>
      <c r="M52" s="22" t="s">
        <v>71</v>
      </c>
      <c r="N52" s="22" t="s">
        <v>73</v>
      </c>
      <c r="O52" s="22" t="s">
        <v>169</v>
      </c>
      <c r="P52" s="31" t="n">
        <f aca="false">IFERROR(VLOOKUP($M52,Assumptions!$A$15:$B$20,2,FALSE()),0)</f>
        <v>3</v>
      </c>
      <c r="Q52" s="31" t="n">
        <f aca="false">IFERROR(VLOOKUP($N52,Assumptions!$A$15:$B$20,2,FALSE()),0)</f>
        <v>5</v>
      </c>
      <c r="R52" s="31" t="n">
        <f aca="false">ROUND((P52+Q52)*Assumptions!$B$8,1)</f>
        <v>1</v>
      </c>
      <c r="S52" s="31" t="n">
        <f aca="false">IF($O52="Y",ROUND(Q52*Assumptions!$B$9,1),0)</f>
        <v>2</v>
      </c>
      <c r="T52" s="31" t="n">
        <f aca="false">ROUND((P52+Q52)*Assumptions!$B$10,1)</f>
        <v>2.8</v>
      </c>
      <c r="U52" s="9" t="n">
        <f aca="false">SUM(P52:T52)</f>
        <v>13.8</v>
      </c>
      <c r="V52" s="35" t="s">
        <v>386</v>
      </c>
      <c r="W52" s="28" t="s">
        <v>471</v>
      </c>
    </row>
    <row r="53" customFormat="false" ht="32.8" hidden="false" customHeight="false" outlineLevel="0" collapsed="false">
      <c r="A53" s="7" t="s">
        <v>472</v>
      </c>
      <c r="B53" s="14" t="s">
        <v>436</v>
      </c>
      <c r="C53" s="6" t="s">
        <v>437</v>
      </c>
      <c r="D53" s="6" t="s">
        <v>473</v>
      </c>
      <c r="E53" s="6" t="s">
        <v>474</v>
      </c>
      <c r="F53" s="28" t="s">
        <v>475</v>
      </c>
      <c r="G53" s="29" t="s">
        <v>143</v>
      </c>
      <c r="H53" s="29" t="s">
        <v>244</v>
      </c>
      <c r="I53" s="28" t="s">
        <v>476</v>
      </c>
      <c r="J53" s="28" t="s">
        <v>477</v>
      </c>
      <c r="K53" s="28" t="s">
        <v>478</v>
      </c>
      <c r="L53" s="6" t="s">
        <v>435</v>
      </c>
      <c r="M53" s="22" t="s">
        <v>73</v>
      </c>
      <c r="N53" s="22" t="s">
        <v>73</v>
      </c>
      <c r="O53" s="22" t="s">
        <v>169</v>
      </c>
      <c r="P53" s="31" t="n">
        <f aca="false">IFERROR(VLOOKUP($M53,Assumptions!$A$15:$B$20,2,FALSE()),0)</f>
        <v>5</v>
      </c>
      <c r="Q53" s="31" t="n">
        <f aca="false">IFERROR(VLOOKUP($N53,Assumptions!$A$15:$B$20,2,FALSE()),0)</f>
        <v>5</v>
      </c>
      <c r="R53" s="31" t="n">
        <f aca="false">ROUND((P53+Q53)*Assumptions!$B$8,1)</f>
        <v>1.2</v>
      </c>
      <c r="S53" s="31" t="n">
        <f aca="false">IF($O53="Y",ROUND(Q53*Assumptions!$B$9,1),0)</f>
        <v>2</v>
      </c>
      <c r="T53" s="31" t="n">
        <f aca="false">ROUND((P53+Q53)*Assumptions!$B$10,1)</f>
        <v>3.5</v>
      </c>
      <c r="U53" s="9" t="n">
        <f aca="false">SUM(P53:T53)</f>
        <v>16.7</v>
      </c>
      <c r="V53" s="34" t="s">
        <v>320</v>
      </c>
      <c r="W53" s="28"/>
    </row>
    <row r="54" customFormat="false" ht="23.85" hidden="false" customHeight="false" outlineLevel="0" collapsed="false">
      <c r="A54" s="7" t="s">
        <v>479</v>
      </c>
      <c r="B54" s="14" t="s">
        <v>436</v>
      </c>
      <c r="C54" s="6" t="s">
        <v>437</v>
      </c>
      <c r="D54" s="6" t="s">
        <v>480</v>
      </c>
      <c r="E54" s="6" t="s">
        <v>481</v>
      </c>
      <c r="F54" s="28" t="s">
        <v>369</v>
      </c>
      <c r="G54" s="32" t="s">
        <v>265</v>
      </c>
      <c r="H54" s="32" t="s">
        <v>272</v>
      </c>
      <c r="I54" s="28" t="s">
        <v>482</v>
      </c>
      <c r="J54" s="28" t="s">
        <v>483</v>
      </c>
      <c r="K54" s="28" t="s">
        <v>484</v>
      </c>
      <c r="L54" s="6" t="s">
        <v>485</v>
      </c>
      <c r="M54" s="22" t="s">
        <v>71</v>
      </c>
      <c r="N54" s="22" t="s">
        <v>71</v>
      </c>
      <c r="O54" s="22" t="s">
        <v>149</v>
      </c>
      <c r="P54" s="31" t="n">
        <f aca="false">IFERROR(VLOOKUP($M54,Assumptions!$A$15:$B$20,2,FALSE()),0)</f>
        <v>3</v>
      </c>
      <c r="Q54" s="31" t="n">
        <f aca="false">IFERROR(VLOOKUP($N54,Assumptions!$A$15:$B$20,2,FALSE()),0)</f>
        <v>3</v>
      </c>
      <c r="R54" s="31" t="n">
        <f aca="false">ROUND((P54+Q54)*Assumptions!$B$8,1)</f>
        <v>0.7</v>
      </c>
      <c r="S54" s="31" t="n">
        <f aca="false">IF($O54="Y",ROUND(Q54*Assumptions!$B$9,1),0)</f>
        <v>0</v>
      </c>
      <c r="T54" s="31" t="n">
        <f aca="false">ROUND((P54+Q54)*Assumptions!$B$10,1)</f>
        <v>2.1</v>
      </c>
      <c r="U54" s="9" t="n">
        <f aca="false">SUM(P54:T54)</f>
        <v>8.8</v>
      </c>
      <c r="V54" s="35" t="s">
        <v>386</v>
      </c>
      <c r="W54" s="28"/>
    </row>
    <row r="55" customFormat="false" ht="23.85" hidden="false" customHeight="false" outlineLevel="0" collapsed="false">
      <c r="A55" s="7" t="s">
        <v>486</v>
      </c>
      <c r="B55" s="14" t="s">
        <v>436</v>
      </c>
      <c r="C55" s="6" t="s">
        <v>437</v>
      </c>
      <c r="D55" s="6" t="s">
        <v>487</v>
      </c>
      <c r="E55" s="6" t="s">
        <v>488</v>
      </c>
      <c r="F55" s="28" t="s">
        <v>369</v>
      </c>
      <c r="G55" s="32" t="s">
        <v>265</v>
      </c>
      <c r="H55" s="32" t="s">
        <v>272</v>
      </c>
      <c r="I55" s="28" t="s">
        <v>489</v>
      </c>
      <c r="J55" s="28" t="s">
        <v>490</v>
      </c>
      <c r="K55" s="28" t="s">
        <v>491</v>
      </c>
      <c r="L55" s="6" t="s">
        <v>492</v>
      </c>
      <c r="M55" s="22" t="s">
        <v>69</v>
      </c>
      <c r="N55" s="22" t="s">
        <v>71</v>
      </c>
      <c r="O55" s="22" t="s">
        <v>149</v>
      </c>
      <c r="P55" s="31" t="n">
        <f aca="false">IFERROR(VLOOKUP($M55,Assumptions!$A$15:$B$20,2,FALSE()),0)</f>
        <v>1</v>
      </c>
      <c r="Q55" s="31" t="n">
        <f aca="false">IFERROR(VLOOKUP($N55,Assumptions!$A$15:$B$20,2,FALSE()),0)</f>
        <v>3</v>
      </c>
      <c r="R55" s="31" t="n">
        <f aca="false">ROUND((P55+Q55)*Assumptions!$B$8,1)</f>
        <v>0.5</v>
      </c>
      <c r="S55" s="31" t="n">
        <f aca="false">IF($O55="Y",ROUND(Q55*Assumptions!$B$9,1),0)</f>
        <v>0</v>
      </c>
      <c r="T55" s="31" t="n">
        <f aca="false">ROUND((P55+Q55)*Assumptions!$B$10,1)</f>
        <v>1.4</v>
      </c>
      <c r="U55" s="9" t="n">
        <f aca="false">SUM(P55:T55)</f>
        <v>5.9</v>
      </c>
      <c r="V55" s="34" t="s">
        <v>320</v>
      </c>
      <c r="W55" s="28"/>
    </row>
    <row r="56" customFormat="false" ht="23.85" hidden="false" customHeight="false" outlineLevel="0" collapsed="false">
      <c r="A56" s="7" t="s">
        <v>493</v>
      </c>
      <c r="B56" s="14" t="s">
        <v>436</v>
      </c>
      <c r="C56" s="6" t="s">
        <v>437</v>
      </c>
      <c r="D56" s="6" t="s">
        <v>494</v>
      </c>
      <c r="E56" s="6" t="s">
        <v>495</v>
      </c>
      <c r="F56" s="28" t="s">
        <v>369</v>
      </c>
      <c r="G56" s="32" t="s">
        <v>265</v>
      </c>
      <c r="H56" s="32" t="s">
        <v>272</v>
      </c>
      <c r="I56" s="28" t="s">
        <v>496</v>
      </c>
      <c r="J56" s="28" t="s">
        <v>497</v>
      </c>
      <c r="K56" s="28" t="s">
        <v>498</v>
      </c>
      <c r="L56" s="6" t="s">
        <v>499</v>
      </c>
      <c r="M56" s="22" t="s">
        <v>73</v>
      </c>
      <c r="N56" s="22" t="s">
        <v>71</v>
      </c>
      <c r="O56" s="22" t="s">
        <v>149</v>
      </c>
      <c r="P56" s="31" t="n">
        <f aca="false">IFERROR(VLOOKUP($M56,Assumptions!$A$15:$B$20,2,FALSE()),0)</f>
        <v>5</v>
      </c>
      <c r="Q56" s="31" t="n">
        <f aca="false">IFERROR(VLOOKUP($N56,Assumptions!$A$15:$B$20,2,FALSE()),0)</f>
        <v>3</v>
      </c>
      <c r="R56" s="31" t="n">
        <f aca="false">ROUND((P56+Q56)*Assumptions!$B$8,1)</f>
        <v>1</v>
      </c>
      <c r="S56" s="31" t="n">
        <f aca="false">IF($O56="Y",ROUND(Q56*Assumptions!$B$9,1),0)</f>
        <v>0</v>
      </c>
      <c r="T56" s="31" t="n">
        <f aca="false">ROUND((P56+Q56)*Assumptions!$B$10,1)</f>
        <v>2.8</v>
      </c>
      <c r="U56" s="9" t="n">
        <f aca="false">SUM(P56:T56)</f>
        <v>11.8</v>
      </c>
      <c r="V56" s="35" t="s">
        <v>386</v>
      </c>
      <c r="W56" s="28" t="s">
        <v>500</v>
      </c>
    </row>
    <row r="57" customFormat="false" ht="23.85" hidden="false" customHeight="false" outlineLevel="0" collapsed="false">
      <c r="A57" s="7" t="s">
        <v>501</v>
      </c>
      <c r="B57" s="14" t="s">
        <v>436</v>
      </c>
      <c r="C57" s="6" t="s">
        <v>437</v>
      </c>
      <c r="D57" s="6" t="s">
        <v>502</v>
      </c>
      <c r="E57" s="6" t="s">
        <v>503</v>
      </c>
      <c r="F57" s="28" t="s">
        <v>504</v>
      </c>
      <c r="G57" s="33" t="s">
        <v>286</v>
      </c>
      <c r="H57" s="33" t="s">
        <v>287</v>
      </c>
      <c r="I57" s="28" t="s">
        <v>505</v>
      </c>
      <c r="J57" s="28" t="s">
        <v>506</v>
      </c>
      <c r="K57" s="28" t="s">
        <v>507</v>
      </c>
      <c r="L57" s="6" t="s">
        <v>435</v>
      </c>
      <c r="M57" s="22" t="s">
        <v>69</v>
      </c>
      <c r="N57" s="22" t="s">
        <v>69</v>
      </c>
      <c r="O57" s="22" t="s">
        <v>149</v>
      </c>
      <c r="P57" s="31" t="n">
        <f aca="false">IFERROR(VLOOKUP($M57,Assumptions!$A$15:$B$20,2,FALSE()),0)</f>
        <v>1</v>
      </c>
      <c r="Q57" s="31" t="n">
        <f aca="false">IFERROR(VLOOKUP($N57,Assumptions!$A$15:$B$20,2,FALSE()),0)</f>
        <v>1</v>
      </c>
      <c r="R57" s="31" t="n">
        <f aca="false">ROUND((P57+Q57)*Assumptions!$B$8,1)</f>
        <v>0.2</v>
      </c>
      <c r="S57" s="31" t="n">
        <f aca="false">IF($O57="Y",ROUND(Q57*Assumptions!$B$9,1),0)</f>
        <v>0</v>
      </c>
      <c r="T57" s="31" t="n">
        <f aca="false">ROUND((P57+Q57)*Assumptions!$B$10,1)</f>
        <v>0.7</v>
      </c>
      <c r="U57" s="9" t="n">
        <f aca="false">SUM(P57:T57)</f>
        <v>2.9</v>
      </c>
      <c r="V57" s="35" t="s">
        <v>386</v>
      </c>
      <c r="W57" s="28"/>
    </row>
    <row r="58" customFormat="false" ht="43.25" hidden="false" customHeight="false" outlineLevel="0" collapsed="false">
      <c r="A58" s="7" t="s">
        <v>508</v>
      </c>
      <c r="B58" s="14" t="s">
        <v>509</v>
      </c>
      <c r="C58" s="6" t="s">
        <v>510</v>
      </c>
      <c r="D58" s="6" t="s">
        <v>511</v>
      </c>
      <c r="E58" s="6" t="s">
        <v>512</v>
      </c>
      <c r="F58" s="28" t="s">
        <v>513</v>
      </c>
      <c r="G58" s="29" t="s">
        <v>143</v>
      </c>
      <c r="H58" s="29" t="s">
        <v>244</v>
      </c>
      <c r="I58" s="28" t="s">
        <v>514</v>
      </c>
      <c r="J58" s="28" t="s">
        <v>515</v>
      </c>
      <c r="K58" s="28" t="s">
        <v>516</v>
      </c>
      <c r="L58" s="6" t="s">
        <v>517</v>
      </c>
      <c r="M58" s="22" t="s">
        <v>73</v>
      </c>
      <c r="N58" s="22" t="s">
        <v>77</v>
      </c>
      <c r="O58" s="22" t="s">
        <v>169</v>
      </c>
      <c r="P58" s="31" t="n">
        <f aca="false">IFERROR(VLOOKUP($M58,Assumptions!$A$15:$B$20,2,FALSE()),0)</f>
        <v>5</v>
      </c>
      <c r="Q58" s="31" t="n">
        <f aca="false">IFERROR(VLOOKUP($N58,Assumptions!$A$15:$B$20,2,FALSE()),0)</f>
        <v>20</v>
      </c>
      <c r="R58" s="31" t="n">
        <f aca="false">ROUND((P58+Q58)*Assumptions!$B$8,1)</f>
        <v>3</v>
      </c>
      <c r="S58" s="31" t="n">
        <f aca="false">IF($O58="Y",ROUND(Q58*Assumptions!$B$9,1),0)</f>
        <v>8</v>
      </c>
      <c r="T58" s="31" t="n">
        <f aca="false">ROUND((P58+Q58)*Assumptions!$B$10,1)</f>
        <v>8.8</v>
      </c>
      <c r="U58" s="9" t="n">
        <f aca="false">SUM(P58:T58)</f>
        <v>44.8</v>
      </c>
      <c r="V58" s="34" t="s">
        <v>320</v>
      </c>
      <c r="W58" s="28"/>
    </row>
    <row r="59" customFormat="false" ht="23.85" hidden="false" customHeight="false" outlineLevel="0" collapsed="false">
      <c r="A59" s="7" t="s">
        <v>518</v>
      </c>
      <c r="B59" s="14" t="s">
        <v>509</v>
      </c>
      <c r="C59" s="6" t="s">
        <v>510</v>
      </c>
      <c r="D59" s="6" t="s">
        <v>519</v>
      </c>
      <c r="E59" s="6" t="s">
        <v>520</v>
      </c>
      <c r="F59" s="28" t="s">
        <v>521</v>
      </c>
      <c r="G59" s="29" t="s">
        <v>143</v>
      </c>
      <c r="H59" s="29" t="s">
        <v>244</v>
      </c>
      <c r="I59" s="28" t="s">
        <v>522</v>
      </c>
      <c r="J59" s="28" t="s">
        <v>523</v>
      </c>
      <c r="K59" s="28" t="s">
        <v>524</v>
      </c>
      <c r="L59" s="6" t="s">
        <v>508</v>
      </c>
      <c r="M59" s="22" t="s">
        <v>71</v>
      </c>
      <c r="N59" s="22" t="s">
        <v>73</v>
      </c>
      <c r="O59" s="22" t="s">
        <v>169</v>
      </c>
      <c r="P59" s="31" t="n">
        <f aca="false">IFERROR(VLOOKUP($M59,Assumptions!$A$15:$B$20,2,FALSE()),0)</f>
        <v>3</v>
      </c>
      <c r="Q59" s="31" t="n">
        <f aca="false">IFERROR(VLOOKUP($N59,Assumptions!$A$15:$B$20,2,FALSE()),0)</f>
        <v>5</v>
      </c>
      <c r="R59" s="31" t="n">
        <f aca="false">ROUND((P59+Q59)*Assumptions!$B$8,1)</f>
        <v>1</v>
      </c>
      <c r="S59" s="31" t="n">
        <f aca="false">IF($O59="Y",ROUND(Q59*Assumptions!$B$9,1),0)</f>
        <v>2</v>
      </c>
      <c r="T59" s="31" t="n">
        <f aca="false">ROUND((P59+Q59)*Assumptions!$B$10,1)</f>
        <v>2.8</v>
      </c>
      <c r="U59" s="9" t="n">
        <f aca="false">SUM(P59:T59)</f>
        <v>13.8</v>
      </c>
      <c r="V59" s="34" t="s">
        <v>320</v>
      </c>
      <c r="W59" s="28"/>
    </row>
    <row r="60" customFormat="false" ht="32.8" hidden="false" customHeight="false" outlineLevel="0" collapsed="false">
      <c r="A60" s="7" t="s">
        <v>525</v>
      </c>
      <c r="B60" s="14" t="s">
        <v>509</v>
      </c>
      <c r="C60" s="6" t="s">
        <v>510</v>
      </c>
      <c r="D60" s="6" t="s">
        <v>526</v>
      </c>
      <c r="E60" s="6" t="s">
        <v>527</v>
      </c>
      <c r="F60" s="28" t="s">
        <v>521</v>
      </c>
      <c r="G60" s="29" t="s">
        <v>143</v>
      </c>
      <c r="H60" s="29" t="s">
        <v>244</v>
      </c>
      <c r="I60" s="28" t="s">
        <v>528</v>
      </c>
      <c r="J60" s="28" t="s">
        <v>529</v>
      </c>
      <c r="K60" s="28" t="s">
        <v>530</v>
      </c>
      <c r="L60" s="6" t="s">
        <v>518</v>
      </c>
      <c r="M60" s="22" t="s">
        <v>71</v>
      </c>
      <c r="N60" s="22" t="s">
        <v>75</v>
      </c>
      <c r="O60" s="22" t="s">
        <v>149</v>
      </c>
      <c r="P60" s="31" t="n">
        <f aca="false">IFERROR(VLOOKUP($M60,Assumptions!$A$15:$B$20,2,FALSE()),0)</f>
        <v>3</v>
      </c>
      <c r="Q60" s="31" t="n">
        <f aca="false">IFERROR(VLOOKUP($N60,Assumptions!$A$15:$B$20,2,FALSE()),0)</f>
        <v>10</v>
      </c>
      <c r="R60" s="31" t="n">
        <f aca="false">ROUND((P60+Q60)*Assumptions!$B$8,1)</f>
        <v>1.6</v>
      </c>
      <c r="S60" s="31" t="n">
        <f aca="false">IF($O60="Y",ROUND(Q60*Assumptions!$B$9,1),0)</f>
        <v>0</v>
      </c>
      <c r="T60" s="31" t="n">
        <f aca="false">ROUND((P60+Q60)*Assumptions!$B$10,1)</f>
        <v>4.6</v>
      </c>
      <c r="U60" s="9" t="n">
        <f aca="false">SUM(P60:T60)</f>
        <v>19.2</v>
      </c>
      <c r="V60" s="34" t="s">
        <v>320</v>
      </c>
      <c r="W60" s="28"/>
    </row>
    <row r="61" customFormat="false" ht="32.8" hidden="false" customHeight="false" outlineLevel="0" collapsed="false">
      <c r="A61" s="7" t="s">
        <v>531</v>
      </c>
      <c r="B61" s="14" t="s">
        <v>509</v>
      </c>
      <c r="C61" s="6" t="s">
        <v>510</v>
      </c>
      <c r="D61" s="6" t="s">
        <v>532</v>
      </c>
      <c r="E61" s="6" t="s">
        <v>533</v>
      </c>
      <c r="F61" s="28" t="s">
        <v>534</v>
      </c>
      <c r="G61" s="32" t="s">
        <v>265</v>
      </c>
      <c r="H61" s="29" t="s">
        <v>244</v>
      </c>
      <c r="I61" s="28" t="s">
        <v>535</v>
      </c>
      <c r="J61" s="28" t="s">
        <v>536</v>
      </c>
      <c r="K61" s="28" t="s">
        <v>537</v>
      </c>
      <c r="L61" s="6" t="s">
        <v>168</v>
      </c>
      <c r="M61" s="22" t="s">
        <v>75</v>
      </c>
      <c r="N61" s="22" t="s">
        <v>73</v>
      </c>
      <c r="O61" s="22" t="s">
        <v>169</v>
      </c>
      <c r="P61" s="31" t="n">
        <f aca="false">IFERROR(VLOOKUP($M61,Assumptions!$A$15:$B$20,2,FALSE()),0)</f>
        <v>10</v>
      </c>
      <c r="Q61" s="31" t="n">
        <f aca="false">IFERROR(VLOOKUP($N61,Assumptions!$A$15:$B$20,2,FALSE()),0)</f>
        <v>5</v>
      </c>
      <c r="R61" s="31" t="n">
        <f aca="false">ROUND((P61+Q61)*Assumptions!$B$8,1)</f>
        <v>1.8</v>
      </c>
      <c r="S61" s="31" t="n">
        <f aca="false">IF($O61="Y",ROUND(Q61*Assumptions!$B$9,1),0)</f>
        <v>2</v>
      </c>
      <c r="T61" s="31" t="n">
        <f aca="false">ROUND((P61+Q61)*Assumptions!$B$10,1)</f>
        <v>5.3</v>
      </c>
      <c r="U61" s="9" t="n">
        <f aca="false">SUM(P61:T61)</f>
        <v>24.1</v>
      </c>
      <c r="V61" s="34" t="s">
        <v>320</v>
      </c>
      <c r="W61" s="28" t="s">
        <v>538</v>
      </c>
    </row>
    <row r="62" customFormat="false" ht="23.85" hidden="false" customHeight="false" outlineLevel="0" collapsed="false">
      <c r="A62" s="7" t="s">
        <v>539</v>
      </c>
      <c r="B62" s="14" t="s">
        <v>509</v>
      </c>
      <c r="C62" s="6" t="s">
        <v>510</v>
      </c>
      <c r="D62" s="6" t="s">
        <v>540</v>
      </c>
      <c r="E62" s="6" t="s">
        <v>541</v>
      </c>
      <c r="F62" s="28" t="s">
        <v>542</v>
      </c>
      <c r="G62" s="32" t="s">
        <v>265</v>
      </c>
      <c r="H62" s="29" t="s">
        <v>244</v>
      </c>
      <c r="I62" s="28" t="s">
        <v>543</v>
      </c>
      <c r="J62" s="28" t="s">
        <v>544</v>
      </c>
      <c r="K62" s="28" t="s">
        <v>545</v>
      </c>
      <c r="L62" s="6" t="s">
        <v>508</v>
      </c>
      <c r="M62" s="22" t="s">
        <v>71</v>
      </c>
      <c r="N62" s="22" t="s">
        <v>73</v>
      </c>
      <c r="O62" s="22" t="s">
        <v>169</v>
      </c>
      <c r="P62" s="31" t="n">
        <f aca="false">IFERROR(VLOOKUP($M62,Assumptions!$A$15:$B$20,2,FALSE()),0)</f>
        <v>3</v>
      </c>
      <c r="Q62" s="31" t="n">
        <f aca="false">IFERROR(VLOOKUP($N62,Assumptions!$A$15:$B$20,2,FALSE()),0)</f>
        <v>5</v>
      </c>
      <c r="R62" s="31" t="n">
        <f aca="false">ROUND((P62+Q62)*Assumptions!$B$8,1)</f>
        <v>1</v>
      </c>
      <c r="S62" s="31" t="n">
        <f aca="false">IF($O62="Y",ROUND(Q62*Assumptions!$B$9,1),0)</f>
        <v>2</v>
      </c>
      <c r="T62" s="31" t="n">
        <f aca="false">ROUND((P62+Q62)*Assumptions!$B$10,1)</f>
        <v>2.8</v>
      </c>
      <c r="U62" s="9" t="n">
        <f aca="false">SUM(P62:T62)</f>
        <v>13.8</v>
      </c>
      <c r="V62" s="34" t="s">
        <v>320</v>
      </c>
      <c r="W62" s="28" t="s">
        <v>546</v>
      </c>
    </row>
    <row r="63" customFormat="false" ht="32.8" hidden="false" customHeight="false" outlineLevel="0" collapsed="false">
      <c r="A63" s="7" t="s">
        <v>547</v>
      </c>
      <c r="B63" s="14" t="s">
        <v>509</v>
      </c>
      <c r="C63" s="6" t="s">
        <v>510</v>
      </c>
      <c r="D63" s="6" t="s">
        <v>548</v>
      </c>
      <c r="E63" s="6" t="s">
        <v>549</v>
      </c>
      <c r="F63" s="28" t="s">
        <v>550</v>
      </c>
      <c r="G63" s="29" t="s">
        <v>143</v>
      </c>
      <c r="H63" s="29" t="s">
        <v>244</v>
      </c>
      <c r="I63" s="28" t="s">
        <v>551</v>
      </c>
      <c r="J63" s="28" t="s">
        <v>552</v>
      </c>
      <c r="K63" s="28" t="s">
        <v>553</v>
      </c>
      <c r="L63" s="6" t="s">
        <v>554</v>
      </c>
      <c r="M63" s="22" t="s">
        <v>73</v>
      </c>
      <c r="N63" s="22" t="s">
        <v>73</v>
      </c>
      <c r="O63" s="22" t="s">
        <v>169</v>
      </c>
      <c r="P63" s="31" t="n">
        <f aca="false">IFERROR(VLOOKUP($M63,Assumptions!$A$15:$B$20,2,FALSE()),0)</f>
        <v>5</v>
      </c>
      <c r="Q63" s="31" t="n">
        <f aca="false">IFERROR(VLOOKUP($N63,Assumptions!$A$15:$B$20,2,FALSE()),0)</f>
        <v>5</v>
      </c>
      <c r="R63" s="31" t="n">
        <f aca="false">ROUND((P63+Q63)*Assumptions!$B$8,1)</f>
        <v>1.2</v>
      </c>
      <c r="S63" s="31" t="n">
        <f aca="false">IF($O63="Y",ROUND(Q63*Assumptions!$B$9,1),0)</f>
        <v>2</v>
      </c>
      <c r="T63" s="31" t="n">
        <f aca="false">ROUND((P63+Q63)*Assumptions!$B$10,1)</f>
        <v>3.5</v>
      </c>
      <c r="U63" s="9" t="n">
        <f aca="false">SUM(P63:T63)</f>
        <v>16.7</v>
      </c>
      <c r="V63" s="34" t="s">
        <v>320</v>
      </c>
      <c r="W63" s="28" t="s">
        <v>555</v>
      </c>
    </row>
    <row r="64" customFormat="false" ht="23.85" hidden="false" customHeight="false" outlineLevel="0" collapsed="false">
      <c r="A64" s="7" t="s">
        <v>556</v>
      </c>
      <c r="B64" s="14" t="s">
        <v>509</v>
      </c>
      <c r="C64" s="6" t="s">
        <v>510</v>
      </c>
      <c r="D64" s="6" t="s">
        <v>557</v>
      </c>
      <c r="E64" s="6" t="s">
        <v>558</v>
      </c>
      <c r="F64" s="28" t="s">
        <v>559</v>
      </c>
      <c r="G64" s="29" t="s">
        <v>143</v>
      </c>
      <c r="H64" s="29" t="s">
        <v>244</v>
      </c>
      <c r="I64" s="28" t="s">
        <v>560</v>
      </c>
      <c r="J64" s="28" t="s">
        <v>561</v>
      </c>
      <c r="K64" s="28" t="s">
        <v>562</v>
      </c>
      <c r="L64" s="6" t="s">
        <v>563</v>
      </c>
      <c r="M64" s="22" t="s">
        <v>71</v>
      </c>
      <c r="N64" s="22" t="s">
        <v>71</v>
      </c>
      <c r="O64" s="22" t="s">
        <v>149</v>
      </c>
      <c r="P64" s="31" t="n">
        <f aca="false">IFERROR(VLOOKUP($M64,Assumptions!$A$15:$B$20,2,FALSE()),0)</f>
        <v>3</v>
      </c>
      <c r="Q64" s="31" t="n">
        <f aca="false">IFERROR(VLOOKUP($N64,Assumptions!$A$15:$B$20,2,FALSE()),0)</f>
        <v>3</v>
      </c>
      <c r="R64" s="31" t="n">
        <f aca="false">ROUND((P64+Q64)*Assumptions!$B$8,1)</f>
        <v>0.7</v>
      </c>
      <c r="S64" s="31" t="n">
        <f aca="false">IF($O64="Y",ROUND(Q64*Assumptions!$B$9,1),0)</f>
        <v>0</v>
      </c>
      <c r="T64" s="31" t="n">
        <f aca="false">ROUND((P64+Q64)*Assumptions!$B$10,1)</f>
        <v>2.1</v>
      </c>
      <c r="U64" s="9" t="n">
        <f aca="false">SUM(P64:T64)</f>
        <v>8.8</v>
      </c>
      <c r="V64" s="35" t="s">
        <v>386</v>
      </c>
      <c r="W64" s="28"/>
    </row>
    <row r="65" customFormat="false" ht="23.85" hidden="false" customHeight="false" outlineLevel="0" collapsed="false">
      <c r="A65" s="7" t="s">
        <v>564</v>
      </c>
      <c r="B65" s="14" t="s">
        <v>509</v>
      </c>
      <c r="C65" s="6" t="s">
        <v>510</v>
      </c>
      <c r="D65" s="6" t="s">
        <v>565</v>
      </c>
      <c r="E65" s="6" t="s">
        <v>566</v>
      </c>
      <c r="F65" s="28" t="s">
        <v>567</v>
      </c>
      <c r="G65" s="29" t="s">
        <v>143</v>
      </c>
      <c r="H65" s="29" t="s">
        <v>244</v>
      </c>
      <c r="I65" s="28" t="s">
        <v>568</v>
      </c>
      <c r="J65" s="28" t="s">
        <v>569</v>
      </c>
      <c r="K65" s="28" t="s">
        <v>570</v>
      </c>
      <c r="L65" s="6" t="s">
        <v>571</v>
      </c>
      <c r="M65" s="22" t="s">
        <v>73</v>
      </c>
      <c r="N65" s="22" t="s">
        <v>73</v>
      </c>
      <c r="O65" s="22" t="s">
        <v>169</v>
      </c>
      <c r="P65" s="31" t="n">
        <f aca="false">IFERROR(VLOOKUP($M65,Assumptions!$A$15:$B$20,2,FALSE()),0)</f>
        <v>5</v>
      </c>
      <c r="Q65" s="31" t="n">
        <f aca="false">IFERROR(VLOOKUP($N65,Assumptions!$A$15:$B$20,2,FALSE()),0)</f>
        <v>5</v>
      </c>
      <c r="R65" s="31" t="n">
        <f aca="false">ROUND((P65+Q65)*Assumptions!$B$8,1)</f>
        <v>1.2</v>
      </c>
      <c r="S65" s="31" t="n">
        <f aca="false">IF($O65="Y",ROUND(Q65*Assumptions!$B$9,1),0)</f>
        <v>2</v>
      </c>
      <c r="T65" s="31" t="n">
        <f aca="false">ROUND((P65+Q65)*Assumptions!$B$10,1)</f>
        <v>3.5</v>
      </c>
      <c r="U65" s="9" t="n">
        <f aca="false">SUM(P65:T65)</f>
        <v>16.7</v>
      </c>
      <c r="V65" s="34" t="s">
        <v>320</v>
      </c>
      <c r="W65" s="28"/>
    </row>
    <row r="66" customFormat="false" ht="23.85" hidden="false" customHeight="false" outlineLevel="0" collapsed="false">
      <c r="A66" s="7" t="s">
        <v>572</v>
      </c>
      <c r="B66" s="14" t="s">
        <v>509</v>
      </c>
      <c r="C66" s="6" t="s">
        <v>510</v>
      </c>
      <c r="D66" s="6" t="s">
        <v>573</v>
      </c>
      <c r="E66" s="6" t="s">
        <v>574</v>
      </c>
      <c r="F66" s="28" t="s">
        <v>575</v>
      </c>
      <c r="G66" s="29" t="s">
        <v>143</v>
      </c>
      <c r="H66" s="29" t="s">
        <v>244</v>
      </c>
      <c r="I66" s="28" t="s">
        <v>576</v>
      </c>
      <c r="J66" s="28" t="s">
        <v>577</v>
      </c>
      <c r="K66" s="28" t="s">
        <v>578</v>
      </c>
      <c r="L66" s="6" t="s">
        <v>192</v>
      </c>
      <c r="M66" s="22" t="s">
        <v>73</v>
      </c>
      <c r="N66" s="22" t="s">
        <v>71</v>
      </c>
      <c r="O66" s="22" t="s">
        <v>149</v>
      </c>
      <c r="P66" s="31" t="n">
        <f aca="false">IFERROR(VLOOKUP($M66,Assumptions!$A$15:$B$20,2,FALSE()),0)</f>
        <v>5</v>
      </c>
      <c r="Q66" s="31" t="n">
        <f aca="false">IFERROR(VLOOKUP($N66,Assumptions!$A$15:$B$20,2,FALSE()),0)</f>
        <v>3</v>
      </c>
      <c r="R66" s="31" t="n">
        <f aca="false">ROUND((P66+Q66)*Assumptions!$B$8,1)</f>
        <v>1</v>
      </c>
      <c r="S66" s="31" t="n">
        <f aca="false">IF($O66="Y",ROUND(Q66*Assumptions!$B$9,1),0)</f>
        <v>0</v>
      </c>
      <c r="T66" s="31" t="n">
        <f aca="false">ROUND((P66+Q66)*Assumptions!$B$10,1)</f>
        <v>2.8</v>
      </c>
      <c r="U66" s="9" t="n">
        <f aca="false">SUM(P66:T66)</f>
        <v>11.8</v>
      </c>
      <c r="V66" s="34" t="s">
        <v>320</v>
      </c>
      <c r="W66" s="28"/>
    </row>
    <row r="67" customFormat="false" ht="32.8" hidden="false" customHeight="false" outlineLevel="0" collapsed="false">
      <c r="A67" s="7" t="s">
        <v>579</v>
      </c>
      <c r="B67" s="14" t="s">
        <v>509</v>
      </c>
      <c r="C67" s="6" t="s">
        <v>510</v>
      </c>
      <c r="D67" s="6" t="s">
        <v>580</v>
      </c>
      <c r="E67" s="6" t="s">
        <v>581</v>
      </c>
      <c r="F67" s="28" t="s">
        <v>582</v>
      </c>
      <c r="G67" s="29" t="s">
        <v>143</v>
      </c>
      <c r="H67" s="29" t="s">
        <v>244</v>
      </c>
      <c r="I67" s="28" t="s">
        <v>583</v>
      </c>
      <c r="J67" s="28" t="s">
        <v>584</v>
      </c>
      <c r="K67" s="28" t="s">
        <v>585</v>
      </c>
      <c r="L67" s="6" t="s">
        <v>586</v>
      </c>
      <c r="M67" s="22" t="s">
        <v>73</v>
      </c>
      <c r="N67" s="22" t="s">
        <v>71</v>
      </c>
      <c r="O67" s="22" t="s">
        <v>149</v>
      </c>
      <c r="P67" s="31" t="n">
        <f aca="false">IFERROR(VLOOKUP($M67,Assumptions!$A$15:$B$20,2,FALSE()),0)</f>
        <v>5</v>
      </c>
      <c r="Q67" s="31" t="n">
        <f aca="false">IFERROR(VLOOKUP($N67,Assumptions!$A$15:$B$20,2,FALSE()),0)</f>
        <v>3</v>
      </c>
      <c r="R67" s="31" t="n">
        <f aca="false">ROUND((P67+Q67)*Assumptions!$B$8,1)</f>
        <v>1</v>
      </c>
      <c r="S67" s="31" t="n">
        <f aca="false">IF($O67="Y",ROUND(Q67*Assumptions!$B$9,1),0)</f>
        <v>0</v>
      </c>
      <c r="T67" s="31" t="n">
        <f aca="false">ROUND((P67+Q67)*Assumptions!$B$10,1)</f>
        <v>2.8</v>
      </c>
      <c r="U67" s="9" t="n">
        <f aca="false">SUM(P67:T67)</f>
        <v>11.8</v>
      </c>
      <c r="V67" s="34" t="s">
        <v>320</v>
      </c>
      <c r="W67" s="28"/>
    </row>
    <row r="68" customFormat="false" ht="32.8" hidden="false" customHeight="false" outlineLevel="0" collapsed="false">
      <c r="A68" s="7" t="s">
        <v>587</v>
      </c>
      <c r="B68" s="14" t="s">
        <v>509</v>
      </c>
      <c r="C68" s="6" t="s">
        <v>510</v>
      </c>
      <c r="D68" s="6" t="s">
        <v>588</v>
      </c>
      <c r="E68" s="6" t="s">
        <v>589</v>
      </c>
      <c r="F68" s="28" t="s">
        <v>521</v>
      </c>
      <c r="G68" s="29" t="s">
        <v>143</v>
      </c>
      <c r="H68" s="29" t="s">
        <v>244</v>
      </c>
      <c r="I68" s="28" t="s">
        <v>590</v>
      </c>
      <c r="J68" s="28" t="s">
        <v>591</v>
      </c>
      <c r="K68" s="28" t="s">
        <v>592</v>
      </c>
      <c r="L68" s="6" t="s">
        <v>593</v>
      </c>
      <c r="M68" s="22" t="s">
        <v>73</v>
      </c>
      <c r="N68" s="22" t="s">
        <v>73</v>
      </c>
      <c r="O68" s="22" t="s">
        <v>169</v>
      </c>
      <c r="P68" s="31" t="n">
        <f aca="false">IFERROR(VLOOKUP($M68,Assumptions!$A$15:$B$20,2,FALSE()),0)</f>
        <v>5</v>
      </c>
      <c r="Q68" s="31" t="n">
        <f aca="false">IFERROR(VLOOKUP($N68,Assumptions!$A$15:$B$20,2,FALSE()),0)</f>
        <v>5</v>
      </c>
      <c r="R68" s="31" t="n">
        <f aca="false">ROUND((P68+Q68)*Assumptions!$B$8,1)</f>
        <v>1.2</v>
      </c>
      <c r="S68" s="31" t="n">
        <f aca="false">IF($O68="Y",ROUND(Q68*Assumptions!$B$9,1),0)</f>
        <v>2</v>
      </c>
      <c r="T68" s="31" t="n">
        <f aca="false">ROUND((P68+Q68)*Assumptions!$B$10,1)</f>
        <v>3.5</v>
      </c>
      <c r="U68" s="9" t="n">
        <f aca="false">SUM(P68:T68)</f>
        <v>16.7</v>
      </c>
      <c r="V68" s="35" t="s">
        <v>386</v>
      </c>
      <c r="W68" s="28"/>
    </row>
    <row r="69" customFormat="false" ht="43.25" hidden="false" customHeight="false" outlineLevel="0" collapsed="false">
      <c r="A69" s="7" t="s">
        <v>594</v>
      </c>
      <c r="B69" s="14" t="s">
        <v>509</v>
      </c>
      <c r="C69" s="6" t="s">
        <v>510</v>
      </c>
      <c r="D69" s="6" t="s">
        <v>595</v>
      </c>
      <c r="E69" s="6" t="s">
        <v>596</v>
      </c>
      <c r="F69" s="28" t="s">
        <v>521</v>
      </c>
      <c r="G69" s="29" t="s">
        <v>143</v>
      </c>
      <c r="H69" s="29" t="s">
        <v>244</v>
      </c>
      <c r="I69" s="28" t="s">
        <v>597</v>
      </c>
      <c r="J69" s="28" t="s">
        <v>598</v>
      </c>
      <c r="K69" s="28" t="s">
        <v>599</v>
      </c>
      <c r="L69" s="6" t="s">
        <v>600</v>
      </c>
      <c r="M69" s="22" t="s">
        <v>75</v>
      </c>
      <c r="N69" s="22" t="s">
        <v>71</v>
      </c>
      <c r="O69" s="22" t="s">
        <v>149</v>
      </c>
      <c r="P69" s="31" t="n">
        <f aca="false">IFERROR(VLOOKUP($M69,Assumptions!$A$15:$B$20,2,FALSE()),0)</f>
        <v>10</v>
      </c>
      <c r="Q69" s="31" t="n">
        <f aca="false">IFERROR(VLOOKUP($N69,Assumptions!$A$15:$B$20,2,FALSE()),0)</f>
        <v>3</v>
      </c>
      <c r="R69" s="31" t="n">
        <f aca="false">ROUND((P69+Q69)*Assumptions!$B$8,1)</f>
        <v>1.6</v>
      </c>
      <c r="S69" s="31" t="n">
        <f aca="false">IF($O69="Y",ROUND(Q69*Assumptions!$B$9,1),0)</f>
        <v>0</v>
      </c>
      <c r="T69" s="31" t="n">
        <f aca="false">ROUND((P69+Q69)*Assumptions!$B$10,1)</f>
        <v>4.6</v>
      </c>
      <c r="U69" s="9" t="n">
        <f aca="false">SUM(P69:T69)</f>
        <v>19.2</v>
      </c>
      <c r="V69" s="34" t="s">
        <v>320</v>
      </c>
      <c r="W69" s="28" t="s">
        <v>601</v>
      </c>
    </row>
    <row r="70" customFormat="false" ht="32.8" hidden="false" customHeight="false" outlineLevel="0" collapsed="false">
      <c r="A70" s="7" t="s">
        <v>602</v>
      </c>
      <c r="B70" s="14" t="s">
        <v>509</v>
      </c>
      <c r="C70" s="6" t="s">
        <v>510</v>
      </c>
      <c r="D70" s="6" t="s">
        <v>603</v>
      </c>
      <c r="E70" s="6" t="s">
        <v>604</v>
      </c>
      <c r="F70" s="28" t="s">
        <v>542</v>
      </c>
      <c r="G70" s="29" t="s">
        <v>143</v>
      </c>
      <c r="H70" s="29" t="s">
        <v>244</v>
      </c>
      <c r="I70" s="28" t="s">
        <v>605</v>
      </c>
      <c r="J70" s="28" t="s">
        <v>606</v>
      </c>
      <c r="K70" s="28" t="s">
        <v>607</v>
      </c>
      <c r="L70" s="6" t="s">
        <v>608</v>
      </c>
      <c r="M70" s="22" t="s">
        <v>75</v>
      </c>
      <c r="N70" s="22" t="s">
        <v>71</v>
      </c>
      <c r="O70" s="22" t="s">
        <v>149</v>
      </c>
      <c r="P70" s="31" t="n">
        <f aca="false">IFERROR(VLOOKUP($M70,Assumptions!$A$15:$B$20,2,FALSE()),0)</f>
        <v>10</v>
      </c>
      <c r="Q70" s="31" t="n">
        <f aca="false">IFERROR(VLOOKUP($N70,Assumptions!$A$15:$B$20,2,FALSE()),0)</f>
        <v>3</v>
      </c>
      <c r="R70" s="31" t="n">
        <f aca="false">ROUND((P70+Q70)*Assumptions!$B$8,1)</f>
        <v>1.6</v>
      </c>
      <c r="S70" s="31" t="n">
        <f aca="false">IF($O70="Y",ROUND(Q70*Assumptions!$B$9,1),0)</f>
        <v>0</v>
      </c>
      <c r="T70" s="31" t="n">
        <f aca="false">ROUND((P70+Q70)*Assumptions!$B$10,1)</f>
        <v>4.6</v>
      </c>
      <c r="U70" s="9" t="n">
        <f aca="false">SUM(P70:T70)</f>
        <v>19.2</v>
      </c>
      <c r="V70" s="34" t="s">
        <v>320</v>
      </c>
      <c r="W70" s="28"/>
    </row>
    <row r="71" customFormat="false" ht="23.85" hidden="false" customHeight="false" outlineLevel="0" collapsed="false">
      <c r="A71" s="7" t="s">
        <v>609</v>
      </c>
      <c r="B71" s="14" t="s">
        <v>509</v>
      </c>
      <c r="C71" s="6" t="s">
        <v>510</v>
      </c>
      <c r="D71" s="6" t="s">
        <v>610</v>
      </c>
      <c r="E71" s="6" t="s">
        <v>611</v>
      </c>
      <c r="F71" s="28" t="s">
        <v>612</v>
      </c>
      <c r="G71" s="29" t="s">
        <v>143</v>
      </c>
      <c r="H71" s="29" t="s">
        <v>244</v>
      </c>
      <c r="I71" s="28" t="s">
        <v>613</v>
      </c>
      <c r="J71" s="28" t="s">
        <v>614</v>
      </c>
      <c r="K71" s="28" t="s">
        <v>615</v>
      </c>
      <c r="L71" s="6" t="s">
        <v>222</v>
      </c>
      <c r="M71" s="22" t="s">
        <v>71</v>
      </c>
      <c r="N71" s="22" t="s">
        <v>69</v>
      </c>
      <c r="O71" s="22" t="s">
        <v>149</v>
      </c>
      <c r="P71" s="31" t="n">
        <f aca="false">IFERROR(VLOOKUP($M71,Assumptions!$A$15:$B$20,2,FALSE()),0)</f>
        <v>3</v>
      </c>
      <c r="Q71" s="31" t="n">
        <f aca="false">IFERROR(VLOOKUP($N71,Assumptions!$A$15:$B$20,2,FALSE()),0)</f>
        <v>1</v>
      </c>
      <c r="R71" s="31" t="n">
        <f aca="false">ROUND((P71+Q71)*Assumptions!$B$8,1)</f>
        <v>0.5</v>
      </c>
      <c r="S71" s="31" t="n">
        <f aca="false">IF($O71="Y",ROUND(Q71*Assumptions!$B$9,1),0)</f>
        <v>0</v>
      </c>
      <c r="T71" s="31" t="n">
        <f aca="false">ROUND((P71+Q71)*Assumptions!$B$10,1)</f>
        <v>1.4</v>
      </c>
      <c r="U71" s="9" t="n">
        <f aca="false">SUM(P71:T71)</f>
        <v>5.9</v>
      </c>
      <c r="V71" s="35" t="s">
        <v>386</v>
      </c>
      <c r="W71" s="28"/>
    </row>
    <row r="72" customFormat="false" ht="23.85" hidden="false" customHeight="false" outlineLevel="0" collapsed="false">
      <c r="A72" s="7" t="s">
        <v>616</v>
      </c>
      <c r="B72" s="14" t="s">
        <v>509</v>
      </c>
      <c r="C72" s="6" t="s">
        <v>510</v>
      </c>
      <c r="D72" s="6" t="s">
        <v>617</v>
      </c>
      <c r="E72" s="6" t="s">
        <v>618</v>
      </c>
      <c r="F72" s="28" t="s">
        <v>521</v>
      </c>
      <c r="G72" s="32" t="s">
        <v>265</v>
      </c>
      <c r="H72" s="29" t="s">
        <v>244</v>
      </c>
      <c r="I72" s="28" t="s">
        <v>619</v>
      </c>
      <c r="J72" s="28" t="s">
        <v>620</v>
      </c>
      <c r="K72" s="28" t="s">
        <v>621</v>
      </c>
      <c r="L72" s="6" t="s">
        <v>622</v>
      </c>
      <c r="M72" s="22" t="s">
        <v>73</v>
      </c>
      <c r="N72" s="22" t="s">
        <v>73</v>
      </c>
      <c r="O72" s="22" t="s">
        <v>169</v>
      </c>
      <c r="P72" s="31" t="n">
        <f aca="false">IFERROR(VLOOKUP($M72,Assumptions!$A$15:$B$20,2,FALSE()),0)</f>
        <v>5</v>
      </c>
      <c r="Q72" s="31" t="n">
        <f aca="false">IFERROR(VLOOKUP($N72,Assumptions!$A$15:$B$20,2,FALSE()),0)</f>
        <v>5</v>
      </c>
      <c r="R72" s="31" t="n">
        <f aca="false">ROUND((P72+Q72)*Assumptions!$B$8,1)</f>
        <v>1.2</v>
      </c>
      <c r="S72" s="31" t="n">
        <f aca="false">IF($O72="Y",ROUND(Q72*Assumptions!$B$9,1),0)</f>
        <v>2</v>
      </c>
      <c r="T72" s="31" t="n">
        <f aca="false">ROUND((P72+Q72)*Assumptions!$B$10,1)</f>
        <v>3.5</v>
      </c>
      <c r="U72" s="9" t="n">
        <f aca="false">SUM(P72:T72)</f>
        <v>16.7</v>
      </c>
      <c r="V72" s="34" t="s">
        <v>320</v>
      </c>
      <c r="W72" s="28" t="s">
        <v>623</v>
      </c>
    </row>
    <row r="73" customFormat="false" ht="23.85" hidden="false" customHeight="false" outlineLevel="0" collapsed="false">
      <c r="A73" s="7" t="s">
        <v>624</v>
      </c>
      <c r="B73" s="14" t="s">
        <v>509</v>
      </c>
      <c r="C73" s="6" t="s">
        <v>510</v>
      </c>
      <c r="D73" s="6" t="s">
        <v>625</v>
      </c>
      <c r="E73" s="6" t="s">
        <v>626</v>
      </c>
      <c r="F73" s="28" t="s">
        <v>542</v>
      </c>
      <c r="G73" s="32" t="s">
        <v>265</v>
      </c>
      <c r="H73" s="29" t="s">
        <v>244</v>
      </c>
      <c r="I73" s="28" t="s">
        <v>627</v>
      </c>
      <c r="J73" s="28" t="s">
        <v>628</v>
      </c>
      <c r="K73" s="28" t="s">
        <v>629</v>
      </c>
      <c r="L73" s="6" t="s">
        <v>359</v>
      </c>
      <c r="M73" s="22" t="s">
        <v>71</v>
      </c>
      <c r="N73" s="22" t="s">
        <v>71</v>
      </c>
      <c r="O73" s="22" t="s">
        <v>149</v>
      </c>
      <c r="P73" s="31" t="n">
        <f aca="false">IFERROR(VLOOKUP($M73,Assumptions!$A$15:$B$20,2,FALSE()),0)</f>
        <v>3</v>
      </c>
      <c r="Q73" s="31" t="n">
        <f aca="false">IFERROR(VLOOKUP($N73,Assumptions!$A$15:$B$20,2,FALSE()),0)</f>
        <v>3</v>
      </c>
      <c r="R73" s="31" t="n">
        <f aca="false">ROUND((P73+Q73)*Assumptions!$B$8,1)</f>
        <v>0.7</v>
      </c>
      <c r="S73" s="31" t="n">
        <f aca="false">IF($O73="Y",ROUND(Q73*Assumptions!$B$9,1),0)</f>
        <v>0</v>
      </c>
      <c r="T73" s="31" t="n">
        <f aca="false">ROUND((P73+Q73)*Assumptions!$B$10,1)</f>
        <v>2.1</v>
      </c>
      <c r="U73" s="9" t="n">
        <f aca="false">SUM(P73:T73)</f>
        <v>8.8</v>
      </c>
      <c r="V73" s="35" t="s">
        <v>386</v>
      </c>
      <c r="W73" s="28"/>
    </row>
    <row r="74" customFormat="false" ht="23.85" hidden="false" customHeight="false" outlineLevel="0" collapsed="false">
      <c r="A74" s="7" t="s">
        <v>630</v>
      </c>
      <c r="B74" s="14" t="s">
        <v>509</v>
      </c>
      <c r="C74" s="6" t="s">
        <v>510</v>
      </c>
      <c r="D74" s="6" t="s">
        <v>631</v>
      </c>
      <c r="E74" s="6" t="s">
        <v>632</v>
      </c>
      <c r="F74" s="28" t="s">
        <v>633</v>
      </c>
      <c r="G74" s="32" t="s">
        <v>265</v>
      </c>
      <c r="H74" s="29" t="s">
        <v>244</v>
      </c>
      <c r="I74" s="28" t="s">
        <v>634</v>
      </c>
      <c r="J74" s="28" t="s">
        <v>635</v>
      </c>
      <c r="K74" s="28" t="s">
        <v>636</v>
      </c>
      <c r="L74" s="6" t="s">
        <v>256</v>
      </c>
      <c r="M74" s="22" t="s">
        <v>73</v>
      </c>
      <c r="N74" s="22" t="s">
        <v>73</v>
      </c>
      <c r="O74" s="22" t="s">
        <v>169</v>
      </c>
      <c r="P74" s="31" t="n">
        <f aca="false">IFERROR(VLOOKUP($M74,Assumptions!$A$15:$B$20,2,FALSE()),0)</f>
        <v>5</v>
      </c>
      <c r="Q74" s="31" t="n">
        <f aca="false">IFERROR(VLOOKUP($N74,Assumptions!$A$15:$B$20,2,FALSE()),0)</f>
        <v>5</v>
      </c>
      <c r="R74" s="31" t="n">
        <f aca="false">ROUND((P74+Q74)*Assumptions!$B$8,1)</f>
        <v>1.2</v>
      </c>
      <c r="S74" s="31" t="n">
        <f aca="false">IF($O74="Y",ROUND(Q74*Assumptions!$B$9,1),0)</f>
        <v>2</v>
      </c>
      <c r="T74" s="31" t="n">
        <f aca="false">ROUND((P74+Q74)*Assumptions!$B$10,1)</f>
        <v>3.5</v>
      </c>
      <c r="U74" s="9" t="n">
        <f aca="false">SUM(P74:T74)</f>
        <v>16.7</v>
      </c>
      <c r="V74" s="34" t="s">
        <v>320</v>
      </c>
      <c r="W74" s="28" t="s">
        <v>637</v>
      </c>
    </row>
    <row r="75" customFormat="false" ht="23.85" hidden="false" customHeight="false" outlineLevel="0" collapsed="false">
      <c r="A75" s="7" t="s">
        <v>638</v>
      </c>
      <c r="B75" s="14" t="s">
        <v>509</v>
      </c>
      <c r="C75" s="6" t="s">
        <v>510</v>
      </c>
      <c r="D75" s="6" t="s">
        <v>639</v>
      </c>
      <c r="E75" s="6" t="s">
        <v>640</v>
      </c>
      <c r="F75" s="28" t="s">
        <v>542</v>
      </c>
      <c r="G75" s="32" t="s">
        <v>265</v>
      </c>
      <c r="H75" s="29" t="s">
        <v>244</v>
      </c>
      <c r="I75" s="28" t="s">
        <v>641</v>
      </c>
      <c r="J75" s="28" t="s">
        <v>642</v>
      </c>
      <c r="K75" s="28" t="s">
        <v>643</v>
      </c>
      <c r="L75" s="6" t="s">
        <v>644</v>
      </c>
      <c r="M75" s="22" t="s">
        <v>73</v>
      </c>
      <c r="N75" s="22" t="s">
        <v>71</v>
      </c>
      <c r="O75" s="22" t="s">
        <v>149</v>
      </c>
      <c r="P75" s="31" t="n">
        <f aca="false">IFERROR(VLOOKUP($M75,Assumptions!$A$15:$B$20,2,FALSE()),0)</f>
        <v>5</v>
      </c>
      <c r="Q75" s="31" t="n">
        <f aca="false">IFERROR(VLOOKUP($N75,Assumptions!$A$15:$B$20,2,FALSE()),0)</f>
        <v>3</v>
      </c>
      <c r="R75" s="31" t="n">
        <f aca="false">ROUND((P75+Q75)*Assumptions!$B$8,1)</f>
        <v>1</v>
      </c>
      <c r="S75" s="31" t="n">
        <f aca="false">IF($O75="Y",ROUND(Q75*Assumptions!$B$9,1),0)</f>
        <v>0</v>
      </c>
      <c r="T75" s="31" t="n">
        <f aca="false">ROUND((P75+Q75)*Assumptions!$B$10,1)</f>
        <v>2.8</v>
      </c>
      <c r="U75" s="9" t="n">
        <f aca="false">SUM(P75:T75)</f>
        <v>11.8</v>
      </c>
      <c r="V75" s="34" t="s">
        <v>320</v>
      </c>
      <c r="W75" s="28" t="s">
        <v>645</v>
      </c>
    </row>
    <row r="76" customFormat="false" ht="23.85" hidden="false" customHeight="false" outlineLevel="0" collapsed="false">
      <c r="A76" s="7" t="s">
        <v>646</v>
      </c>
      <c r="B76" s="14" t="s">
        <v>509</v>
      </c>
      <c r="C76" s="6" t="s">
        <v>510</v>
      </c>
      <c r="D76" s="6" t="s">
        <v>647</v>
      </c>
      <c r="E76" s="6" t="s">
        <v>648</v>
      </c>
      <c r="F76" s="28" t="s">
        <v>534</v>
      </c>
      <c r="G76" s="32" t="s">
        <v>265</v>
      </c>
      <c r="H76" s="32" t="s">
        <v>272</v>
      </c>
      <c r="I76" s="28" t="s">
        <v>649</v>
      </c>
      <c r="J76" s="28" t="s">
        <v>650</v>
      </c>
      <c r="K76" s="28" t="s">
        <v>651</v>
      </c>
      <c r="L76" s="6" t="s">
        <v>531</v>
      </c>
      <c r="M76" s="22" t="s">
        <v>71</v>
      </c>
      <c r="N76" s="22" t="s">
        <v>71</v>
      </c>
      <c r="O76" s="22" t="s">
        <v>149</v>
      </c>
      <c r="P76" s="31" t="n">
        <f aca="false">IFERROR(VLOOKUP($M76,Assumptions!$A$15:$B$20,2,FALSE()),0)</f>
        <v>3</v>
      </c>
      <c r="Q76" s="31" t="n">
        <f aca="false">IFERROR(VLOOKUP($N76,Assumptions!$A$15:$B$20,2,FALSE()),0)</f>
        <v>3</v>
      </c>
      <c r="R76" s="31" t="n">
        <f aca="false">ROUND((P76+Q76)*Assumptions!$B$8,1)</f>
        <v>0.7</v>
      </c>
      <c r="S76" s="31" t="n">
        <f aca="false">IF($O76="Y",ROUND(Q76*Assumptions!$B$9,1),0)</f>
        <v>0</v>
      </c>
      <c r="T76" s="31" t="n">
        <f aca="false">ROUND((P76+Q76)*Assumptions!$B$10,1)</f>
        <v>2.1</v>
      </c>
      <c r="U76" s="9" t="n">
        <f aca="false">SUM(P76:T76)</f>
        <v>8.8</v>
      </c>
      <c r="V76" s="34" t="s">
        <v>320</v>
      </c>
      <c r="W76" s="28"/>
    </row>
    <row r="77" customFormat="false" ht="32.8" hidden="false" customHeight="false" outlineLevel="0" collapsed="false">
      <c r="A77" s="7" t="s">
        <v>652</v>
      </c>
      <c r="B77" s="14" t="s">
        <v>509</v>
      </c>
      <c r="C77" s="6" t="s">
        <v>510</v>
      </c>
      <c r="D77" s="6" t="s">
        <v>653</v>
      </c>
      <c r="E77" s="6" t="s">
        <v>654</v>
      </c>
      <c r="F77" s="28" t="s">
        <v>655</v>
      </c>
      <c r="G77" s="32" t="s">
        <v>265</v>
      </c>
      <c r="H77" s="32" t="s">
        <v>272</v>
      </c>
      <c r="I77" s="28" t="s">
        <v>656</v>
      </c>
      <c r="J77" s="28" t="s">
        <v>657</v>
      </c>
      <c r="K77" s="28" t="s">
        <v>658</v>
      </c>
      <c r="L77" s="6" t="s">
        <v>602</v>
      </c>
      <c r="M77" s="22" t="s">
        <v>73</v>
      </c>
      <c r="N77" s="22" t="s">
        <v>75</v>
      </c>
      <c r="O77" s="22" t="s">
        <v>149</v>
      </c>
      <c r="P77" s="31" t="n">
        <f aca="false">IFERROR(VLOOKUP($M77,Assumptions!$A$15:$B$20,2,FALSE()),0)</f>
        <v>5</v>
      </c>
      <c r="Q77" s="31" t="n">
        <f aca="false">IFERROR(VLOOKUP($N77,Assumptions!$A$15:$B$20,2,FALSE()),0)</f>
        <v>10</v>
      </c>
      <c r="R77" s="31" t="n">
        <f aca="false">ROUND((P77+Q77)*Assumptions!$B$8,1)</f>
        <v>1.8</v>
      </c>
      <c r="S77" s="31" t="n">
        <f aca="false">IF($O77="Y",ROUND(Q77*Assumptions!$B$9,1),0)</f>
        <v>0</v>
      </c>
      <c r="T77" s="31" t="n">
        <f aca="false">ROUND((P77+Q77)*Assumptions!$B$10,1)</f>
        <v>5.3</v>
      </c>
      <c r="U77" s="9" t="n">
        <f aca="false">SUM(P77:T77)</f>
        <v>22.1</v>
      </c>
      <c r="V77" s="35" t="s">
        <v>386</v>
      </c>
      <c r="W77" s="28" t="s">
        <v>659</v>
      </c>
    </row>
    <row r="78" customFormat="false" ht="23.85" hidden="false" customHeight="false" outlineLevel="0" collapsed="false">
      <c r="A78" s="7" t="s">
        <v>660</v>
      </c>
      <c r="B78" s="14" t="s">
        <v>509</v>
      </c>
      <c r="C78" s="6" t="s">
        <v>510</v>
      </c>
      <c r="D78" s="6" t="s">
        <v>661</v>
      </c>
      <c r="E78" s="6" t="s">
        <v>662</v>
      </c>
      <c r="F78" s="28" t="s">
        <v>542</v>
      </c>
      <c r="G78" s="32" t="s">
        <v>265</v>
      </c>
      <c r="H78" s="32" t="s">
        <v>272</v>
      </c>
      <c r="I78" s="28" t="s">
        <v>663</v>
      </c>
      <c r="J78" s="28" t="s">
        <v>664</v>
      </c>
      <c r="K78" s="28" t="s">
        <v>665</v>
      </c>
      <c r="L78" s="6" t="s">
        <v>168</v>
      </c>
      <c r="M78" s="22" t="s">
        <v>73</v>
      </c>
      <c r="N78" s="22" t="s">
        <v>71</v>
      </c>
      <c r="O78" s="22" t="s">
        <v>149</v>
      </c>
      <c r="P78" s="31" t="n">
        <f aca="false">IFERROR(VLOOKUP($M78,Assumptions!$A$15:$B$20,2,FALSE()),0)</f>
        <v>5</v>
      </c>
      <c r="Q78" s="31" t="n">
        <f aca="false">IFERROR(VLOOKUP($N78,Assumptions!$A$15:$B$20,2,FALSE()),0)</f>
        <v>3</v>
      </c>
      <c r="R78" s="31" t="n">
        <f aca="false">ROUND((P78+Q78)*Assumptions!$B$8,1)</f>
        <v>1</v>
      </c>
      <c r="S78" s="31" t="n">
        <f aca="false">IF($O78="Y",ROUND(Q78*Assumptions!$B$9,1),0)</f>
        <v>0</v>
      </c>
      <c r="T78" s="31" t="n">
        <f aca="false">ROUND((P78+Q78)*Assumptions!$B$10,1)</f>
        <v>2.8</v>
      </c>
      <c r="U78" s="9" t="n">
        <f aca="false">SUM(P78:T78)</f>
        <v>11.8</v>
      </c>
      <c r="V78" s="34" t="s">
        <v>320</v>
      </c>
      <c r="W78" s="28"/>
    </row>
    <row r="79" customFormat="false" ht="23.85" hidden="false" customHeight="false" outlineLevel="0" collapsed="false">
      <c r="A79" s="7" t="s">
        <v>666</v>
      </c>
      <c r="B79" s="14" t="s">
        <v>509</v>
      </c>
      <c r="C79" s="6" t="s">
        <v>510</v>
      </c>
      <c r="D79" s="6" t="s">
        <v>667</v>
      </c>
      <c r="E79" s="6" t="s">
        <v>668</v>
      </c>
      <c r="F79" s="28" t="s">
        <v>542</v>
      </c>
      <c r="G79" s="32" t="s">
        <v>265</v>
      </c>
      <c r="H79" s="32" t="s">
        <v>272</v>
      </c>
      <c r="I79" s="28" t="s">
        <v>669</v>
      </c>
      <c r="J79" s="28" t="s">
        <v>670</v>
      </c>
      <c r="K79" s="28" t="s">
        <v>671</v>
      </c>
      <c r="L79" s="6" t="s">
        <v>359</v>
      </c>
      <c r="M79" s="22" t="s">
        <v>71</v>
      </c>
      <c r="N79" s="22" t="s">
        <v>71</v>
      </c>
      <c r="O79" s="22" t="s">
        <v>149</v>
      </c>
      <c r="P79" s="31" t="n">
        <f aca="false">IFERROR(VLOOKUP($M79,Assumptions!$A$15:$B$20,2,FALSE()),0)</f>
        <v>3</v>
      </c>
      <c r="Q79" s="31" t="n">
        <f aca="false">IFERROR(VLOOKUP($N79,Assumptions!$A$15:$B$20,2,FALSE()),0)</f>
        <v>3</v>
      </c>
      <c r="R79" s="31" t="n">
        <f aca="false">ROUND((P79+Q79)*Assumptions!$B$8,1)</f>
        <v>0.7</v>
      </c>
      <c r="S79" s="31" t="n">
        <f aca="false">IF($O79="Y",ROUND(Q79*Assumptions!$B$9,1),0)</f>
        <v>0</v>
      </c>
      <c r="T79" s="31" t="n">
        <f aca="false">ROUND((P79+Q79)*Assumptions!$B$10,1)</f>
        <v>2.1</v>
      </c>
      <c r="U79" s="9" t="n">
        <f aca="false">SUM(P79:T79)</f>
        <v>8.8</v>
      </c>
      <c r="V79" s="34" t="s">
        <v>320</v>
      </c>
      <c r="W79" s="28"/>
    </row>
    <row r="80" customFormat="false" ht="23.85" hidden="false" customHeight="false" outlineLevel="0" collapsed="false">
      <c r="A80" s="7" t="s">
        <v>672</v>
      </c>
      <c r="B80" s="14" t="s">
        <v>509</v>
      </c>
      <c r="C80" s="6" t="s">
        <v>510</v>
      </c>
      <c r="D80" s="6" t="s">
        <v>673</v>
      </c>
      <c r="E80" s="6" t="s">
        <v>674</v>
      </c>
      <c r="F80" s="28" t="s">
        <v>542</v>
      </c>
      <c r="G80" s="32" t="s">
        <v>265</v>
      </c>
      <c r="H80" s="32" t="s">
        <v>272</v>
      </c>
      <c r="I80" s="28" t="s">
        <v>675</v>
      </c>
      <c r="J80" s="28" t="s">
        <v>676</v>
      </c>
      <c r="K80" s="28" t="s">
        <v>677</v>
      </c>
      <c r="L80" s="6" t="s">
        <v>678</v>
      </c>
      <c r="M80" s="22" t="s">
        <v>73</v>
      </c>
      <c r="N80" s="22" t="s">
        <v>73</v>
      </c>
      <c r="O80" s="22" t="s">
        <v>169</v>
      </c>
      <c r="P80" s="31" t="n">
        <f aca="false">IFERROR(VLOOKUP($M80,Assumptions!$A$15:$B$20,2,FALSE()),0)</f>
        <v>5</v>
      </c>
      <c r="Q80" s="31" t="n">
        <f aca="false">IFERROR(VLOOKUP($N80,Assumptions!$A$15:$B$20,2,FALSE()),0)</f>
        <v>5</v>
      </c>
      <c r="R80" s="31" t="n">
        <f aca="false">ROUND((P80+Q80)*Assumptions!$B$8,1)</f>
        <v>1.2</v>
      </c>
      <c r="S80" s="31" t="n">
        <f aca="false">IF($O80="Y",ROUND(Q80*Assumptions!$B$9,1),0)</f>
        <v>2</v>
      </c>
      <c r="T80" s="31" t="n">
        <f aca="false">ROUND((P80+Q80)*Assumptions!$B$10,1)</f>
        <v>3.5</v>
      </c>
      <c r="U80" s="9" t="n">
        <f aca="false">SUM(P80:T80)</f>
        <v>16.7</v>
      </c>
      <c r="V80" s="35" t="s">
        <v>386</v>
      </c>
      <c r="W80" s="28"/>
    </row>
    <row r="81" customFormat="false" ht="23.85" hidden="false" customHeight="false" outlineLevel="0" collapsed="false">
      <c r="A81" s="7" t="s">
        <v>679</v>
      </c>
      <c r="B81" s="14" t="s">
        <v>509</v>
      </c>
      <c r="C81" s="6" t="s">
        <v>510</v>
      </c>
      <c r="D81" s="6" t="s">
        <v>680</v>
      </c>
      <c r="E81" s="6" t="s">
        <v>681</v>
      </c>
      <c r="F81" s="28" t="s">
        <v>682</v>
      </c>
      <c r="G81" s="33" t="s">
        <v>286</v>
      </c>
      <c r="H81" s="33" t="s">
        <v>287</v>
      </c>
      <c r="I81" s="28" t="s">
        <v>683</v>
      </c>
      <c r="J81" s="28" t="s">
        <v>684</v>
      </c>
      <c r="K81" s="28" t="s">
        <v>685</v>
      </c>
      <c r="L81" s="6" t="s">
        <v>686</v>
      </c>
      <c r="M81" s="22" t="s">
        <v>73</v>
      </c>
      <c r="N81" s="22" t="s">
        <v>73</v>
      </c>
      <c r="O81" s="22" t="s">
        <v>169</v>
      </c>
      <c r="P81" s="31" t="n">
        <f aca="false">IFERROR(VLOOKUP($M81,Assumptions!$A$15:$B$20,2,FALSE()),0)</f>
        <v>5</v>
      </c>
      <c r="Q81" s="31" t="n">
        <f aca="false">IFERROR(VLOOKUP($N81,Assumptions!$A$15:$B$20,2,FALSE()),0)</f>
        <v>5</v>
      </c>
      <c r="R81" s="31" t="n">
        <f aca="false">ROUND((P81+Q81)*Assumptions!$B$8,1)</f>
        <v>1.2</v>
      </c>
      <c r="S81" s="31" t="n">
        <f aca="false">IF($O81="Y",ROUND(Q81*Assumptions!$B$9,1),0)</f>
        <v>2</v>
      </c>
      <c r="T81" s="31" t="n">
        <f aca="false">ROUND((P81+Q81)*Assumptions!$B$10,1)</f>
        <v>3.5</v>
      </c>
      <c r="U81" s="9" t="n">
        <f aca="false">SUM(P81:T81)</f>
        <v>16.7</v>
      </c>
      <c r="V81" s="34" t="s">
        <v>320</v>
      </c>
      <c r="W81" s="28"/>
    </row>
    <row r="82" customFormat="false" ht="23.85" hidden="false" customHeight="false" outlineLevel="0" collapsed="false">
      <c r="A82" s="7" t="s">
        <v>687</v>
      </c>
      <c r="B82" s="14" t="s">
        <v>688</v>
      </c>
      <c r="C82" s="6" t="s">
        <v>689</v>
      </c>
      <c r="D82" s="6" t="s">
        <v>690</v>
      </c>
      <c r="E82" s="6" t="s">
        <v>691</v>
      </c>
      <c r="F82" s="28" t="s">
        <v>692</v>
      </c>
      <c r="G82" s="29" t="s">
        <v>143</v>
      </c>
      <c r="H82" s="29" t="s">
        <v>244</v>
      </c>
      <c r="I82" s="28" t="s">
        <v>693</v>
      </c>
      <c r="J82" s="28" t="s">
        <v>694</v>
      </c>
      <c r="K82" s="28" t="s">
        <v>695</v>
      </c>
      <c r="L82" s="6" t="s">
        <v>696</v>
      </c>
      <c r="M82" s="22" t="s">
        <v>73</v>
      </c>
      <c r="N82" s="22" t="s">
        <v>75</v>
      </c>
      <c r="O82" s="22" t="s">
        <v>169</v>
      </c>
      <c r="P82" s="31" t="n">
        <f aca="false">IFERROR(VLOOKUP($M82,Assumptions!$A$15:$B$20,2,FALSE()),0)</f>
        <v>5</v>
      </c>
      <c r="Q82" s="31" t="n">
        <f aca="false">IFERROR(VLOOKUP($N82,Assumptions!$A$15:$B$20,2,FALSE()),0)</f>
        <v>10</v>
      </c>
      <c r="R82" s="31" t="n">
        <f aca="false">ROUND((P82+Q82)*Assumptions!$B$8,1)</f>
        <v>1.8</v>
      </c>
      <c r="S82" s="31" t="n">
        <f aca="false">IF($O82="Y",ROUND(Q82*Assumptions!$B$9,1),0)</f>
        <v>4</v>
      </c>
      <c r="T82" s="31" t="n">
        <f aca="false">ROUND((P82+Q82)*Assumptions!$B$10,1)</f>
        <v>5.3</v>
      </c>
      <c r="U82" s="9" t="n">
        <f aca="false">SUM(P82:T82)</f>
        <v>26.1</v>
      </c>
      <c r="V82" s="35" t="s">
        <v>386</v>
      </c>
      <c r="W82" s="28" t="s">
        <v>697</v>
      </c>
    </row>
    <row r="83" customFormat="false" ht="23.85" hidden="false" customHeight="false" outlineLevel="0" collapsed="false">
      <c r="A83" s="7" t="s">
        <v>698</v>
      </c>
      <c r="B83" s="14" t="s">
        <v>688</v>
      </c>
      <c r="C83" s="6" t="s">
        <v>689</v>
      </c>
      <c r="D83" s="6" t="s">
        <v>699</v>
      </c>
      <c r="E83" s="6" t="s">
        <v>700</v>
      </c>
      <c r="F83" s="28" t="s">
        <v>701</v>
      </c>
      <c r="G83" s="29" t="s">
        <v>143</v>
      </c>
      <c r="H83" s="29" t="s">
        <v>244</v>
      </c>
      <c r="I83" s="28" t="s">
        <v>702</v>
      </c>
      <c r="J83" s="28" t="s">
        <v>703</v>
      </c>
      <c r="K83" s="28" t="s">
        <v>704</v>
      </c>
      <c r="L83" s="6" t="s">
        <v>687</v>
      </c>
      <c r="M83" s="22" t="s">
        <v>71</v>
      </c>
      <c r="N83" s="22" t="s">
        <v>71</v>
      </c>
      <c r="O83" s="22" t="s">
        <v>149</v>
      </c>
      <c r="P83" s="31" t="n">
        <f aca="false">IFERROR(VLOOKUP($M83,Assumptions!$A$15:$B$20,2,FALSE()),0)</f>
        <v>3</v>
      </c>
      <c r="Q83" s="31" t="n">
        <f aca="false">IFERROR(VLOOKUP($N83,Assumptions!$A$15:$B$20,2,FALSE()),0)</f>
        <v>3</v>
      </c>
      <c r="R83" s="31" t="n">
        <f aca="false">ROUND((P83+Q83)*Assumptions!$B$8,1)</f>
        <v>0.7</v>
      </c>
      <c r="S83" s="31" t="n">
        <f aca="false">IF($O83="Y",ROUND(Q83*Assumptions!$B$9,1),0)</f>
        <v>0</v>
      </c>
      <c r="T83" s="31" t="n">
        <f aca="false">ROUND((P83+Q83)*Assumptions!$B$10,1)</f>
        <v>2.1</v>
      </c>
      <c r="U83" s="9" t="n">
        <f aca="false">SUM(P83:T83)</f>
        <v>8.8</v>
      </c>
      <c r="V83" s="36" t="s">
        <v>396</v>
      </c>
      <c r="W83" s="28" t="s">
        <v>705</v>
      </c>
    </row>
    <row r="84" customFormat="false" ht="23.85" hidden="false" customHeight="false" outlineLevel="0" collapsed="false">
      <c r="A84" s="7" t="s">
        <v>706</v>
      </c>
      <c r="B84" s="14" t="s">
        <v>688</v>
      </c>
      <c r="C84" s="6" t="s">
        <v>689</v>
      </c>
      <c r="D84" s="6" t="s">
        <v>707</v>
      </c>
      <c r="E84" s="6" t="s">
        <v>708</v>
      </c>
      <c r="F84" s="28" t="s">
        <v>709</v>
      </c>
      <c r="G84" s="29" t="s">
        <v>143</v>
      </c>
      <c r="H84" s="29" t="s">
        <v>244</v>
      </c>
      <c r="I84" s="28" t="s">
        <v>710</v>
      </c>
      <c r="J84" s="28" t="s">
        <v>711</v>
      </c>
      <c r="K84" s="28" t="s">
        <v>712</v>
      </c>
      <c r="L84" s="6" t="s">
        <v>713</v>
      </c>
      <c r="M84" s="22" t="s">
        <v>71</v>
      </c>
      <c r="N84" s="22" t="s">
        <v>71</v>
      </c>
      <c r="O84" s="22" t="s">
        <v>149</v>
      </c>
      <c r="P84" s="31" t="n">
        <f aca="false">IFERROR(VLOOKUP($M84,Assumptions!$A$15:$B$20,2,FALSE()),0)</f>
        <v>3</v>
      </c>
      <c r="Q84" s="31" t="n">
        <f aca="false">IFERROR(VLOOKUP($N84,Assumptions!$A$15:$B$20,2,FALSE()),0)</f>
        <v>3</v>
      </c>
      <c r="R84" s="31" t="n">
        <f aca="false">ROUND((P84+Q84)*Assumptions!$B$8,1)</f>
        <v>0.7</v>
      </c>
      <c r="S84" s="31" t="n">
        <f aca="false">IF($O84="Y",ROUND(Q84*Assumptions!$B$9,1),0)</f>
        <v>0</v>
      </c>
      <c r="T84" s="31" t="n">
        <f aca="false">ROUND((P84+Q84)*Assumptions!$B$10,1)</f>
        <v>2.1</v>
      </c>
      <c r="U84" s="9" t="n">
        <f aca="false">SUM(P84:T84)</f>
        <v>8.8</v>
      </c>
      <c r="V84" s="35" t="s">
        <v>386</v>
      </c>
      <c r="W84" s="28"/>
    </row>
    <row r="85" customFormat="false" ht="23.85" hidden="false" customHeight="false" outlineLevel="0" collapsed="false">
      <c r="A85" s="7" t="s">
        <v>714</v>
      </c>
      <c r="B85" s="14" t="s">
        <v>688</v>
      </c>
      <c r="C85" s="6" t="s">
        <v>689</v>
      </c>
      <c r="D85" s="6" t="s">
        <v>715</v>
      </c>
      <c r="E85" s="6" t="s">
        <v>716</v>
      </c>
      <c r="F85" s="28" t="s">
        <v>717</v>
      </c>
      <c r="G85" s="29" t="s">
        <v>143</v>
      </c>
      <c r="H85" s="29" t="s">
        <v>244</v>
      </c>
      <c r="I85" s="28" t="s">
        <v>718</v>
      </c>
      <c r="J85" s="28" t="s">
        <v>719</v>
      </c>
      <c r="K85" s="28" t="s">
        <v>720</v>
      </c>
      <c r="L85" s="6" t="s">
        <v>721</v>
      </c>
      <c r="M85" s="22" t="s">
        <v>73</v>
      </c>
      <c r="N85" s="22" t="s">
        <v>71</v>
      </c>
      <c r="O85" s="22" t="s">
        <v>149</v>
      </c>
      <c r="P85" s="31" t="n">
        <f aca="false">IFERROR(VLOOKUP($M85,Assumptions!$A$15:$B$20,2,FALSE()),0)</f>
        <v>5</v>
      </c>
      <c r="Q85" s="31" t="n">
        <f aca="false">IFERROR(VLOOKUP($N85,Assumptions!$A$15:$B$20,2,FALSE()),0)</f>
        <v>3</v>
      </c>
      <c r="R85" s="31" t="n">
        <f aca="false">ROUND((P85+Q85)*Assumptions!$B$8,1)</f>
        <v>1</v>
      </c>
      <c r="S85" s="31" t="n">
        <f aca="false">IF($O85="Y",ROUND(Q85*Assumptions!$B$9,1),0)</f>
        <v>0</v>
      </c>
      <c r="T85" s="31" t="n">
        <f aca="false">ROUND((P85+Q85)*Assumptions!$B$10,1)</f>
        <v>2.8</v>
      </c>
      <c r="U85" s="9" t="n">
        <f aca="false">SUM(P85:T85)</f>
        <v>11.8</v>
      </c>
      <c r="V85" s="36" t="s">
        <v>396</v>
      </c>
      <c r="W85" s="28" t="s">
        <v>705</v>
      </c>
    </row>
    <row r="86" customFormat="false" ht="23.85" hidden="false" customHeight="false" outlineLevel="0" collapsed="false">
      <c r="A86" s="7" t="s">
        <v>722</v>
      </c>
      <c r="B86" s="14" t="s">
        <v>688</v>
      </c>
      <c r="C86" s="6" t="s">
        <v>689</v>
      </c>
      <c r="D86" s="6" t="s">
        <v>723</v>
      </c>
      <c r="E86" s="6" t="s">
        <v>724</v>
      </c>
      <c r="F86" s="28" t="s">
        <v>692</v>
      </c>
      <c r="G86" s="29" t="s">
        <v>143</v>
      </c>
      <c r="H86" s="29" t="s">
        <v>244</v>
      </c>
      <c r="I86" s="28" t="s">
        <v>725</v>
      </c>
      <c r="J86" s="28" t="s">
        <v>726</v>
      </c>
      <c r="K86" s="28" t="s">
        <v>727</v>
      </c>
      <c r="L86" s="6" t="s">
        <v>156</v>
      </c>
      <c r="M86" s="22" t="s">
        <v>71</v>
      </c>
      <c r="N86" s="22" t="s">
        <v>71</v>
      </c>
      <c r="O86" s="22" t="s">
        <v>149</v>
      </c>
      <c r="P86" s="31" t="n">
        <f aca="false">IFERROR(VLOOKUP($M86,Assumptions!$A$15:$B$20,2,FALSE()),0)</f>
        <v>3</v>
      </c>
      <c r="Q86" s="31" t="n">
        <f aca="false">IFERROR(VLOOKUP($N86,Assumptions!$A$15:$B$20,2,FALSE()),0)</f>
        <v>3</v>
      </c>
      <c r="R86" s="31" t="n">
        <f aca="false">ROUND((P86+Q86)*Assumptions!$B$8,1)</f>
        <v>0.7</v>
      </c>
      <c r="S86" s="31" t="n">
        <f aca="false">IF($O86="Y",ROUND(Q86*Assumptions!$B$9,1),0)</f>
        <v>0</v>
      </c>
      <c r="T86" s="31" t="n">
        <f aca="false">ROUND((P86+Q86)*Assumptions!$B$10,1)</f>
        <v>2.1</v>
      </c>
      <c r="U86" s="9" t="n">
        <f aca="false">SUM(P86:T86)</f>
        <v>8.8</v>
      </c>
      <c r="V86" s="35" t="s">
        <v>386</v>
      </c>
      <c r="W86" s="28"/>
    </row>
    <row r="87" customFormat="false" ht="23.85" hidden="false" customHeight="false" outlineLevel="0" collapsed="false">
      <c r="A87" s="7" t="s">
        <v>728</v>
      </c>
      <c r="B87" s="14" t="s">
        <v>688</v>
      </c>
      <c r="C87" s="6" t="s">
        <v>689</v>
      </c>
      <c r="D87" s="6" t="s">
        <v>729</v>
      </c>
      <c r="E87" s="6" t="s">
        <v>730</v>
      </c>
      <c r="F87" s="28" t="s">
        <v>692</v>
      </c>
      <c r="G87" s="29" t="s">
        <v>143</v>
      </c>
      <c r="H87" s="29" t="s">
        <v>244</v>
      </c>
      <c r="I87" s="28" t="s">
        <v>731</v>
      </c>
      <c r="J87" s="28" t="s">
        <v>732</v>
      </c>
      <c r="K87" s="28" t="s">
        <v>733</v>
      </c>
      <c r="L87" s="6" t="s">
        <v>192</v>
      </c>
      <c r="M87" s="22" t="s">
        <v>71</v>
      </c>
      <c r="N87" s="22" t="s">
        <v>71</v>
      </c>
      <c r="O87" s="22" t="s">
        <v>149</v>
      </c>
      <c r="P87" s="31" t="n">
        <f aca="false">IFERROR(VLOOKUP($M87,Assumptions!$A$15:$B$20,2,FALSE()),0)</f>
        <v>3</v>
      </c>
      <c r="Q87" s="31" t="n">
        <f aca="false">IFERROR(VLOOKUP($N87,Assumptions!$A$15:$B$20,2,FALSE()),0)</f>
        <v>3</v>
      </c>
      <c r="R87" s="31" t="n">
        <f aca="false">ROUND((P87+Q87)*Assumptions!$B$8,1)</f>
        <v>0.7</v>
      </c>
      <c r="S87" s="31" t="n">
        <f aca="false">IF($O87="Y",ROUND(Q87*Assumptions!$B$9,1),0)</f>
        <v>0</v>
      </c>
      <c r="T87" s="31" t="n">
        <f aca="false">ROUND((P87+Q87)*Assumptions!$B$10,1)</f>
        <v>2.1</v>
      </c>
      <c r="U87" s="9" t="n">
        <f aca="false">SUM(P87:T87)</f>
        <v>8.8</v>
      </c>
      <c r="V87" s="34" t="s">
        <v>320</v>
      </c>
      <c r="W87" s="28"/>
    </row>
    <row r="88" customFormat="false" ht="23.85" hidden="false" customHeight="false" outlineLevel="0" collapsed="false">
      <c r="A88" s="7" t="s">
        <v>734</v>
      </c>
      <c r="B88" s="14" t="s">
        <v>688</v>
      </c>
      <c r="C88" s="6" t="s">
        <v>689</v>
      </c>
      <c r="D88" s="6" t="s">
        <v>735</v>
      </c>
      <c r="E88" s="6" t="s">
        <v>736</v>
      </c>
      <c r="F88" s="28" t="s">
        <v>737</v>
      </c>
      <c r="G88" s="29" t="s">
        <v>143</v>
      </c>
      <c r="H88" s="29" t="s">
        <v>244</v>
      </c>
      <c r="I88" s="28" t="s">
        <v>738</v>
      </c>
      <c r="J88" s="28" t="s">
        <v>739</v>
      </c>
      <c r="K88" s="28" t="s">
        <v>740</v>
      </c>
      <c r="L88" s="6" t="s">
        <v>741</v>
      </c>
      <c r="M88" s="22" t="s">
        <v>73</v>
      </c>
      <c r="N88" s="22" t="s">
        <v>71</v>
      </c>
      <c r="O88" s="22" t="s">
        <v>149</v>
      </c>
      <c r="P88" s="31" t="n">
        <f aca="false">IFERROR(VLOOKUP($M88,Assumptions!$A$15:$B$20,2,FALSE()),0)</f>
        <v>5</v>
      </c>
      <c r="Q88" s="31" t="n">
        <f aca="false">IFERROR(VLOOKUP($N88,Assumptions!$A$15:$B$20,2,FALSE()),0)</f>
        <v>3</v>
      </c>
      <c r="R88" s="31" t="n">
        <f aca="false">ROUND((P88+Q88)*Assumptions!$B$8,1)</f>
        <v>1</v>
      </c>
      <c r="S88" s="31" t="n">
        <f aca="false">IF($O88="Y",ROUND(Q88*Assumptions!$B$9,1),0)</f>
        <v>0</v>
      </c>
      <c r="T88" s="31" t="n">
        <f aca="false">ROUND((P88+Q88)*Assumptions!$B$10,1)</f>
        <v>2.8</v>
      </c>
      <c r="U88" s="9" t="n">
        <f aca="false">SUM(P88:T88)</f>
        <v>11.8</v>
      </c>
      <c r="V88" s="35" t="s">
        <v>386</v>
      </c>
      <c r="W88" s="28"/>
    </row>
    <row r="89" customFormat="false" ht="23.85" hidden="false" customHeight="false" outlineLevel="0" collapsed="false">
      <c r="A89" s="7" t="s">
        <v>742</v>
      </c>
      <c r="B89" s="14" t="s">
        <v>688</v>
      </c>
      <c r="C89" s="6" t="s">
        <v>689</v>
      </c>
      <c r="D89" s="6" t="s">
        <v>743</v>
      </c>
      <c r="E89" s="6" t="s">
        <v>744</v>
      </c>
      <c r="F89" s="28" t="s">
        <v>745</v>
      </c>
      <c r="G89" s="32" t="s">
        <v>265</v>
      </c>
      <c r="H89" s="29" t="s">
        <v>244</v>
      </c>
      <c r="I89" s="28" t="s">
        <v>746</v>
      </c>
      <c r="J89" s="28" t="s">
        <v>747</v>
      </c>
      <c r="K89" s="28" t="s">
        <v>748</v>
      </c>
      <c r="L89" s="6" t="s">
        <v>250</v>
      </c>
      <c r="M89" s="22" t="s">
        <v>71</v>
      </c>
      <c r="N89" s="22" t="s">
        <v>73</v>
      </c>
      <c r="O89" s="22" t="s">
        <v>169</v>
      </c>
      <c r="P89" s="31" t="n">
        <f aca="false">IFERROR(VLOOKUP($M89,Assumptions!$A$15:$B$20,2,FALSE()),0)</f>
        <v>3</v>
      </c>
      <c r="Q89" s="31" t="n">
        <f aca="false">IFERROR(VLOOKUP($N89,Assumptions!$A$15:$B$20,2,FALSE()),0)</f>
        <v>5</v>
      </c>
      <c r="R89" s="31" t="n">
        <f aca="false">ROUND((P89+Q89)*Assumptions!$B$8,1)</f>
        <v>1</v>
      </c>
      <c r="S89" s="31" t="n">
        <f aca="false">IF($O89="Y",ROUND(Q89*Assumptions!$B$9,1),0)</f>
        <v>2</v>
      </c>
      <c r="T89" s="31" t="n">
        <f aca="false">ROUND((P89+Q89)*Assumptions!$B$10,1)</f>
        <v>2.8</v>
      </c>
      <c r="U89" s="9" t="n">
        <f aca="false">SUM(P89:T89)</f>
        <v>13.8</v>
      </c>
      <c r="V89" s="34" t="s">
        <v>320</v>
      </c>
      <c r="W89" s="28" t="s">
        <v>749</v>
      </c>
    </row>
    <row r="90" customFormat="false" ht="23.85" hidden="false" customHeight="false" outlineLevel="0" collapsed="false">
      <c r="A90" s="7" t="s">
        <v>750</v>
      </c>
      <c r="B90" s="14" t="s">
        <v>688</v>
      </c>
      <c r="C90" s="6" t="s">
        <v>689</v>
      </c>
      <c r="D90" s="6" t="s">
        <v>751</v>
      </c>
      <c r="E90" s="6" t="s">
        <v>752</v>
      </c>
      <c r="F90" s="28" t="s">
        <v>745</v>
      </c>
      <c r="G90" s="32" t="s">
        <v>265</v>
      </c>
      <c r="H90" s="29" t="s">
        <v>244</v>
      </c>
      <c r="I90" s="28" t="s">
        <v>753</v>
      </c>
      <c r="J90" s="28" t="s">
        <v>754</v>
      </c>
      <c r="K90" s="28" t="s">
        <v>755</v>
      </c>
      <c r="L90" s="6" t="s">
        <v>192</v>
      </c>
      <c r="M90" s="22" t="s">
        <v>69</v>
      </c>
      <c r="N90" s="22" t="s">
        <v>71</v>
      </c>
      <c r="O90" s="22" t="s">
        <v>149</v>
      </c>
      <c r="P90" s="31" t="n">
        <f aca="false">IFERROR(VLOOKUP($M90,Assumptions!$A$15:$B$20,2,FALSE()),0)</f>
        <v>1</v>
      </c>
      <c r="Q90" s="31" t="n">
        <f aca="false">IFERROR(VLOOKUP($N90,Assumptions!$A$15:$B$20,2,FALSE()),0)</f>
        <v>3</v>
      </c>
      <c r="R90" s="31" t="n">
        <f aca="false">ROUND((P90+Q90)*Assumptions!$B$8,1)</f>
        <v>0.5</v>
      </c>
      <c r="S90" s="31" t="n">
        <f aca="false">IF($O90="Y",ROUND(Q90*Assumptions!$B$9,1),0)</f>
        <v>0</v>
      </c>
      <c r="T90" s="31" t="n">
        <f aca="false">ROUND((P90+Q90)*Assumptions!$B$10,1)</f>
        <v>1.4</v>
      </c>
      <c r="U90" s="9" t="n">
        <f aca="false">SUM(P90:T90)</f>
        <v>5.9</v>
      </c>
      <c r="V90" s="34" t="s">
        <v>320</v>
      </c>
      <c r="W90" s="28" t="s">
        <v>756</v>
      </c>
    </row>
    <row r="91" customFormat="false" ht="23.85" hidden="false" customHeight="false" outlineLevel="0" collapsed="false">
      <c r="A91" s="7" t="s">
        <v>757</v>
      </c>
      <c r="B91" s="14" t="s">
        <v>688</v>
      </c>
      <c r="C91" s="6" t="s">
        <v>689</v>
      </c>
      <c r="D91" s="6" t="s">
        <v>758</v>
      </c>
      <c r="E91" s="6" t="s">
        <v>759</v>
      </c>
      <c r="F91" s="28" t="s">
        <v>692</v>
      </c>
      <c r="G91" s="32" t="s">
        <v>265</v>
      </c>
      <c r="H91" s="32" t="s">
        <v>272</v>
      </c>
      <c r="I91" s="28" t="s">
        <v>760</v>
      </c>
      <c r="J91" s="28" t="s">
        <v>761</v>
      </c>
      <c r="K91" s="28" t="s">
        <v>762</v>
      </c>
      <c r="L91" s="6" t="s">
        <v>250</v>
      </c>
      <c r="M91" s="22" t="s">
        <v>71</v>
      </c>
      <c r="N91" s="22" t="s">
        <v>71</v>
      </c>
      <c r="O91" s="22" t="s">
        <v>149</v>
      </c>
      <c r="P91" s="31" t="n">
        <f aca="false">IFERROR(VLOOKUP($M91,Assumptions!$A$15:$B$20,2,FALSE()),0)</f>
        <v>3</v>
      </c>
      <c r="Q91" s="31" t="n">
        <f aca="false">IFERROR(VLOOKUP($N91,Assumptions!$A$15:$B$20,2,FALSE()),0)</f>
        <v>3</v>
      </c>
      <c r="R91" s="31" t="n">
        <f aca="false">ROUND((P91+Q91)*Assumptions!$B$8,1)</f>
        <v>0.7</v>
      </c>
      <c r="S91" s="31" t="n">
        <f aca="false">IF($O91="Y",ROUND(Q91*Assumptions!$B$9,1),0)</f>
        <v>0</v>
      </c>
      <c r="T91" s="31" t="n">
        <f aca="false">ROUND((P91+Q91)*Assumptions!$B$10,1)</f>
        <v>2.1</v>
      </c>
      <c r="U91" s="9" t="n">
        <f aca="false">SUM(P91:T91)</f>
        <v>8.8</v>
      </c>
      <c r="V91" s="34" t="s">
        <v>320</v>
      </c>
      <c r="W91" s="28"/>
    </row>
    <row r="92" customFormat="false" ht="23.85" hidden="false" customHeight="false" outlineLevel="0" collapsed="false">
      <c r="A92" s="7" t="s">
        <v>763</v>
      </c>
      <c r="B92" s="14" t="s">
        <v>688</v>
      </c>
      <c r="C92" s="6" t="s">
        <v>689</v>
      </c>
      <c r="D92" s="6" t="s">
        <v>764</v>
      </c>
      <c r="E92" s="6" t="s">
        <v>765</v>
      </c>
      <c r="F92" s="28" t="s">
        <v>766</v>
      </c>
      <c r="G92" s="32" t="s">
        <v>265</v>
      </c>
      <c r="H92" s="32" t="s">
        <v>272</v>
      </c>
      <c r="I92" s="28" t="s">
        <v>767</v>
      </c>
      <c r="J92" s="28" t="s">
        <v>768</v>
      </c>
      <c r="K92" s="28" t="s">
        <v>769</v>
      </c>
      <c r="L92" s="6" t="s">
        <v>770</v>
      </c>
      <c r="M92" s="22" t="s">
        <v>73</v>
      </c>
      <c r="N92" s="22" t="s">
        <v>71</v>
      </c>
      <c r="O92" s="22" t="s">
        <v>149</v>
      </c>
      <c r="P92" s="31" t="n">
        <f aca="false">IFERROR(VLOOKUP($M92,Assumptions!$A$15:$B$20,2,FALSE()),0)</f>
        <v>5</v>
      </c>
      <c r="Q92" s="31" t="n">
        <f aca="false">IFERROR(VLOOKUP($N92,Assumptions!$A$15:$B$20,2,FALSE()),0)</f>
        <v>3</v>
      </c>
      <c r="R92" s="31" t="n">
        <f aca="false">ROUND((P92+Q92)*Assumptions!$B$8,1)</f>
        <v>1</v>
      </c>
      <c r="S92" s="31" t="n">
        <f aca="false">IF($O92="Y",ROUND(Q92*Assumptions!$B$9,1),0)</f>
        <v>0</v>
      </c>
      <c r="T92" s="31" t="n">
        <f aca="false">ROUND((P92+Q92)*Assumptions!$B$10,1)</f>
        <v>2.8</v>
      </c>
      <c r="U92" s="9" t="n">
        <f aca="false">SUM(P92:T92)</f>
        <v>11.8</v>
      </c>
      <c r="V92" s="35" t="s">
        <v>386</v>
      </c>
      <c r="W92" s="28"/>
    </row>
    <row r="93" customFormat="false" ht="23.85" hidden="false" customHeight="false" outlineLevel="0" collapsed="false">
      <c r="A93" s="7" t="s">
        <v>771</v>
      </c>
      <c r="B93" s="14" t="s">
        <v>688</v>
      </c>
      <c r="C93" s="6" t="s">
        <v>689</v>
      </c>
      <c r="D93" s="6" t="s">
        <v>772</v>
      </c>
      <c r="E93" s="6" t="s">
        <v>773</v>
      </c>
      <c r="F93" s="28" t="s">
        <v>709</v>
      </c>
      <c r="G93" s="32" t="s">
        <v>265</v>
      </c>
      <c r="H93" s="32" t="s">
        <v>272</v>
      </c>
      <c r="I93" s="28" t="s">
        <v>774</v>
      </c>
      <c r="J93" s="28" t="s">
        <v>775</v>
      </c>
      <c r="K93" s="28" t="s">
        <v>776</v>
      </c>
      <c r="L93" s="6" t="s">
        <v>777</v>
      </c>
      <c r="M93" s="22" t="s">
        <v>69</v>
      </c>
      <c r="N93" s="22" t="s">
        <v>71</v>
      </c>
      <c r="O93" s="22" t="s">
        <v>149</v>
      </c>
      <c r="P93" s="31" t="n">
        <f aca="false">IFERROR(VLOOKUP($M93,Assumptions!$A$15:$B$20,2,FALSE()),0)</f>
        <v>1</v>
      </c>
      <c r="Q93" s="31" t="n">
        <f aca="false">IFERROR(VLOOKUP($N93,Assumptions!$A$15:$B$20,2,FALSE()),0)</f>
        <v>3</v>
      </c>
      <c r="R93" s="31" t="n">
        <f aca="false">ROUND((P93+Q93)*Assumptions!$B$8,1)</f>
        <v>0.5</v>
      </c>
      <c r="S93" s="31" t="n">
        <f aca="false">IF($O93="Y",ROUND(Q93*Assumptions!$B$9,1),0)</f>
        <v>0</v>
      </c>
      <c r="T93" s="31" t="n">
        <f aca="false">ROUND((P93+Q93)*Assumptions!$B$10,1)</f>
        <v>1.4</v>
      </c>
      <c r="U93" s="9" t="n">
        <f aca="false">SUM(P93:T93)</f>
        <v>5.9</v>
      </c>
      <c r="V93" s="36" t="s">
        <v>396</v>
      </c>
      <c r="W93" s="28"/>
    </row>
    <row r="94" customFormat="false" ht="23.85" hidden="false" customHeight="false" outlineLevel="0" collapsed="false">
      <c r="A94" s="7" t="s">
        <v>778</v>
      </c>
      <c r="B94" s="14" t="s">
        <v>688</v>
      </c>
      <c r="C94" s="6" t="s">
        <v>689</v>
      </c>
      <c r="D94" s="6" t="s">
        <v>779</v>
      </c>
      <c r="E94" s="6" t="s">
        <v>780</v>
      </c>
      <c r="F94" s="28" t="s">
        <v>745</v>
      </c>
      <c r="G94" s="32" t="s">
        <v>265</v>
      </c>
      <c r="H94" s="32" t="s">
        <v>272</v>
      </c>
      <c r="I94" s="28" t="s">
        <v>781</v>
      </c>
      <c r="J94" s="28" t="s">
        <v>782</v>
      </c>
      <c r="K94" s="28" t="s">
        <v>783</v>
      </c>
      <c r="L94" s="6" t="s">
        <v>742</v>
      </c>
      <c r="M94" s="22" t="s">
        <v>71</v>
      </c>
      <c r="N94" s="22" t="s">
        <v>73</v>
      </c>
      <c r="O94" s="22" t="s">
        <v>169</v>
      </c>
      <c r="P94" s="31" t="n">
        <f aca="false">IFERROR(VLOOKUP($M94,Assumptions!$A$15:$B$20,2,FALSE()),0)</f>
        <v>3</v>
      </c>
      <c r="Q94" s="31" t="n">
        <f aca="false">IFERROR(VLOOKUP($N94,Assumptions!$A$15:$B$20,2,FALSE()),0)</f>
        <v>5</v>
      </c>
      <c r="R94" s="31" t="n">
        <f aca="false">ROUND((P94+Q94)*Assumptions!$B$8,1)</f>
        <v>1</v>
      </c>
      <c r="S94" s="31" t="n">
        <f aca="false">IF($O94="Y",ROUND(Q94*Assumptions!$B$9,1),0)</f>
        <v>2</v>
      </c>
      <c r="T94" s="31" t="n">
        <f aca="false">ROUND((P94+Q94)*Assumptions!$B$10,1)</f>
        <v>2.8</v>
      </c>
      <c r="U94" s="9" t="n">
        <f aca="false">SUM(P94:T94)</f>
        <v>13.8</v>
      </c>
      <c r="V94" s="35" t="s">
        <v>386</v>
      </c>
      <c r="W94" s="28"/>
    </row>
    <row r="95" customFormat="false" ht="23.85" hidden="false" customHeight="false" outlineLevel="0" collapsed="false">
      <c r="A95" s="7" t="s">
        <v>784</v>
      </c>
      <c r="B95" s="14" t="s">
        <v>688</v>
      </c>
      <c r="C95" s="6" t="s">
        <v>689</v>
      </c>
      <c r="D95" s="6" t="s">
        <v>785</v>
      </c>
      <c r="E95" s="6" t="s">
        <v>786</v>
      </c>
      <c r="F95" s="28" t="s">
        <v>692</v>
      </c>
      <c r="G95" s="32" t="s">
        <v>265</v>
      </c>
      <c r="H95" s="32" t="s">
        <v>272</v>
      </c>
      <c r="I95" s="28" t="s">
        <v>787</v>
      </c>
      <c r="J95" s="28" t="s">
        <v>788</v>
      </c>
      <c r="K95" s="28" t="s">
        <v>789</v>
      </c>
      <c r="L95" s="6" t="s">
        <v>168</v>
      </c>
      <c r="M95" s="22" t="s">
        <v>71</v>
      </c>
      <c r="N95" s="22" t="s">
        <v>69</v>
      </c>
      <c r="O95" s="22" t="s">
        <v>149</v>
      </c>
      <c r="P95" s="31" t="n">
        <f aca="false">IFERROR(VLOOKUP($M95,Assumptions!$A$15:$B$20,2,FALSE()),0)</f>
        <v>3</v>
      </c>
      <c r="Q95" s="31" t="n">
        <f aca="false">IFERROR(VLOOKUP($N95,Assumptions!$A$15:$B$20,2,FALSE()),0)</f>
        <v>1</v>
      </c>
      <c r="R95" s="31" t="n">
        <f aca="false">ROUND((P95+Q95)*Assumptions!$B$8,1)</f>
        <v>0.5</v>
      </c>
      <c r="S95" s="31" t="n">
        <f aca="false">IF($O95="Y",ROUND(Q95*Assumptions!$B$9,1),0)</f>
        <v>0</v>
      </c>
      <c r="T95" s="31" t="n">
        <f aca="false">ROUND((P95+Q95)*Assumptions!$B$10,1)</f>
        <v>1.4</v>
      </c>
      <c r="U95" s="9" t="n">
        <f aca="false">SUM(P95:T95)</f>
        <v>5.9</v>
      </c>
      <c r="V95" s="35" t="s">
        <v>386</v>
      </c>
      <c r="W95" s="28"/>
    </row>
    <row r="96" customFormat="false" ht="23.85" hidden="false" customHeight="false" outlineLevel="0" collapsed="false">
      <c r="A96" s="7" t="s">
        <v>790</v>
      </c>
      <c r="B96" s="14" t="s">
        <v>688</v>
      </c>
      <c r="C96" s="6" t="s">
        <v>689</v>
      </c>
      <c r="D96" s="6" t="s">
        <v>791</v>
      </c>
      <c r="E96" s="6" t="s">
        <v>792</v>
      </c>
      <c r="F96" s="28" t="s">
        <v>692</v>
      </c>
      <c r="G96" s="32" t="s">
        <v>265</v>
      </c>
      <c r="H96" s="32" t="s">
        <v>272</v>
      </c>
      <c r="I96" s="28" t="s">
        <v>793</v>
      </c>
      <c r="J96" s="28" t="s">
        <v>794</v>
      </c>
      <c r="K96" s="28" t="s">
        <v>795</v>
      </c>
      <c r="L96" s="6" t="s">
        <v>796</v>
      </c>
      <c r="M96" s="22" t="s">
        <v>73</v>
      </c>
      <c r="N96" s="22" t="s">
        <v>71</v>
      </c>
      <c r="O96" s="22" t="s">
        <v>149</v>
      </c>
      <c r="P96" s="31" t="n">
        <f aca="false">IFERROR(VLOOKUP($M96,Assumptions!$A$15:$B$20,2,FALSE()),0)</f>
        <v>5</v>
      </c>
      <c r="Q96" s="31" t="n">
        <f aca="false">IFERROR(VLOOKUP($N96,Assumptions!$A$15:$B$20,2,FALSE()),0)</f>
        <v>3</v>
      </c>
      <c r="R96" s="31" t="n">
        <f aca="false">ROUND((P96+Q96)*Assumptions!$B$8,1)</f>
        <v>1</v>
      </c>
      <c r="S96" s="31" t="n">
        <f aca="false">IF($O96="Y",ROUND(Q96*Assumptions!$B$9,1),0)</f>
        <v>0</v>
      </c>
      <c r="T96" s="31" t="n">
        <f aca="false">ROUND((P96+Q96)*Assumptions!$B$10,1)</f>
        <v>2.8</v>
      </c>
      <c r="U96" s="9" t="n">
        <f aca="false">SUM(P96:T96)</f>
        <v>11.8</v>
      </c>
      <c r="V96" s="35" t="s">
        <v>386</v>
      </c>
      <c r="W96" s="28"/>
    </row>
    <row r="97" customFormat="false" ht="23.85" hidden="false" customHeight="false" outlineLevel="0" collapsed="false">
      <c r="A97" s="7" t="s">
        <v>797</v>
      </c>
      <c r="B97" s="14" t="s">
        <v>688</v>
      </c>
      <c r="C97" s="6" t="s">
        <v>689</v>
      </c>
      <c r="D97" s="6" t="s">
        <v>798</v>
      </c>
      <c r="E97" s="6" t="s">
        <v>799</v>
      </c>
      <c r="F97" s="28" t="s">
        <v>745</v>
      </c>
      <c r="G97" s="33" t="s">
        <v>286</v>
      </c>
      <c r="H97" s="33" t="s">
        <v>287</v>
      </c>
      <c r="I97" s="28" t="s">
        <v>800</v>
      </c>
      <c r="J97" s="28" t="s">
        <v>801</v>
      </c>
      <c r="K97" s="28" t="s">
        <v>802</v>
      </c>
      <c r="L97" s="6" t="s">
        <v>742</v>
      </c>
      <c r="M97" s="22" t="s">
        <v>69</v>
      </c>
      <c r="N97" s="22" t="s">
        <v>71</v>
      </c>
      <c r="O97" s="22" t="s">
        <v>149</v>
      </c>
      <c r="P97" s="31" t="n">
        <f aca="false">IFERROR(VLOOKUP($M97,Assumptions!$A$15:$B$20,2,FALSE()),0)</f>
        <v>1</v>
      </c>
      <c r="Q97" s="31" t="n">
        <f aca="false">IFERROR(VLOOKUP($N97,Assumptions!$A$15:$B$20,2,FALSE()),0)</f>
        <v>3</v>
      </c>
      <c r="R97" s="31" t="n">
        <f aca="false">ROUND((P97+Q97)*Assumptions!$B$8,1)</f>
        <v>0.5</v>
      </c>
      <c r="S97" s="31" t="n">
        <f aca="false">IF($O97="Y",ROUND(Q97*Assumptions!$B$9,1),0)</f>
        <v>0</v>
      </c>
      <c r="T97" s="31" t="n">
        <f aca="false">ROUND((P97+Q97)*Assumptions!$B$10,1)</f>
        <v>1.4</v>
      </c>
      <c r="U97" s="9" t="n">
        <f aca="false">SUM(P97:T97)</f>
        <v>5.9</v>
      </c>
      <c r="V97" s="35" t="s">
        <v>386</v>
      </c>
      <c r="W97" s="28"/>
    </row>
    <row r="98" customFormat="false" ht="23.85" hidden="false" customHeight="false" outlineLevel="0" collapsed="false">
      <c r="A98" s="7" t="s">
        <v>803</v>
      </c>
      <c r="B98" s="14" t="s">
        <v>804</v>
      </c>
      <c r="C98" s="6" t="s">
        <v>805</v>
      </c>
      <c r="D98" s="6" t="s">
        <v>806</v>
      </c>
      <c r="E98" s="6" t="s">
        <v>807</v>
      </c>
      <c r="F98" s="28" t="s">
        <v>808</v>
      </c>
      <c r="G98" s="29" t="s">
        <v>143</v>
      </c>
      <c r="H98" s="29" t="s">
        <v>244</v>
      </c>
      <c r="I98" s="28" t="s">
        <v>809</v>
      </c>
      <c r="J98" s="28" t="s">
        <v>810</v>
      </c>
      <c r="K98" s="28" t="s">
        <v>811</v>
      </c>
      <c r="L98" s="6" t="s">
        <v>458</v>
      </c>
      <c r="M98" s="22" t="s">
        <v>73</v>
      </c>
      <c r="N98" s="22" t="s">
        <v>73</v>
      </c>
      <c r="O98" s="22" t="s">
        <v>169</v>
      </c>
      <c r="P98" s="31" t="n">
        <f aca="false">IFERROR(VLOOKUP($M98,Assumptions!$A$15:$B$20,2,FALSE()),0)</f>
        <v>5</v>
      </c>
      <c r="Q98" s="31" t="n">
        <f aca="false">IFERROR(VLOOKUP($N98,Assumptions!$A$15:$B$20,2,FALSE()),0)</f>
        <v>5</v>
      </c>
      <c r="R98" s="31" t="n">
        <f aca="false">ROUND((P98+Q98)*Assumptions!$B$8,1)</f>
        <v>1.2</v>
      </c>
      <c r="S98" s="31" t="n">
        <f aca="false">IF($O98="Y",ROUND(Q98*Assumptions!$B$9,1),0)</f>
        <v>2</v>
      </c>
      <c r="T98" s="31" t="n">
        <f aca="false">ROUND((P98+Q98)*Assumptions!$B$10,1)</f>
        <v>3.5</v>
      </c>
      <c r="U98" s="9" t="n">
        <f aca="false">SUM(P98:T98)</f>
        <v>16.7</v>
      </c>
      <c r="V98" s="34" t="s">
        <v>320</v>
      </c>
      <c r="W98" s="28"/>
    </row>
    <row r="99" customFormat="false" ht="23.85" hidden="false" customHeight="false" outlineLevel="0" collapsed="false">
      <c r="A99" s="7" t="s">
        <v>812</v>
      </c>
      <c r="B99" s="14" t="s">
        <v>804</v>
      </c>
      <c r="C99" s="6" t="s">
        <v>805</v>
      </c>
      <c r="D99" s="6" t="s">
        <v>813</v>
      </c>
      <c r="E99" s="6" t="s">
        <v>814</v>
      </c>
      <c r="F99" s="28" t="s">
        <v>815</v>
      </c>
      <c r="G99" s="29" t="s">
        <v>143</v>
      </c>
      <c r="H99" s="29" t="s">
        <v>244</v>
      </c>
      <c r="I99" s="28" t="s">
        <v>816</v>
      </c>
      <c r="J99" s="28" t="s">
        <v>817</v>
      </c>
      <c r="K99" s="28" t="s">
        <v>818</v>
      </c>
      <c r="L99" s="6" t="s">
        <v>472</v>
      </c>
      <c r="M99" s="22" t="s">
        <v>73</v>
      </c>
      <c r="N99" s="22" t="s">
        <v>73</v>
      </c>
      <c r="O99" s="22" t="s">
        <v>169</v>
      </c>
      <c r="P99" s="31" t="n">
        <f aca="false">IFERROR(VLOOKUP($M99,Assumptions!$A$15:$B$20,2,FALSE()),0)</f>
        <v>5</v>
      </c>
      <c r="Q99" s="31" t="n">
        <f aca="false">IFERROR(VLOOKUP($N99,Assumptions!$A$15:$B$20,2,FALSE()),0)</f>
        <v>5</v>
      </c>
      <c r="R99" s="31" t="n">
        <f aca="false">ROUND((P99+Q99)*Assumptions!$B$8,1)</f>
        <v>1.2</v>
      </c>
      <c r="S99" s="31" t="n">
        <f aca="false">IF($O99="Y",ROUND(Q99*Assumptions!$B$9,1),0)</f>
        <v>2</v>
      </c>
      <c r="T99" s="31" t="n">
        <f aca="false">ROUND((P99+Q99)*Assumptions!$B$10,1)</f>
        <v>3.5</v>
      </c>
      <c r="U99" s="9" t="n">
        <f aca="false">SUM(P99:T99)</f>
        <v>16.7</v>
      </c>
      <c r="V99" s="34" t="s">
        <v>320</v>
      </c>
      <c r="W99" s="28"/>
    </row>
    <row r="100" customFormat="false" ht="35.05" hidden="false" customHeight="false" outlineLevel="0" collapsed="false">
      <c r="A100" s="7" t="s">
        <v>819</v>
      </c>
      <c r="B100" s="14" t="s">
        <v>804</v>
      </c>
      <c r="C100" s="6" t="s">
        <v>805</v>
      </c>
      <c r="D100" s="6" t="s">
        <v>820</v>
      </c>
      <c r="E100" s="6" t="s">
        <v>821</v>
      </c>
      <c r="F100" s="28" t="s">
        <v>808</v>
      </c>
      <c r="G100" s="29" t="s">
        <v>143</v>
      </c>
      <c r="H100" s="29" t="s">
        <v>244</v>
      </c>
      <c r="I100" s="28" t="s">
        <v>822</v>
      </c>
      <c r="J100" s="28" t="s">
        <v>823</v>
      </c>
      <c r="K100" s="28" t="s">
        <v>824</v>
      </c>
      <c r="L100" s="6" t="s">
        <v>825</v>
      </c>
      <c r="M100" s="22" t="s">
        <v>75</v>
      </c>
      <c r="N100" s="22" t="s">
        <v>75</v>
      </c>
      <c r="O100" s="22" t="s">
        <v>169</v>
      </c>
      <c r="P100" s="31" t="n">
        <f aca="false">IFERROR(VLOOKUP($M100,Assumptions!$A$15:$B$20,2,FALSE()),0)</f>
        <v>10</v>
      </c>
      <c r="Q100" s="31" t="n">
        <f aca="false">IFERROR(VLOOKUP($N100,Assumptions!$A$15:$B$20,2,FALSE()),0)</f>
        <v>10</v>
      </c>
      <c r="R100" s="31" t="n">
        <f aca="false">ROUND((P100+Q100)*Assumptions!$B$8,1)</f>
        <v>2.4</v>
      </c>
      <c r="S100" s="31" t="n">
        <f aca="false">IF($O100="Y",ROUND(Q100*Assumptions!$B$9,1),0)</f>
        <v>4</v>
      </c>
      <c r="T100" s="31" t="n">
        <f aca="false">ROUND((P100+Q100)*Assumptions!$B$10,1)</f>
        <v>7</v>
      </c>
      <c r="U100" s="9" t="n">
        <f aca="false">SUM(P100:T100)</f>
        <v>33.4</v>
      </c>
      <c r="V100" s="34" t="s">
        <v>320</v>
      </c>
      <c r="W100" s="28"/>
    </row>
    <row r="101" customFormat="false" ht="32.8" hidden="false" customHeight="false" outlineLevel="0" collapsed="false">
      <c r="A101" s="7" t="s">
        <v>826</v>
      </c>
      <c r="B101" s="14" t="s">
        <v>804</v>
      </c>
      <c r="C101" s="6" t="s">
        <v>805</v>
      </c>
      <c r="D101" s="6" t="s">
        <v>827</v>
      </c>
      <c r="E101" s="6" t="s">
        <v>828</v>
      </c>
      <c r="F101" s="28" t="s">
        <v>829</v>
      </c>
      <c r="G101" s="29" t="s">
        <v>143</v>
      </c>
      <c r="H101" s="29" t="s">
        <v>244</v>
      </c>
      <c r="I101" s="28" t="s">
        <v>830</v>
      </c>
      <c r="J101" s="28" t="s">
        <v>831</v>
      </c>
      <c r="K101" s="28" t="s">
        <v>832</v>
      </c>
      <c r="L101" s="6" t="s">
        <v>819</v>
      </c>
      <c r="M101" s="22" t="s">
        <v>73</v>
      </c>
      <c r="N101" s="22" t="s">
        <v>73</v>
      </c>
      <c r="O101" s="22" t="s">
        <v>149</v>
      </c>
      <c r="P101" s="31" t="n">
        <f aca="false">IFERROR(VLOOKUP($M101,Assumptions!$A$15:$B$20,2,FALSE()),0)</f>
        <v>5</v>
      </c>
      <c r="Q101" s="31" t="n">
        <f aca="false">IFERROR(VLOOKUP($N101,Assumptions!$A$15:$B$20,2,FALSE()),0)</f>
        <v>5</v>
      </c>
      <c r="R101" s="31" t="n">
        <f aca="false">ROUND((P101+Q101)*Assumptions!$B$8,1)</f>
        <v>1.2</v>
      </c>
      <c r="S101" s="31" t="n">
        <f aca="false">IF($O101="Y",ROUND(Q101*Assumptions!$B$9,1),0)</f>
        <v>0</v>
      </c>
      <c r="T101" s="31" t="n">
        <f aca="false">ROUND((P101+Q101)*Assumptions!$B$10,1)</f>
        <v>3.5</v>
      </c>
      <c r="U101" s="9" t="n">
        <f aca="false">SUM(P101:T101)</f>
        <v>14.7</v>
      </c>
      <c r="V101" s="35" t="s">
        <v>386</v>
      </c>
      <c r="W101" s="28"/>
    </row>
    <row r="102" customFormat="false" ht="23.85" hidden="false" customHeight="false" outlineLevel="0" collapsed="false">
      <c r="A102" s="7" t="s">
        <v>833</v>
      </c>
      <c r="B102" s="14" t="s">
        <v>804</v>
      </c>
      <c r="C102" s="6" t="s">
        <v>805</v>
      </c>
      <c r="D102" s="6" t="s">
        <v>834</v>
      </c>
      <c r="E102" s="6" t="s">
        <v>835</v>
      </c>
      <c r="F102" s="28" t="s">
        <v>808</v>
      </c>
      <c r="G102" s="29" t="s">
        <v>143</v>
      </c>
      <c r="H102" s="29" t="s">
        <v>244</v>
      </c>
      <c r="I102" s="28" t="s">
        <v>836</v>
      </c>
      <c r="J102" s="28" t="s">
        <v>837</v>
      </c>
      <c r="K102" s="28" t="s">
        <v>838</v>
      </c>
      <c r="L102" s="6" t="s">
        <v>839</v>
      </c>
      <c r="M102" s="22" t="s">
        <v>71</v>
      </c>
      <c r="N102" s="22" t="s">
        <v>71</v>
      </c>
      <c r="O102" s="22" t="s">
        <v>149</v>
      </c>
      <c r="P102" s="31" t="n">
        <f aca="false">IFERROR(VLOOKUP($M102,Assumptions!$A$15:$B$20,2,FALSE()),0)</f>
        <v>3</v>
      </c>
      <c r="Q102" s="31" t="n">
        <f aca="false">IFERROR(VLOOKUP($N102,Assumptions!$A$15:$B$20,2,FALSE()),0)</f>
        <v>3</v>
      </c>
      <c r="R102" s="31" t="n">
        <f aca="false">ROUND((P102+Q102)*Assumptions!$B$8,1)</f>
        <v>0.7</v>
      </c>
      <c r="S102" s="31" t="n">
        <f aca="false">IF($O102="Y",ROUND(Q102*Assumptions!$B$9,1),0)</f>
        <v>0</v>
      </c>
      <c r="T102" s="31" t="n">
        <f aca="false">ROUND((P102+Q102)*Assumptions!$B$10,1)</f>
        <v>2.1</v>
      </c>
      <c r="U102" s="9" t="n">
        <f aca="false">SUM(P102:T102)</f>
        <v>8.8</v>
      </c>
      <c r="V102" s="35" t="s">
        <v>386</v>
      </c>
      <c r="W102" s="28"/>
    </row>
    <row r="103" customFormat="false" ht="23.85" hidden="false" customHeight="false" outlineLevel="0" collapsed="false">
      <c r="A103" s="7" t="s">
        <v>840</v>
      </c>
      <c r="B103" s="14" t="s">
        <v>804</v>
      </c>
      <c r="C103" s="6" t="s">
        <v>805</v>
      </c>
      <c r="D103" s="6" t="s">
        <v>841</v>
      </c>
      <c r="E103" s="6" t="s">
        <v>842</v>
      </c>
      <c r="F103" s="28" t="s">
        <v>843</v>
      </c>
      <c r="G103" s="29" t="s">
        <v>143</v>
      </c>
      <c r="H103" s="29" t="s">
        <v>244</v>
      </c>
      <c r="I103" s="28" t="s">
        <v>844</v>
      </c>
      <c r="J103" s="28" t="s">
        <v>845</v>
      </c>
      <c r="K103" s="28" t="s">
        <v>846</v>
      </c>
      <c r="L103" s="6" t="s">
        <v>847</v>
      </c>
      <c r="M103" s="22" t="s">
        <v>73</v>
      </c>
      <c r="N103" s="22" t="s">
        <v>71</v>
      </c>
      <c r="O103" s="22" t="s">
        <v>149</v>
      </c>
      <c r="P103" s="31" t="n">
        <f aca="false">IFERROR(VLOOKUP($M103,Assumptions!$A$15:$B$20,2,FALSE()),0)</f>
        <v>5</v>
      </c>
      <c r="Q103" s="31" t="n">
        <f aca="false">IFERROR(VLOOKUP($N103,Assumptions!$A$15:$B$20,2,FALSE()),0)</f>
        <v>3</v>
      </c>
      <c r="R103" s="31" t="n">
        <f aca="false">ROUND((P103+Q103)*Assumptions!$B$8,1)</f>
        <v>1</v>
      </c>
      <c r="S103" s="31" t="n">
        <f aca="false">IF($O103="Y",ROUND(Q103*Assumptions!$B$9,1),0)</f>
        <v>0</v>
      </c>
      <c r="T103" s="31" t="n">
        <f aca="false">ROUND((P103+Q103)*Assumptions!$B$10,1)</f>
        <v>2.8</v>
      </c>
      <c r="U103" s="9" t="n">
        <f aca="false">SUM(P103:T103)</f>
        <v>11.8</v>
      </c>
      <c r="V103" s="35" t="s">
        <v>386</v>
      </c>
      <c r="W103" s="28"/>
    </row>
    <row r="104" customFormat="false" ht="23.85" hidden="false" customHeight="false" outlineLevel="0" collapsed="false">
      <c r="A104" s="7" t="s">
        <v>848</v>
      </c>
      <c r="B104" s="14" t="s">
        <v>804</v>
      </c>
      <c r="C104" s="6" t="s">
        <v>805</v>
      </c>
      <c r="D104" s="6" t="s">
        <v>849</v>
      </c>
      <c r="E104" s="6" t="s">
        <v>850</v>
      </c>
      <c r="F104" s="28" t="s">
        <v>851</v>
      </c>
      <c r="G104" s="29" t="s">
        <v>143</v>
      </c>
      <c r="H104" s="29" t="s">
        <v>244</v>
      </c>
      <c r="I104" s="28" t="s">
        <v>852</v>
      </c>
      <c r="J104" s="28" t="s">
        <v>853</v>
      </c>
      <c r="K104" s="28" t="s">
        <v>854</v>
      </c>
      <c r="L104" s="6" t="s">
        <v>819</v>
      </c>
      <c r="M104" s="22" t="s">
        <v>71</v>
      </c>
      <c r="N104" s="22" t="s">
        <v>71</v>
      </c>
      <c r="O104" s="22" t="s">
        <v>149</v>
      </c>
      <c r="P104" s="31" t="n">
        <f aca="false">IFERROR(VLOOKUP($M104,Assumptions!$A$15:$B$20,2,FALSE()),0)</f>
        <v>3</v>
      </c>
      <c r="Q104" s="31" t="n">
        <f aca="false">IFERROR(VLOOKUP($N104,Assumptions!$A$15:$B$20,2,FALSE()),0)</f>
        <v>3</v>
      </c>
      <c r="R104" s="31" t="n">
        <f aca="false">ROUND((P104+Q104)*Assumptions!$B$8,1)</f>
        <v>0.7</v>
      </c>
      <c r="S104" s="31" t="n">
        <f aca="false">IF($O104="Y",ROUND(Q104*Assumptions!$B$9,1),0)</f>
        <v>0</v>
      </c>
      <c r="T104" s="31" t="n">
        <f aca="false">ROUND((P104+Q104)*Assumptions!$B$10,1)</f>
        <v>2.1</v>
      </c>
      <c r="U104" s="9" t="n">
        <f aca="false">SUM(P104:T104)</f>
        <v>8.8</v>
      </c>
      <c r="V104" s="35" t="s">
        <v>386</v>
      </c>
      <c r="W104" s="28"/>
    </row>
    <row r="105" customFormat="false" ht="23.85" hidden="false" customHeight="false" outlineLevel="0" collapsed="false">
      <c r="A105" s="7" t="s">
        <v>855</v>
      </c>
      <c r="B105" s="14" t="s">
        <v>804</v>
      </c>
      <c r="C105" s="6" t="s">
        <v>805</v>
      </c>
      <c r="D105" s="6" t="s">
        <v>856</v>
      </c>
      <c r="E105" s="6" t="s">
        <v>857</v>
      </c>
      <c r="F105" s="28" t="s">
        <v>858</v>
      </c>
      <c r="G105" s="29" t="s">
        <v>143</v>
      </c>
      <c r="H105" s="29" t="s">
        <v>244</v>
      </c>
      <c r="I105" s="28" t="s">
        <v>859</v>
      </c>
      <c r="J105" s="28" t="s">
        <v>860</v>
      </c>
      <c r="K105" s="28" t="s">
        <v>861</v>
      </c>
      <c r="L105" s="6" t="s">
        <v>862</v>
      </c>
      <c r="M105" s="22" t="s">
        <v>73</v>
      </c>
      <c r="N105" s="22" t="s">
        <v>73</v>
      </c>
      <c r="O105" s="22" t="s">
        <v>149</v>
      </c>
      <c r="P105" s="31" t="n">
        <f aca="false">IFERROR(VLOOKUP($M105,Assumptions!$A$15:$B$20,2,FALSE()),0)</f>
        <v>5</v>
      </c>
      <c r="Q105" s="31" t="n">
        <f aca="false">IFERROR(VLOOKUP($N105,Assumptions!$A$15:$B$20,2,FALSE()),0)</f>
        <v>5</v>
      </c>
      <c r="R105" s="31" t="n">
        <f aca="false">ROUND((P105+Q105)*Assumptions!$B$8,1)</f>
        <v>1.2</v>
      </c>
      <c r="S105" s="31" t="n">
        <f aca="false">IF($O105="Y",ROUND(Q105*Assumptions!$B$9,1),0)</f>
        <v>0</v>
      </c>
      <c r="T105" s="31" t="n">
        <f aca="false">ROUND((P105+Q105)*Assumptions!$B$10,1)</f>
        <v>3.5</v>
      </c>
      <c r="U105" s="9" t="n">
        <f aca="false">SUM(P105:T105)</f>
        <v>14.7</v>
      </c>
      <c r="V105" s="34" t="s">
        <v>320</v>
      </c>
      <c r="W105" s="28"/>
    </row>
    <row r="106" customFormat="false" ht="23.85" hidden="false" customHeight="false" outlineLevel="0" collapsed="false">
      <c r="A106" s="7" t="s">
        <v>863</v>
      </c>
      <c r="B106" s="14" t="s">
        <v>804</v>
      </c>
      <c r="C106" s="6" t="s">
        <v>805</v>
      </c>
      <c r="D106" s="6" t="s">
        <v>864</v>
      </c>
      <c r="E106" s="6" t="s">
        <v>865</v>
      </c>
      <c r="F106" s="28" t="s">
        <v>866</v>
      </c>
      <c r="G106" s="29" t="s">
        <v>143</v>
      </c>
      <c r="H106" s="29" t="s">
        <v>244</v>
      </c>
      <c r="I106" s="28" t="s">
        <v>867</v>
      </c>
      <c r="J106" s="28" t="s">
        <v>868</v>
      </c>
      <c r="K106" s="28" t="s">
        <v>869</v>
      </c>
      <c r="L106" s="6" t="s">
        <v>870</v>
      </c>
      <c r="M106" s="22" t="s">
        <v>71</v>
      </c>
      <c r="N106" s="22" t="s">
        <v>71</v>
      </c>
      <c r="O106" s="22" t="s">
        <v>149</v>
      </c>
      <c r="P106" s="31" t="n">
        <f aca="false">IFERROR(VLOOKUP($M106,Assumptions!$A$15:$B$20,2,FALSE()),0)</f>
        <v>3</v>
      </c>
      <c r="Q106" s="31" t="n">
        <f aca="false">IFERROR(VLOOKUP($N106,Assumptions!$A$15:$B$20,2,FALSE()),0)</f>
        <v>3</v>
      </c>
      <c r="R106" s="31" t="n">
        <f aca="false">ROUND((P106+Q106)*Assumptions!$B$8,1)</f>
        <v>0.7</v>
      </c>
      <c r="S106" s="31" t="n">
        <f aca="false">IF($O106="Y",ROUND(Q106*Assumptions!$B$9,1),0)</f>
        <v>0</v>
      </c>
      <c r="T106" s="31" t="n">
        <f aca="false">ROUND((P106+Q106)*Assumptions!$B$10,1)</f>
        <v>2.1</v>
      </c>
      <c r="U106" s="9" t="n">
        <f aca="false">SUM(P106:T106)</f>
        <v>8.8</v>
      </c>
      <c r="V106" s="35" t="s">
        <v>386</v>
      </c>
      <c r="W106" s="28"/>
    </row>
    <row r="107" customFormat="false" ht="23.85" hidden="false" customHeight="false" outlineLevel="0" collapsed="false">
      <c r="A107" s="7" t="s">
        <v>871</v>
      </c>
      <c r="B107" s="14" t="s">
        <v>804</v>
      </c>
      <c r="C107" s="6" t="s">
        <v>805</v>
      </c>
      <c r="D107" s="6" t="s">
        <v>872</v>
      </c>
      <c r="E107" s="6" t="s">
        <v>873</v>
      </c>
      <c r="F107" s="28" t="s">
        <v>874</v>
      </c>
      <c r="G107" s="29" t="s">
        <v>143</v>
      </c>
      <c r="H107" s="29" t="s">
        <v>244</v>
      </c>
      <c r="I107" s="28" t="s">
        <v>875</v>
      </c>
      <c r="J107" s="28" t="s">
        <v>876</v>
      </c>
      <c r="K107" s="28" t="s">
        <v>877</v>
      </c>
      <c r="L107" s="6" t="s">
        <v>878</v>
      </c>
      <c r="M107" s="22" t="s">
        <v>71</v>
      </c>
      <c r="N107" s="22" t="s">
        <v>71</v>
      </c>
      <c r="O107" s="22" t="s">
        <v>149</v>
      </c>
      <c r="P107" s="31" t="n">
        <f aca="false">IFERROR(VLOOKUP($M107,Assumptions!$A$15:$B$20,2,FALSE()),0)</f>
        <v>3</v>
      </c>
      <c r="Q107" s="31" t="n">
        <f aca="false">IFERROR(VLOOKUP($N107,Assumptions!$A$15:$B$20,2,FALSE()),0)</f>
        <v>3</v>
      </c>
      <c r="R107" s="31" t="n">
        <f aca="false">ROUND((P107+Q107)*Assumptions!$B$8,1)</f>
        <v>0.7</v>
      </c>
      <c r="S107" s="31" t="n">
        <f aca="false">IF($O107="Y",ROUND(Q107*Assumptions!$B$9,1),0)</f>
        <v>0</v>
      </c>
      <c r="T107" s="31" t="n">
        <f aca="false">ROUND((P107+Q107)*Assumptions!$B$10,1)</f>
        <v>2.1</v>
      </c>
      <c r="U107" s="9" t="n">
        <f aca="false">SUM(P107:T107)</f>
        <v>8.8</v>
      </c>
      <c r="V107" s="36" t="s">
        <v>396</v>
      </c>
      <c r="W107" s="28" t="s">
        <v>705</v>
      </c>
    </row>
    <row r="108" customFormat="false" ht="23.85" hidden="false" customHeight="false" outlineLevel="0" collapsed="false">
      <c r="A108" s="7" t="s">
        <v>879</v>
      </c>
      <c r="B108" s="14" t="s">
        <v>804</v>
      </c>
      <c r="C108" s="6" t="s">
        <v>805</v>
      </c>
      <c r="D108" s="6" t="s">
        <v>193</v>
      </c>
      <c r="E108" s="6" t="s">
        <v>880</v>
      </c>
      <c r="F108" s="28" t="s">
        <v>808</v>
      </c>
      <c r="G108" s="32" t="s">
        <v>265</v>
      </c>
      <c r="H108" s="29" t="s">
        <v>244</v>
      </c>
      <c r="I108" s="28" t="s">
        <v>881</v>
      </c>
      <c r="J108" s="28" t="s">
        <v>882</v>
      </c>
      <c r="K108" s="28" t="s">
        <v>883</v>
      </c>
      <c r="L108" s="6" t="s">
        <v>192</v>
      </c>
      <c r="M108" s="22" t="s">
        <v>71</v>
      </c>
      <c r="N108" s="22" t="s">
        <v>71</v>
      </c>
      <c r="O108" s="22" t="s">
        <v>149</v>
      </c>
      <c r="P108" s="31" t="n">
        <f aca="false">IFERROR(VLOOKUP($M108,Assumptions!$A$15:$B$20,2,FALSE()),0)</f>
        <v>3</v>
      </c>
      <c r="Q108" s="31" t="n">
        <f aca="false">IFERROR(VLOOKUP($N108,Assumptions!$A$15:$B$20,2,FALSE()),0)</f>
        <v>3</v>
      </c>
      <c r="R108" s="31" t="n">
        <f aca="false">ROUND((P108+Q108)*Assumptions!$B$8,1)</f>
        <v>0.7</v>
      </c>
      <c r="S108" s="31" t="n">
        <f aca="false">IF($O108="Y",ROUND(Q108*Assumptions!$B$9,1),0)</f>
        <v>0</v>
      </c>
      <c r="T108" s="31" t="n">
        <f aca="false">ROUND((P108+Q108)*Assumptions!$B$10,1)</f>
        <v>2.1</v>
      </c>
      <c r="U108" s="9" t="n">
        <f aca="false">SUM(P108:T108)</f>
        <v>8.8</v>
      </c>
      <c r="V108" s="34" t="s">
        <v>320</v>
      </c>
      <c r="W108" s="28" t="s">
        <v>884</v>
      </c>
    </row>
    <row r="109" customFormat="false" ht="23.85" hidden="false" customHeight="false" outlineLevel="0" collapsed="false">
      <c r="A109" s="7" t="s">
        <v>885</v>
      </c>
      <c r="B109" s="14" t="s">
        <v>804</v>
      </c>
      <c r="C109" s="6" t="s">
        <v>805</v>
      </c>
      <c r="D109" s="6" t="s">
        <v>886</v>
      </c>
      <c r="E109" s="6" t="s">
        <v>887</v>
      </c>
      <c r="F109" s="28" t="s">
        <v>808</v>
      </c>
      <c r="G109" s="29" t="s">
        <v>143</v>
      </c>
      <c r="H109" s="29" t="s">
        <v>244</v>
      </c>
      <c r="I109" s="28" t="s">
        <v>888</v>
      </c>
      <c r="J109" s="28" t="s">
        <v>889</v>
      </c>
      <c r="K109" s="28" t="s">
        <v>890</v>
      </c>
      <c r="L109" s="6" t="s">
        <v>256</v>
      </c>
      <c r="M109" s="22" t="s">
        <v>73</v>
      </c>
      <c r="N109" s="22" t="s">
        <v>71</v>
      </c>
      <c r="O109" s="22" t="s">
        <v>149</v>
      </c>
      <c r="P109" s="31" t="n">
        <f aca="false">IFERROR(VLOOKUP($M109,Assumptions!$A$15:$B$20,2,FALSE()),0)</f>
        <v>5</v>
      </c>
      <c r="Q109" s="31" t="n">
        <f aca="false">IFERROR(VLOOKUP($N109,Assumptions!$A$15:$B$20,2,FALSE()),0)</f>
        <v>3</v>
      </c>
      <c r="R109" s="31" t="n">
        <f aca="false">ROUND((P109+Q109)*Assumptions!$B$8,1)</f>
        <v>1</v>
      </c>
      <c r="S109" s="31" t="n">
        <f aca="false">IF($O109="Y",ROUND(Q109*Assumptions!$B$9,1),0)</f>
        <v>0</v>
      </c>
      <c r="T109" s="31" t="n">
        <f aca="false">ROUND((P109+Q109)*Assumptions!$B$10,1)</f>
        <v>2.8</v>
      </c>
      <c r="U109" s="9" t="n">
        <f aca="false">SUM(P109:T109)</f>
        <v>11.8</v>
      </c>
      <c r="V109" s="34" t="s">
        <v>320</v>
      </c>
      <c r="W109" s="28"/>
    </row>
    <row r="110" customFormat="false" ht="23.85" hidden="false" customHeight="false" outlineLevel="0" collapsed="false">
      <c r="A110" s="7" t="s">
        <v>891</v>
      </c>
      <c r="B110" s="14" t="s">
        <v>804</v>
      </c>
      <c r="C110" s="6" t="s">
        <v>805</v>
      </c>
      <c r="D110" s="6" t="s">
        <v>892</v>
      </c>
      <c r="E110" s="6" t="s">
        <v>640</v>
      </c>
      <c r="F110" s="28" t="s">
        <v>893</v>
      </c>
      <c r="G110" s="32" t="s">
        <v>265</v>
      </c>
      <c r="H110" s="29" t="s">
        <v>244</v>
      </c>
      <c r="I110" s="28" t="s">
        <v>894</v>
      </c>
      <c r="J110" s="28" t="s">
        <v>895</v>
      </c>
      <c r="K110" s="28" t="s">
        <v>896</v>
      </c>
      <c r="L110" s="6" t="s">
        <v>227</v>
      </c>
      <c r="M110" s="22" t="s">
        <v>73</v>
      </c>
      <c r="N110" s="22" t="s">
        <v>71</v>
      </c>
      <c r="O110" s="22" t="s">
        <v>149</v>
      </c>
      <c r="P110" s="31" t="n">
        <f aca="false">IFERROR(VLOOKUP($M110,Assumptions!$A$15:$B$20,2,FALSE()),0)</f>
        <v>5</v>
      </c>
      <c r="Q110" s="31" t="n">
        <f aca="false">IFERROR(VLOOKUP($N110,Assumptions!$A$15:$B$20,2,FALSE()),0)</f>
        <v>3</v>
      </c>
      <c r="R110" s="31" t="n">
        <f aca="false">ROUND((P110+Q110)*Assumptions!$B$8,1)</f>
        <v>1</v>
      </c>
      <c r="S110" s="31" t="n">
        <f aca="false">IF($O110="Y",ROUND(Q110*Assumptions!$B$9,1),0)</f>
        <v>0</v>
      </c>
      <c r="T110" s="31" t="n">
        <f aca="false">ROUND((P110+Q110)*Assumptions!$B$10,1)</f>
        <v>2.8</v>
      </c>
      <c r="U110" s="9" t="n">
        <f aca="false">SUM(P110:T110)</f>
        <v>11.8</v>
      </c>
      <c r="V110" s="34" t="s">
        <v>320</v>
      </c>
      <c r="W110" s="28" t="s">
        <v>897</v>
      </c>
    </row>
    <row r="111" customFormat="false" ht="23.85" hidden="false" customHeight="false" outlineLevel="0" collapsed="false">
      <c r="A111" s="7" t="s">
        <v>898</v>
      </c>
      <c r="B111" s="14" t="s">
        <v>804</v>
      </c>
      <c r="C111" s="6" t="s">
        <v>805</v>
      </c>
      <c r="D111" s="6" t="s">
        <v>899</v>
      </c>
      <c r="E111" s="6" t="s">
        <v>900</v>
      </c>
      <c r="F111" s="28" t="s">
        <v>808</v>
      </c>
      <c r="G111" s="32" t="s">
        <v>265</v>
      </c>
      <c r="H111" s="32" t="s">
        <v>272</v>
      </c>
      <c r="I111" s="28" t="s">
        <v>901</v>
      </c>
      <c r="J111" s="28" t="s">
        <v>902</v>
      </c>
      <c r="K111" s="28" t="s">
        <v>903</v>
      </c>
      <c r="L111" s="6" t="s">
        <v>904</v>
      </c>
      <c r="M111" s="22" t="s">
        <v>73</v>
      </c>
      <c r="N111" s="22" t="s">
        <v>71</v>
      </c>
      <c r="O111" s="22" t="s">
        <v>149</v>
      </c>
      <c r="P111" s="31" t="n">
        <f aca="false">IFERROR(VLOOKUP($M111,Assumptions!$A$15:$B$20,2,FALSE()),0)</f>
        <v>5</v>
      </c>
      <c r="Q111" s="31" t="n">
        <f aca="false">IFERROR(VLOOKUP($N111,Assumptions!$A$15:$B$20,2,FALSE()),0)</f>
        <v>3</v>
      </c>
      <c r="R111" s="31" t="n">
        <f aca="false">ROUND((P111+Q111)*Assumptions!$B$8,1)</f>
        <v>1</v>
      </c>
      <c r="S111" s="31" t="n">
        <f aca="false">IF($O111="Y",ROUND(Q111*Assumptions!$B$9,1),0)</f>
        <v>0</v>
      </c>
      <c r="T111" s="31" t="n">
        <f aca="false">ROUND((P111+Q111)*Assumptions!$B$10,1)</f>
        <v>2.8</v>
      </c>
      <c r="U111" s="9" t="n">
        <f aca="false">SUM(P111:T111)</f>
        <v>11.8</v>
      </c>
      <c r="V111" s="34" t="s">
        <v>320</v>
      </c>
      <c r="W111" s="28"/>
    </row>
    <row r="112" customFormat="false" ht="23.85" hidden="false" customHeight="false" outlineLevel="0" collapsed="false">
      <c r="A112" s="7" t="s">
        <v>905</v>
      </c>
      <c r="B112" s="14" t="s">
        <v>804</v>
      </c>
      <c r="C112" s="6" t="s">
        <v>805</v>
      </c>
      <c r="D112" s="6" t="s">
        <v>906</v>
      </c>
      <c r="E112" s="6" t="s">
        <v>907</v>
      </c>
      <c r="F112" s="28" t="s">
        <v>893</v>
      </c>
      <c r="G112" s="32" t="s">
        <v>265</v>
      </c>
      <c r="H112" s="32" t="s">
        <v>272</v>
      </c>
      <c r="I112" s="28" t="s">
        <v>908</v>
      </c>
      <c r="J112" s="28" t="s">
        <v>909</v>
      </c>
      <c r="K112" s="28" t="s">
        <v>910</v>
      </c>
      <c r="L112" s="6" t="s">
        <v>185</v>
      </c>
      <c r="M112" s="22" t="s">
        <v>69</v>
      </c>
      <c r="N112" s="22" t="s">
        <v>71</v>
      </c>
      <c r="O112" s="22" t="s">
        <v>149</v>
      </c>
      <c r="P112" s="31" t="n">
        <f aca="false">IFERROR(VLOOKUP($M112,Assumptions!$A$15:$B$20,2,FALSE()),0)</f>
        <v>1</v>
      </c>
      <c r="Q112" s="31" t="n">
        <f aca="false">IFERROR(VLOOKUP($N112,Assumptions!$A$15:$B$20,2,FALSE()),0)</f>
        <v>3</v>
      </c>
      <c r="R112" s="31" t="n">
        <f aca="false">ROUND((P112+Q112)*Assumptions!$B$8,1)</f>
        <v>0.5</v>
      </c>
      <c r="S112" s="31" t="n">
        <f aca="false">IF($O112="Y",ROUND(Q112*Assumptions!$B$9,1),0)</f>
        <v>0</v>
      </c>
      <c r="T112" s="31" t="n">
        <f aca="false">ROUND((P112+Q112)*Assumptions!$B$10,1)</f>
        <v>1.4</v>
      </c>
      <c r="U112" s="9" t="n">
        <f aca="false">SUM(P112:T112)</f>
        <v>5.9</v>
      </c>
      <c r="V112" s="35" t="s">
        <v>386</v>
      </c>
      <c r="W112" s="28"/>
    </row>
    <row r="113" customFormat="false" ht="23.85" hidden="false" customHeight="false" outlineLevel="0" collapsed="false">
      <c r="A113" s="7" t="s">
        <v>911</v>
      </c>
      <c r="B113" s="14" t="s">
        <v>804</v>
      </c>
      <c r="C113" s="6" t="s">
        <v>805</v>
      </c>
      <c r="D113" s="6" t="s">
        <v>912</v>
      </c>
      <c r="E113" s="6" t="s">
        <v>913</v>
      </c>
      <c r="F113" s="28" t="s">
        <v>808</v>
      </c>
      <c r="G113" s="32" t="s">
        <v>265</v>
      </c>
      <c r="H113" s="32" t="s">
        <v>272</v>
      </c>
      <c r="I113" s="28" t="s">
        <v>914</v>
      </c>
      <c r="J113" s="28" t="s">
        <v>915</v>
      </c>
      <c r="K113" s="28" t="s">
        <v>916</v>
      </c>
      <c r="L113" s="6" t="s">
        <v>819</v>
      </c>
      <c r="M113" s="22" t="s">
        <v>71</v>
      </c>
      <c r="N113" s="22" t="s">
        <v>69</v>
      </c>
      <c r="O113" s="22" t="s">
        <v>149</v>
      </c>
      <c r="P113" s="31" t="n">
        <f aca="false">IFERROR(VLOOKUP($M113,Assumptions!$A$15:$B$20,2,FALSE()),0)</f>
        <v>3</v>
      </c>
      <c r="Q113" s="31" t="n">
        <f aca="false">IFERROR(VLOOKUP($N113,Assumptions!$A$15:$B$20,2,FALSE()),0)</f>
        <v>1</v>
      </c>
      <c r="R113" s="31" t="n">
        <f aca="false">ROUND((P113+Q113)*Assumptions!$B$8,1)</f>
        <v>0.5</v>
      </c>
      <c r="S113" s="31" t="n">
        <f aca="false">IF($O113="Y",ROUND(Q113*Assumptions!$B$9,1),0)</f>
        <v>0</v>
      </c>
      <c r="T113" s="31" t="n">
        <f aca="false">ROUND((P113+Q113)*Assumptions!$B$10,1)</f>
        <v>1.4</v>
      </c>
      <c r="U113" s="9" t="n">
        <f aca="false">SUM(P113:T113)</f>
        <v>5.9</v>
      </c>
      <c r="V113" s="35" t="s">
        <v>386</v>
      </c>
      <c r="W113" s="28"/>
    </row>
    <row r="114" customFormat="false" ht="23.85" hidden="false" customHeight="false" outlineLevel="0" collapsed="false">
      <c r="A114" s="7" t="s">
        <v>917</v>
      </c>
      <c r="B114" s="14" t="s">
        <v>804</v>
      </c>
      <c r="C114" s="6" t="s">
        <v>805</v>
      </c>
      <c r="D114" s="6" t="s">
        <v>918</v>
      </c>
      <c r="E114" s="6" t="s">
        <v>786</v>
      </c>
      <c r="F114" s="28" t="s">
        <v>808</v>
      </c>
      <c r="G114" s="32" t="s">
        <v>265</v>
      </c>
      <c r="H114" s="32" t="s">
        <v>272</v>
      </c>
      <c r="I114" s="28" t="s">
        <v>919</v>
      </c>
      <c r="J114" s="28" t="s">
        <v>920</v>
      </c>
      <c r="K114" s="28" t="s">
        <v>921</v>
      </c>
      <c r="L114" s="6" t="s">
        <v>168</v>
      </c>
      <c r="M114" s="22" t="s">
        <v>71</v>
      </c>
      <c r="N114" s="22" t="s">
        <v>69</v>
      </c>
      <c r="O114" s="22" t="s">
        <v>149</v>
      </c>
      <c r="P114" s="31" t="n">
        <f aca="false">IFERROR(VLOOKUP($M114,Assumptions!$A$15:$B$20,2,FALSE()),0)</f>
        <v>3</v>
      </c>
      <c r="Q114" s="31" t="n">
        <f aca="false">IFERROR(VLOOKUP($N114,Assumptions!$A$15:$B$20,2,FALSE()),0)</f>
        <v>1</v>
      </c>
      <c r="R114" s="31" t="n">
        <f aca="false">ROUND((P114+Q114)*Assumptions!$B$8,1)</f>
        <v>0.5</v>
      </c>
      <c r="S114" s="31" t="n">
        <f aca="false">IF($O114="Y",ROUND(Q114*Assumptions!$B$9,1),0)</f>
        <v>0</v>
      </c>
      <c r="T114" s="31" t="n">
        <f aca="false">ROUND((P114+Q114)*Assumptions!$B$10,1)</f>
        <v>1.4</v>
      </c>
      <c r="U114" s="9" t="n">
        <f aca="false">SUM(P114:T114)</f>
        <v>5.9</v>
      </c>
      <c r="V114" s="34" t="s">
        <v>320</v>
      </c>
      <c r="W114" s="28"/>
    </row>
    <row r="115" customFormat="false" ht="23.85" hidden="false" customHeight="false" outlineLevel="0" collapsed="false">
      <c r="A115" s="7" t="s">
        <v>922</v>
      </c>
      <c r="B115" s="14" t="s">
        <v>804</v>
      </c>
      <c r="C115" s="6" t="s">
        <v>805</v>
      </c>
      <c r="D115" s="6" t="s">
        <v>923</v>
      </c>
      <c r="E115" s="6" t="s">
        <v>924</v>
      </c>
      <c r="F115" s="28" t="s">
        <v>893</v>
      </c>
      <c r="G115" s="32" t="s">
        <v>265</v>
      </c>
      <c r="H115" s="32" t="s">
        <v>272</v>
      </c>
      <c r="I115" s="28" t="s">
        <v>925</v>
      </c>
      <c r="J115" s="28" t="s">
        <v>926</v>
      </c>
      <c r="K115" s="28" t="s">
        <v>927</v>
      </c>
      <c r="L115" s="6" t="s">
        <v>256</v>
      </c>
      <c r="M115" s="22" t="s">
        <v>71</v>
      </c>
      <c r="N115" s="22" t="s">
        <v>73</v>
      </c>
      <c r="O115" s="22" t="s">
        <v>169</v>
      </c>
      <c r="P115" s="31" t="n">
        <f aca="false">IFERROR(VLOOKUP($M115,Assumptions!$A$15:$B$20,2,FALSE()),0)</f>
        <v>3</v>
      </c>
      <c r="Q115" s="31" t="n">
        <f aca="false">IFERROR(VLOOKUP($N115,Assumptions!$A$15:$B$20,2,FALSE()),0)</f>
        <v>5</v>
      </c>
      <c r="R115" s="31" t="n">
        <f aca="false">ROUND((P115+Q115)*Assumptions!$B$8,1)</f>
        <v>1</v>
      </c>
      <c r="S115" s="31" t="n">
        <f aca="false">IF($O115="Y",ROUND(Q115*Assumptions!$B$9,1),0)</f>
        <v>2</v>
      </c>
      <c r="T115" s="31" t="n">
        <f aca="false">ROUND((P115+Q115)*Assumptions!$B$10,1)</f>
        <v>2.8</v>
      </c>
      <c r="U115" s="9" t="n">
        <f aca="false">SUM(P115:T115)</f>
        <v>13.8</v>
      </c>
      <c r="V115" s="34" t="s">
        <v>320</v>
      </c>
      <c r="W115" s="28"/>
    </row>
    <row r="116" customFormat="false" ht="23.85" hidden="false" customHeight="false" outlineLevel="0" collapsed="false">
      <c r="A116" s="7" t="s">
        <v>928</v>
      </c>
      <c r="B116" s="14" t="s">
        <v>804</v>
      </c>
      <c r="C116" s="6" t="s">
        <v>805</v>
      </c>
      <c r="D116" s="6" t="s">
        <v>929</v>
      </c>
      <c r="E116" s="6" t="s">
        <v>930</v>
      </c>
      <c r="F116" s="28" t="s">
        <v>808</v>
      </c>
      <c r="G116" s="32" t="s">
        <v>265</v>
      </c>
      <c r="H116" s="32" t="s">
        <v>272</v>
      </c>
      <c r="I116" s="28" t="s">
        <v>931</v>
      </c>
      <c r="J116" s="28" t="s">
        <v>932</v>
      </c>
      <c r="K116" s="28" t="s">
        <v>933</v>
      </c>
      <c r="L116" s="6" t="s">
        <v>210</v>
      </c>
      <c r="M116" s="22" t="s">
        <v>73</v>
      </c>
      <c r="N116" s="22" t="s">
        <v>71</v>
      </c>
      <c r="O116" s="22" t="s">
        <v>149</v>
      </c>
      <c r="P116" s="31" t="n">
        <f aca="false">IFERROR(VLOOKUP($M116,Assumptions!$A$15:$B$20,2,FALSE()),0)</f>
        <v>5</v>
      </c>
      <c r="Q116" s="31" t="n">
        <f aca="false">IFERROR(VLOOKUP($N116,Assumptions!$A$15:$B$20,2,FALSE()),0)</f>
        <v>3</v>
      </c>
      <c r="R116" s="31" t="n">
        <f aca="false">ROUND((P116+Q116)*Assumptions!$B$8,1)</f>
        <v>1</v>
      </c>
      <c r="S116" s="31" t="n">
        <f aca="false">IF($O116="Y",ROUND(Q116*Assumptions!$B$9,1),0)</f>
        <v>0</v>
      </c>
      <c r="T116" s="31" t="n">
        <f aca="false">ROUND((P116+Q116)*Assumptions!$B$10,1)</f>
        <v>2.8</v>
      </c>
      <c r="U116" s="9" t="n">
        <f aca="false">SUM(P116:T116)</f>
        <v>11.8</v>
      </c>
      <c r="V116" s="34" t="s">
        <v>320</v>
      </c>
      <c r="W116" s="28"/>
    </row>
    <row r="117" customFormat="false" ht="32.8" hidden="false" customHeight="false" outlineLevel="0" collapsed="false">
      <c r="A117" s="7" t="s">
        <v>934</v>
      </c>
      <c r="B117" s="14" t="s">
        <v>804</v>
      </c>
      <c r="C117" s="6" t="s">
        <v>805</v>
      </c>
      <c r="D117" s="6" t="s">
        <v>935</v>
      </c>
      <c r="E117" s="6" t="s">
        <v>936</v>
      </c>
      <c r="F117" s="28" t="s">
        <v>937</v>
      </c>
      <c r="G117" s="33" t="s">
        <v>286</v>
      </c>
      <c r="H117" s="33" t="s">
        <v>287</v>
      </c>
      <c r="I117" s="28" t="s">
        <v>938</v>
      </c>
      <c r="J117" s="28" t="s">
        <v>939</v>
      </c>
      <c r="K117" s="28" t="s">
        <v>940</v>
      </c>
      <c r="L117" s="6" t="s">
        <v>178</v>
      </c>
      <c r="M117" s="22" t="s">
        <v>71</v>
      </c>
      <c r="N117" s="22" t="s">
        <v>71</v>
      </c>
      <c r="O117" s="22" t="s">
        <v>149</v>
      </c>
      <c r="P117" s="31" t="n">
        <f aca="false">IFERROR(VLOOKUP($M117,Assumptions!$A$15:$B$20,2,FALSE()),0)</f>
        <v>3</v>
      </c>
      <c r="Q117" s="31" t="n">
        <f aca="false">IFERROR(VLOOKUP($N117,Assumptions!$A$15:$B$20,2,FALSE()),0)</f>
        <v>3</v>
      </c>
      <c r="R117" s="31" t="n">
        <f aca="false">ROUND((P117+Q117)*Assumptions!$B$8,1)</f>
        <v>0.7</v>
      </c>
      <c r="S117" s="31" t="n">
        <f aca="false">IF($O117="Y",ROUND(Q117*Assumptions!$B$9,1),0)</f>
        <v>0</v>
      </c>
      <c r="T117" s="31" t="n">
        <f aca="false">ROUND((P117+Q117)*Assumptions!$B$10,1)</f>
        <v>2.1</v>
      </c>
      <c r="U117" s="9" t="n">
        <f aca="false">SUM(P117:T117)</f>
        <v>8.8</v>
      </c>
      <c r="V117" s="36" t="s">
        <v>396</v>
      </c>
      <c r="W117" s="28" t="s">
        <v>705</v>
      </c>
    </row>
    <row r="118" customFormat="false" ht="23.85" hidden="false" customHeight="false" outlineLevel="0" collapsed="false">
      <c r="A118" s="7" t="s">
        <v>941</v>
      </c>
      <c r="B118" s="14" t="s">
        <v>942</v>
      </c>
      <c r="C118" s="6" t="s">
        <v>943</v>
      </c>
      <c r="D118" s="6" t="s">
        <v>944</v>
      </c>
      <c r="E118" s="6" t="s">
        <v>945</v>
      </c>
      <c r="F118" s="28" t="s">
        <v>946</v>
      </c>
      <c r="G118" s="29" t="s">
        <v>143</v>
      </c>
      <c r="H118" s="29" t="s">
        <v>244</v>
      </c>
      <c r="I118" s="28" t="s">
        <v>947</v>
      </c>
      <c r="J118" s="28" t="s">
        <v>948</v>
      </c>
      <c r="K118" s="28" t="s">
        <v>949</v>
      </c>
      <c r="L118" s="6" t="s">
        <v>950</v>
      </c>
      <c r="M118" s="22" t="s">
        <v>73</v>
      </c>
      <c r="N118" s="22" t="s">
        <v>73</v>
      </c>
      <c r="O118" s="22" t="s">
        <v>169</v>
      </c>
      <c r="P118" s="31" t="n">
        <f aca="false">IFERROR(VLOOKUP($M118,Assumptions!$A$15:$B$20,2,FALSE()),0)</f>
        <v>5</v>
      </c>
      <c r="Q118" s="31" t="n">
        <f aca="false">IFERROR(VLOOKUP($N118,Assumptions!$A$15:$B$20,2,FALSE()),0)</f>
        <v>5</v>
      </c>
      <c r="R118" s="31" t="n">
        <f aca="false">ROUND((P118+Q118)*Assumptions!$B$8,1)</f>
        <v>1.2</v>
      </c>
      <c r="S118" s="31" t="n">
        <f aca="false">IF($O118="Y",ROUND(Q118*Assumptions!$B$9,1),0)</f>
        <v>2</v>
      </c>
      <c r="T118" s="31" t="n">
        <f aca="false">ROUND((P118+Q118)*Assumptions!$B$10,1)</f>
        <v>3.5</v>
      </c>
      <c r="U118" s="9" t="n">
        <f aca="false">SUM(P118:T118)</f>
        <v>16.7</v>
      </c>
      <c r="V118" s="35" t="s">
        <v>386</v>
      </c>
      <c r="W118" s="28" t="s">
        <v>951</v>
      </c>
    </row>
    <row r="119" customFormat="false" ht="23.85" hidden="false" customHeight="false" outlineLevel="0" collapsed="false">
      <c r="A119" s="7" t="s">
        <v>952</v>
      </c>
      <c r="B119" s="14" t="s">
        <v>942</v>
      </c>
      <c r="C119" s="6" t="s">
        <v>943</v>
      </c>
      <c r="D119" s="6" t="s">
        <v>953</v>
      </c>
      <c r="E119" s="6" t="s">
        <v>954</v>
      </c>
      <c r="F119" s="28" t="s">
        <v>946</v>
      </c>
      <c r="G119" s="29" t="s">
        <v>143</v>
      </c>
      <c r="H119" s="29" t="s">
        <v>244</v>
      </c>
      <c r="I119" s="28" t="s">
        <v>955</v>
      </c>
      <c r="J119" s="28" t="s">
        <v>956</v>
      </c>
      <c r="K119" s="28" t="s">
        <v>957</v>
      </c>
      <c r="L119" s="6" t="s">
        <v>941</v>
      </c>
      <c r="M119" s="22" t="s">
        <v>73</v>
      </c>
      <c r="N119" s="22" t="s">
        <v>73</v>
      </c>
      <c r="O119" s="22" t="s">
        <v>169</v>
      </c>
      <c r="P119" s="31" t="n">
        <f aca="false">IFERROR(VLOOKUP($M119,Assumptions!$A$15:$B$20,2,FALSE()),0)</f>
        <v>5</v>
      </c>
      <c r="Q119" s="31" t="n">
        <f aca="false">IFERROR(VLOOKUP($N119,Assumptions!$A$15:$B$20,2,FALSE()),0)</f>
        <v>5</v>
      </c>
      <c r="R119" s="31" t="n">
        <f aca="false">ROUND((P119+Q119)*Assumptions!$B$8,1)</f>
        <v>1.2</v>
      </c>
      <c r="S119" s="31" t="n">
        <f aca="false">IF($O119="Y",ROUND(Q119*Assumptions!$B$9,1),0)</f>
        <v>2</v>
      </c>
      <c r="T119" s="31" t="n">
        <f aca="false">ROUND((P119+Q119)*Assumptions!$B$10,1)</f>
        <v>3.5</v>
      </c>
      <c r="U119" s="9" t="n">
        <f aca="false">SUM(P119:T119)</f>
        <v>16.7</v>
      </c>
      <c r="V119" s="35" t="s">
        <v>386</v>
      </c>
      <c r="W119" s="28" t="s">
        <v>958</v>
      </c>
    </row>
    <row r="120" customFormat="false" ht="23.85" hidden="false" customHeight="false" outlineLevel="0" collapsed="false">
      <c r="A120" s="7" t="s">
        <v>959</v>
      </c>
      <c r="B120" s="14" t="s">
        <v>942</v>
      </c>
      <c r="C120" s="6" t="s">
        <v>943</v>
      </c>
      <c r="D120" s="6" t="s">
        <v>960</v>
      </c>
      <c r="E120" s="6" t="s">
        <v>961</v>
      </c>
      <c r="F120" s="28" t="s">
        <v>946</v>
      </c>
      <c r="G120" s="29" t="s">
        <v>143</v>
      </c>
      <c r="H120" s="37" t="s">
        <v>962</v>
      </c>
      <c r="I120" s="28" t="s">
        <v>963</v>
      </c>
      <c r="J120" s="28" t="s">
        <v>964</v>
      </c>
      <c r="K120" s="28" t="s">
        <v>965</v>
      </c>
      <c r="L120" s="6" t="s">
        <v>904</v>
      </c>
      <c r="M120" s="22" t="s">
        <v>73</v>
      </c>
      <c r="N120" s="22" t="s">
        <v>75</v>
      </c>
      <c r="O120" s="22" t="s">
        <v>169</v>
      </c>
      <c r="P120" s="31" t="n">
        <f aca="false">IFERROR(VLOOKUP($M120,Assumptions!$A$15:$B$20,2,FALSE()),0)</f>
        <v>5</v>
      </c>
      <c r="Q120" s="31" t="n">
        <f aca="false">IFERROR(VLOOKUP($N120,Assumptions!$A$15:$B$20,2,FALSE()),0)</f>
        <v>10</v>
      </c>
      <c r="R120" s="31" t="n">
        <f aca="false">ROUND((P120+Q120)*Assumptions!$B$8,1)</f>
        <v>1.8</v>
      </c>
      <c r="S120" s="31" t="n">
        <f aca="false">IF($O120="Y",ROUND(Q120*Assumptions!$B$9,1),0)</f>
        <v>4</v>
      </c>
      <c r="T120" s="31" t="n">
        <f aca="false">ROUND((P120+Q120)*Assumptions!$B$10,1)</f>
        <v>5.3</v>
      </c>
      <c r="U120" s="9" t="n">
        <f aca="false">SUM(P120:T120)</f>
        <v>26.1</v>
      </c>
      <c r="V120" s="34" t="s">
        <v>320</v>
      </c>
      <c r="W120" s="28"/>
    </row>
    <row r="121" customFormat="false" ht="23.85" hidden="false" customHeight="false" outlineLevel="0" collapsed="false">
      <c r="A121" s="7" t="s">
        <v>966</v>
      </c>
      <c r="B121" s="14" t="s">
        <v>942</v>
      </c>
      <c r="C121" s="6" t="s">
        <v>943</v>
      </c>
      <c r="D121" s="6" t="s">
        <v>967</v>
      </c>
      <c r="E121" s="6" t="s">
        <v>968</v>
      </c>
      <c r="F121" s="28" t="s">
        <v>969</v>
      </c>
      <c r="G121" s="29" t="s">
        <v>143</v>
      </c>
      <c r="H121" s="37" t="s">
        <v>962</v>
      </c>
      <c r="I121" s="28" t="s">
        <v>970</v>
      </c>
      <c r="J121" s="28" t="s">
        <v>971</v>
      </c>
      <c r="K121" s="28" t="s">
        <v>972</v>
      </c>
      <c r="L121" s="6" t="s">
        <v>941</v>
      </c>
      <c r="M121" s="22" t="s">
        <v>73</v>
      </c>
      <c r="N121" s="22" t="s">
        <v>71</v>
      </c>
      <c r="O121" s="22" t="s">
        <v>149</v>
      </c>
      <c r="P121" s="31" t="n">
        <f aca="false">IFERROR(VLOOKUP($M121,Assumptions!$A$15:$B$20,2,FALSE()),0)</f>
        <v>5</v>
      </c>
      <c r="Q121" s="31" t="n">
        <f aca="false">IFERROR(VLOOKUP($N121,Assumptions!$A$15:$B$20,2,FALSE()),0)</f>
        <v>3</v>
      </c>
      <c r="R121" s="31" t="n">
        <f aca="false">ROUND((P121+Q121)*Assumptions!$B$8,1)</f>
        <v>1</v>
      </c>
      <c r="S121" s="31" t="n">
        <f aca="false">IF($O121="Y",ROUND(Q121*Assumptions!$B$9,1),0)</f>
        <v>0</v>
      </c>
      <c r="T121" s="31" t="n">
        <f aca="false">ROUND((P121+Q121)*Assumptions!$B$10,1)</f>
        <v>2.8</v>
      </c>
      <c r="U121" s="9" t="n">
        <f aca="false">SUM(P121:T121)</f>
        <v>11.8</v>
      </c>
      <c r="V121" s="35" t="s">
        <v>386</v>
      </c>
      <c r="W121" s="28"/>
    </row>
    <row r="122" customFormat="false" ht="23.85" hidden="false" customHeight="false" outlineLevel="0" collapsed="false">
      <c r="A122" s="7" t="s">
        <v>973</v>
      </c>
      <c r="B122" s="14" t="s">
        <v>942</v>
      </c>
      <c r="C122" s="6" t="s">
        <v>943</v>
      </c>
      <c r="D122" s="6" t="s">
        <v>974</v>
      </c>
      <c r="E122" s="6" t="s">
        <v>975</v>
      </c>
      <c r="F122" s="28" t="s">
        <v>946</v>
      </c>
      <c r="G122" s="29" t="s">
        <v>143</v>
      </c>
      <c r="H122" s="37" t="s">
        <v>962</v>
      </c>
      <c r="I122" s="28" t="s">
        <v>976</v>
      </c>
      <c r="J122" s="28" t="s">
        <v>977</v>
      </c>
      <c r="K122" s="28" t="s">
        <v>978</v>
      </c>
      <c r="L122" s="6" t="s">
        <v>256</v>
      </c>
      <c r="M122" s="22" t="s">
        <v>71</v>
      </c>
      <c r="N122" s="22" t="s">
        <v>69</v>
      </c>
      <c r="O122" s="22" t="s">
        <v>149</v>
      </c>
      <c r="P122" s="31" t="n">
        <f aca="false">IFERROR(VLOOKUP($M122,Assumptions!$A$15:$B$20,2,FALSE()),0)</f>
        <v>3</v>
      </c>
      <c r="Q122" s="31" t="n">
        <f aca="false">IFERROR(VLOOKUP($N122,Assumptions!$A$15:$B$20,2,FALSE()),0)</f>
        <v>1</v>
      </c>
      <c r="R122" s="31" t="n">
        <f aca="false">ROUND((P122+Q122)*Assumptions!$B$8,1)</f>
        <v>0.5</v>
      </c>
      <c r="S122" s="31" t="n">
        <f aca="false">IF($O122="Y",ROUND(Q122*Assumptions!$B$9,1),0)</f>
        <v>0</v>
      </c>
      <c r="T122" s="31" t="n">
        <f aca="false">ROUND((P122+Q122)*Assumptions!$B$10,1)</f>
        <v>1.4</v>
      </c>
      <c r="U122" s="9" t="n">
        <f aca="false">SUM(P122:T122)</f>
        <v>5.9</v>
      </c>
      <c r="V122" s="34" t="s">
        <v>320</v>
      </c>
      <c r="W122" s="28"/>
    </row>
    <row r="123" customFormat="false" ht="23.85" hidden="false" customHeight="false" outlineLevel="0" collapsed="false">
      <c r="A123" s="7" t="s">
        <v>979</v>
      </c>
      <c r="B123" s="14" t="s">
        <v>942</v>
      </c>
      <c r="C123" s="6" t="s">
        <v>943</v>
      </c>
      <c r="D123" s="6" t="s">
        <v>980</v>
      </c>
      <c r="E123" s="6" t="s">
        <v>773</v>
      </c>
      <c r="F123" s="28" t="s">
        <v>981</v>
      </c>
      <c r="G123" s="32" t="s">
        <v>265</v>
      </c>
      <c r="H123" s="32" t="s">
        <v>272</v>
      </c>
      <c r="I123" s="28" t="s">
        <v>982</v>
      </c>
      <c r="J123" s="28" t="s">
        <v>983</v>
      </c>
      <c r="K123" s="28" t="s">
        <v>984</v>
      </c>
      <c r="L123" s="6" t="s">
        <v>985</v>
      </c>
      <c r="M123" s="22" t="s">
        <v>69</v>
      </c>
      <c r="N123" s="22" t="s">
        <v>71</v>
      </c>
      <c r="O123" s="22" t="s">
        <v>149</v>
      </c>
      <c r="P123" s="31" t="n">
        <f aca="false">IFERROR(VLOOKUP($M123,Assumptions!$A$15:$B$20,2,FALSE()),0)</f>
        <v>1</v>
      </c>
      <c r="Q123" s="31" t="n">
        <f aca="false">IFERROR(VLOOKUP($N123,Assumptions!$A$15:$B$20,2,FALSE()),0)</f>
        <v>3</v>
      </c>
      <c r="R123" s="31" t="n">
        <f aca="false">ROUND((P123+Q123)*Assumptions!$B$8,1)</f>
        <v>0.5</v>
      </c>
      <c r="S123" s="31" t="n">
        <f aca="false">IF($O123="Y",ROUND(Q123*Assumptions!$B$9,1),0)</f>
        <v>0</v>
      </c>
      <c r="T123" s="31" t="n">
        <f aca="false">ROUND((P123+Q123)*Assumptions!$B$10,1)</f>
        <v>1.4</v>
      </c>
      <c r="U123" s="9" t="n">
        <f aca="false">SUM(P123:T123)</f>
        <v>5.9</v>
      </c>
      <c r="V123" s="36" t="s">
        <v>396</v>
      </c>
      <c r="W123" s="28" t="s">
        <v>705</v>
      </c>
    </row>
    <row r="124" customFormat="false" ht="32.8" hidden="false" customHeight="false" outlineLevel="0" collapsed="false">
      <c r="A124" s="7" t="s">
        <v>986</v>
      </c>
      <c r="B124" s="14" t="s">
        <v>942</v>
      </c>
      <c r="C124" s="6" t="s">
        <v>943</v>
      </c>
      <c r="D124" s="6" t="s">
        <v>987</v>
      </c>
      <c r="E124" s="6" t="s">
        <v>988</v>
      </c>
      <c r="F124" s="28" t="s">
        <v>989</v>
      </c>
      <c r="G124" s="32" t="s">
        <v>265</v>
      </c>
      <c r="H124" s="32" t="s">
        <v>272</v>
      </c>
      <c r="I124" s="28" t="s">
        <v>990</v>
      </c>
      <c r="J124" s="28" t="s">
        <v>991</v>
      </c>
      <c r="K124" s="28" t="s">
        <v>992</v>
      </c>
      <c r="L124" s="6" t="s">
        <v>985</v>
      </c>
      <c r="M124" s="22" t="s">
        <v>69</v>
      </c>
      <c r="N124" s="22" t="s">
        <v>71</v>
      </c>
      <c r="O124" s="22" t="s">
        <v>149</v>
      </c>
      <c r="P124" s="31" t="n">
        <f aca="false">IFERROR(VLOOKUP($M124,Assumptions!$A$15:$B$20,2,FALSE()),0)</f>
        <v>1</v>
      </c>
      <c r="Q124" s="31" t="n">
        <f aca="false">IFERROR(VLOOKUP($N124,Assumptions!$A$15:$B$20,2,FALSE()),0)</f>
        <v>3</v>
      </c>
      <c r="R124" s="31" t="n">
        <f aca="false">ROUND((P124+Q124)*Assumptions!$B$8,1)</f>
        <v>0.5</v>
      </c>
      <c r="S124" s="31" t="n">
        <f aca="false">IF($O124="Y",ROUND(Q124*Assumptions!$B$9,1),0)</f>
        <v>0</v>
      </c>
      <c r="T124" s="31" t="n">
        <f aca="false">ROUND((P124+Q124)*Assumptions!$B$10,1)</f>
        <v>1.4</v>
      </c>
      <c r="U124" s="9" t="n">
        <f aca="false">SUM(P124:T124)</f>
        <v>5.9</v>
      </c>
      <c r="V124" s="36" t="s">
        <v>396</v>
      </c>
      <c r="W124" s="28" t="s">
        <v>705</v>
      </c>
    </row>
    <row r="125" customFormat="false" ht="32.8" hidden="false" customHeight="false" outlineLevel="0" collapsed="false">
      <c r="A125" s="7" t="s">
        <v>993</v>
      </c>
      <c r="B125" s="14" t="s">
        <v>942</v>
      </c>
      <c r="C125" s="6" t="s">
        <v>943</v>
      </c>
      <c r="D125" s="6" t="s">
        <v>994</v>
      </c>
      <c r="E125" s="6" t="s">
        <v>995</v>
      </c>
      <c r="F125" s="28" t="s">
        <v>996</v>
      </c>
      <c r="G125" s="32" t="s">
        <v>265</v>
      </c>
      <c r="H125" s="32" t="s">
        <v>272</v>
      </c>
      <c r="I125" s="28" t="s">
        <v>997</v>
      </c>
      <c r="J125" s="28" t="s">
        <v>998</v>
      </c>
      <c r="K125" s="28" t="s">
        <v>999</v>
      </c>
      <c r="L125" s="6" t="s">
        <v>826</v>
      </c>
      <c r="M125" s="22" t="s">
        <v>71</v>
      </c>
      <c r="N125" s="22" t="s">
        <v>71</v>
      </c>
      <c r="O125" s="22" t="s">
        <v>149</v>
      </c>
      <c r="P125" s="31" t="n">
        <f aca="false">IFERROR(VLOOKUP($M125,Assumptions!$A$15:$B$20,2,FALSE()),0)</f>
        <v>3</v>
      </c>
      <c r="Q125" s="31" t="n">
        <f aca="false">IFERROR(VLOOKUP($N125,Assumptions!$A$15:$B$20,2,FALSE()),0)</f>
        <v>3</v>
      </c>
      <c r="R125" s="31" t="n">
        <f aca="false">ROUND((P125+Q125)*Assumptions!$B$8,1)</f>
        <v>0.7</v>
      </c>
      <c r="S125" s="31" t="n">
        <f aca="false">IF($O125="Y",ROUND(Q125*Assumptions!$B$9,1),0)</f>
        <v>0</v>
      </c>
      <c r="T125" s="31" t="n">
        <f aca="false">ROUND((P125+Q125)*Assumptions!$B$10,1)</f>
        <v>2.1</v>
      </c>
      <c r="U125" s="9" t="n">
        <f aca="false">SUM(P125:T125)</f>
        <v>8.8</v>
      </c>
      <c r="V125" s="35" t="s">
        <v>386</v>
      </c>
      <c r="W125" s="28"/>
    </row>
    <row r="126" customFormat="false" ht="23.85" hidden="false" customHeight="false" outlineLevel="0" collapsed="false">
      <c r="A126" s="7" t="s">
        <v>1000</v>
      </c>
      <c r="B126" s="14" t="s">
        <v>942</v>
      </c>
      <c r="C126" s="6" t="s">
        <v>943</v>
      </c>
      <c r="D126" s="6" t="s">
        <v>1001</v>
      </c>
      <c r="E126" s="6" t="s">
        <v>1002</v>
      </c>
      <c r="F126" s="28" t="s">
        <v>981</v>
      </c>
      <c r="G126" s="32" t="s">
        <v>265</v>
      </c>
      <c r="H126" s="32" t="s">
        <v>272</v>
      </c>
      <c r="I126" s="28" t="s">
        <v>1003</v>
      </c>
      <c r="J126" s="28" t="s">
        <v>1004</v>
      </c>
      <c r="K126" s="28" t="s">
        <v>1005</v>
      </c>
      <c r="L126" s="6" t="s">
        <v>941</v>
      </c>
      <c r="M126" s="22" t="s">
        <v>73</v>
      </c>
      <c r="N126" s="22" t="s">
        <v>73</v>
      </c>
      <c r="O126" s="22" t="s">
        <v>149</v>
      </c>
      <c r="P126" s="31" t="n">
        <f aca="false">IFERROR(VLOOKUP($M126,Assumptions!$A$15:$B$20,2,FALSE()),0)</f>
        <v>5</v>
      </c>
      <c r="Q126" s="31" t="n">
        <f aca="false">IFERROR(VLOOKUP($N126,Assumptions!$A$15:$B$20,2,FALSE()),0)</f>
        <v>5</v>
      </c>
      <c r="R126" s="31" t="n">
        <f aca="false">ROUND((P126+Q126)*Assumptions!$B$8,1)</f>
        <v>1.2</v>
      </c>
      <c r="S126" s="31" t="n">
        <f aca="false">IF($O126="Y",ROUND(Q126*Assumptions!$B$9,1),0)</f>
        <v>0</v>
      </c>
      <c r="T126" s="31" t="n">
        <f aca="false">ROUND((P126+Q126)*Assumptions!$B$10,1)</f>
        <v>3.5</v>
      </c>
      <c r="U126" s="9" t="n">
        <f aca="false">SUM(P126:T126)</f>
        <v>14.7</v>
      </c>
      <c r="V126" s="34" t="s">
        <v>320</v>
      </c>
      <c r="W126" s="28"/>
    </row>
    <row r="127" customFormat="false" ht="23.85" hidden="false" customHeight="false" outlineLevel="0" collapsed="false">
      <c r="A127" s="7" t="s">
        <v>1006</v>
      </c>
      <c r="B127" s="14" t="s">
        <v>942</v>
      </c>
      <c r="C127" s="6" t="s">
        <v>943</v>
      </c>
      <c r="D127" s="6" t="s">
        <v>1007</v>
      </c>
      <c r="E127" s="6" t="s">
        <v>1008</v>
      </c>
      <c r="F127" s="28" t="s">
        <v>981</v>
      </c>
      <c r="G127" s="32" t="s">
        <v>265</v>
      </c>
      <c r="H127" s="32" t="s">
        <v>272</v>
      </c>
      <c r="I127" s="28" t="s">
        <v>1009</v>
      </c>
      <c r="J127" s="28" t="s">
        <v>1010</v>
      </c>
      <c r="K127" s="28" t="s">
        <v>1011</v>
      </c>
      <c r="L127" s="6" t="s">
        <v>156</v>
      </c>
      <c r="M127" s="22" t="s">
        <v>69</v>
      </c>
      <c r="N127" s="22" t="s">
        <v>69</v>
      </c>
      <c r="O127" s="22" t="s">
        <v>149</v>
      </c>
      <c r="P127" s="31" t="n">
        <f aca="false">IFERROR(VLOOKUP($M127,Assumptions!$A$15:$B$20,2,FALSE()),0)</f>
        <v>1</v>
      </c>
      <c r="Q127" s="31" t="n">
        <f aca="false">IFERROR(VLOOKUP($N127,Assumptions!$A$15:$B$20,2,FALSE()),0)</f>
        <v>1</v>
      </c>
      <c r="R127" s="31" t="n">
        <f aca="false">ROUND((P127+Q127)*Assumptions!$B$8,1)</f>
        <v>0.2</v>
      </c>
      <c r="S127" s="31" t="n">
        <f aca="false">IF($O127="Y",ROUND(Q127*Assumptions!$B$9,1),0)</f>
        <v>0</v>
      </c>
      <c r="T127" s="31" t="n">
        <f aca="false">ROUND((P127+Q127)*Assumptions!$B$10,1)</f>
        <v>0.7</v>
      </c>
      <c r="U127" s="9" t="n">
        <f aca="false">SUM(P127:T127)</f>
        <v>2.9</v>
      </c>
      <c r="V127" s="35" t="s">
        <v>386</v>
      </c>
      <c r="W127" s="28"/>
    </row>
    <row r="128" customFormat="false" ht="23.85" hidden="false" customHeight="false" outlineLevel="0" collapsed="false">
      <c r="A128" s="7" t="s">
        <v>1012</v>
      </c>
      <c r="B128" s="14" t="s">
        <v>942</v>
      </c>
      <c r="C128" s="6" t="s">
        <v>943</v>
      </c>
      <c r="D128" s="6" t="s">
        <v>1013</v>
      </c>
      <c r="E128" s="6" t="s">
        <v>1014</v>
      </c>
      <c r="F128" s="28" t="s">
        <v>981</v>
      </c>
      <c r="G128" s="32" t="s">
        <v>265</v>
      </c>
      <c r="H128" s="32" t="s">
        <v>272</v>
      </c>
      <c r="I128" s="28" t="s">
        <v>1015</v>
      </c>
      <c r="J128" s="28" t="s">
        <v>1016</v>
      </c>
      <c r="K128" s="28" t="s">
        <v>1017</v>
      </c>
      <c r="L128" s="6" t="s">
        <v>1000</v>
      </c>
      <c r="M128" s="22" t="s">
        <v>73</v>
      </c>
      <c r="N128" s="22" t="s">
        <v>71</v>
      </c>
      <c r="O128" s="22" t="s">
        <v>149</v>
      </c>
      <c r="P128" s="31" t="n">
        <f aca="false">IFERROR(VLOOKUP($M128,Assumptions!$A$15:$B$20,2,FALSE()),0)</f>
        <v>5</v>
      </c>
      <c r="Q128" s="31" t="n">
        <f aca="false">IFERROR(VLOOKUP($N128,Assumptions!$A$15:$B$20,2,FALSE()),0)</f>
        <v>3</v>
      </c>
      <c r="R128" s="31" t="n">
        <f aca="false">ROUND((P128+Q128)*Assumptions!$B$8,1)</f>
        <v>1</v>
      </c>
      <c r="S128" s="31" t="n">
        <f aca="false">IF($O128="Y",ROUND(Q128*Assumptions!$B$9,1),0)</f>
        <v>0</v>
      </c>
      <c r="T128" s="31" t="n">
        <f aca="false">ROUND((P128+Q128)*Assumptions!$B$10,1)</f>
        <v>2.8</v>
      </c>
      <c r="U128" s="9" t="n">
        <f aca="false">SUM(P128:T128)</f>
        <v>11.8</v>
      </c>
      <c r="V128" s="35" t="s">
        <v>386</v>
      </c>
      <c r="W128" s="28"/>
    </row>
    <row r="129" customFormat="false" ht="23.85" hidden="false" customHeight="false" outlineLevel="0" collapsed="false">
      <c r="A129" s="7" t="s">
        <v>1018</v>
      </c>
      <c r="B129" s="14" t="s">
        <v>942</v>
      </c>
      <c r="C129" s="6" t="s">
        <v>943</v>
      </c>
      <c r="D129" s="6" t="s">
        <v>1019</v>
      </c>
      <c r="E129" s="6" t="s">
        <v>1020</v>
      </c>
      <c r="F129" s="28" t="s">
        <v>981</v>
      </c>
      <c r="G129" s="32" t="s">
        <v>265</v>
      </c>
      <c r="H129" s="32" t="s">
        <v>272</v>
      </c>
      <c r="I129" s="28" t="s">
        <v>1021</v>
      </c>
      <c r="J129" s="28" t="s">
        <v>1022</v>
      </c>
      <c r="K129" s="28" t="s">
        <v>1023</v>
      </c>
      <c r="L129" s="6" t="s">
        <v>170</v>
      </c>
      <c r="M129" s="22" t="s">
        <v>71</v>
      </c>
      <c r="N129" s="22" t="s">
        <v>71</v>
      </c>
      <c r="O129" s="22" t="s">
        <v>149</v>
      </c>
      <c r="P129" s="31" t="n">
        <f aca="false">IFERROR(VLOOKUP($M129,Assumptions!$A$15:$B$20,2,FALSE()),0)</f>
        <v>3</v>
      </c>
      <c r="Q129" s="31" t="n">
        <f aca="false">IFERROR(VLOOKUP($N129,Assumptions!$A$15:$B$20,2,FALSE()),0)</f>
        <v>3</v>
      </c>
      <c r="R129" s="31" t="n">
        <f aca="false">ROUND((P129+Q129)*Assumptions!$B$8,1)</f>
        <v>0.7</v>
      </c>
      <c r="S129" s="31" t="n">
        <f aca="false">IF($O129="Y",ROUND(Q129*Assumptions!$B$9,1),0)</f>
        <v>0</v>
      </c>
      <c r="T129" s="31" t="n">
        <f aca="false">ROUND((P129+Q129)*Assumptions!$B$10,1)</f>
        <v>2.1</v>
      </c>
      <c r="U129" s="9" t="n">
        <f aca="false">SUM(P129:T129)</f>
        <v>8.8</v>
      </c>
      <c r="V129" s="34" t="s">
        <v>320</v>
      </c>
      <c r="W129" s="28"/>
    </row>
    <row r="130" customFormat="false" ht="23.85" hidden="false" customHeight="false" outlineLevel="0" collapsed="false">
      <c r="A130" s="7" t="s">
        <v>1024</v>
      </c>
      <c r="B130" s="14" t="s">
        <v>942</v>
      </c>
      <c r="C130" s="6" t="s">
        <v>943</v>
      </c>
      <c r="D130" s="6" t="s">
        <v>1025</v>
      </c>
      <c r="E130" s="6" t="s">
        <v>1026</v>
      </c>
      <c r="F130" s="28" t="s">
        <v>1027</v>
      </c>
      <c r="G130" s="33" t="s">
        <v>286</v>
      </c>
      <c r="H130" s="33" t="s">
        <v>287</v>
      </c>
      <c r="I130" s="28" t="s">
        <v>1028</v>
      </c>
      <c r="J130" s="28" t="s">
        <v>1029</v>
      </c>
      <c r="K130" s="28" t="s">
        <v>1030</v>
      </c>
      <c r="L130" s="6" t="s">
        <v>284</v>
      </c>
      <c r="M130" s="22" t="s">
        <v>73</v>
      </c>
      <c r="N130" s="22" t="s">
        <v>71</v>
      </c>
      <c r="O130" s="22" t="s">
        <v>149</v>
      </c>
      <c r="P130" s="31" t="n">
        <f aca="false">IFERROR(VLOOKUP($M130,Assumptions!$A$15:$B$20,2,FALSE()),0)</f>
        <v>5</v>
      </c>
      <c r="Q130" s="31" t="n">
        <f aca="false">IFERROR(VLOOKUP($N130,Assumptions!$A$15:$B$20,2,FALSE()),0)</f>
        <v>3</v>
      </c>
      <c r="R130" s="31" t="n">
        <f aca="false">ROUND((P130+Q130)*Assumptions!$B$8,1)</f>
        <v>1</v>
      </c>
      <c r="S130" s="31" t="n">
        <f aca="false">IF($O130="Y",ROUND(Q130*Assumptions!$B$9,1),0)</f>
        <v>0</v>
      </c>
      <c r="T130" s="31" t="n">
        <f aca="false">ROUND((P130+Q130)*Assumptions!$B$10,1)</f>
        <v>2.8</v>
      </c>
      <c r="U130" s="9" t="n">
        <f aca="false">SUM(P130:T130)</f>
        <v>11.8</v>
      </c>
      <c r="V130" s="35" t="s">
        <v>386</v>
      </c>
      <c r="W130" s="28"/>
    </row>
    <row r="131" customFormat="false" ht="23.85" hidden="false" customHeight="false" outlineLevel="0" collapsed="false">
      <c r="A131" s="7" t="s">
        <v>1031</v>
      </c>
      <c r="B131" s="14" t="s">
        <v>1032</v>
      </c>
      <c r="C131" s="6" t="s">
        <v>1033</v>
      </c>
      <c r="D131" s="6" t="s">
        <v>1034</v>
      </c>
      <c r="E131" s="6" t="s">
        <v>1035</v>
      </c>
      <c r="F131" s="28" t="s">
        <v>1036</v>
      </c>
      <c r="G131" s="29" t="s">
        <v>143</v>
      </c>
      <c r="H131" s="37" t="s">
        <v>962</v>
      </c>
      <c r="I131" s="28" t="s">
        <v>1037</v>
      </c>
      <c r="J131" s="28" t="s">
        <v>1038</v>
      </c>
      <c r="K131" s="28" t="s">
        <v>1039</v>
      </c>
      <c r="L131" s="6" t="s">
        <v>819</v>
      </c>
      <c r="M131" s="22" t="s">
        <v>73</v>
      </c>
      <c r="N131" s="22" t="s">
        <v>77</v>
      </c>
      <c r="O131" s="22" t="s">
        <v>169</v>
      </c>
      <c r="P131" s="31" t="n">
        <f aca="false">IFERROR(VLOOKUP($M131,Assumptions!$A$15:$B$20,2,FALSE()),0)</f>
        <v>5</v>
      </c>
      <c r="Q131" s="31" t="n">
        <f aca="false">IFERROR(VLOOKUP($N131,Assumptions!$A$15:$B$20,2,FALSE()),0)</f>
        <v>20</v>
      </c>
      <c r="R131" s="31" t="n">
        <f aca="false">ROUND((P131+Q131)*Assumptions!$B$8,1)</f>
        <v>3</v>
      </c>
      <c r="S131" s="31" t="n">
        <f aca="false">IF($O131="Y",ROUND(Q131*Assumptions!$B$9,1),0)</f>
        <v>8</v>
      </c>
      <c r="T131" s="31" t="n">
        <f aca="false">ROUND((P131+Q131)*Assumptions!$B$10,1)</f>
        <v>8.8</v>
      </c>
      <c r="U131" s="9" t="n">
        <f aca="false">SUM(P131:T131)</f>
        <v>44.8</v>
      </c>
      <c r="V131" s="34" t="s">
        <v>320</v>
      </c>
      <c r="W131" s="28"/>
    </row>
    <row r="132" customFormat="false" ht="23.85" hidden="false" customHeight="false" outlineLevel="0" collapsed="false">
      <c r="A132" s="7" t="s">
        <v>1040</v>
      </c>
      <c r="B132" s="14" t="s">
        <v>1032</v>
      </c>
      <c r="C132" s="6" t="s">
        <v>1033</v>
      </c>
      <c r="D132" s="6" t="s">
        <v>1041</v>
      </c>
      <c r="E132" s="6" t="s">
        <v>1042</v>
      </c>
      <c r="F132" s="28" t="s">
        <v>1036</v>
      </c>
      <c r="G132" s="29" t="s">
        <v>143</v>
      </c>
      <c r="H132" s="37" t="s">
        <v>962</v>
      </c>
      <c r="I132" s="28" t="s">
        <v>1043</v>
      </c>
      <c r="J132" s="28" t="s">
        <v>1044</v>
      </c>
      <c r="K132" s="28" t="s">
        <v>1045</v>
      </c>
      <c r="L132" s="6" t="s">
        <v>1046</v>
      </c>
      <c r="M132" s="22" t="s">
        <v>71</v>
      </c>
      <c r="N132" s="22" t="s">
        <v>71</v>
      </c>
      <c r="O132" s="22" t="s">
        <v>149</v>
      </c>
      <c r="P132" s="31" t="n">
        <f aca="false">IFERROR(VLOOKUP($M132,Assumptions!$A$15:$B$20,2,FALSE()),0)</f>
        <v>3</v>
      </c>
      <c r="Q132" s="31" t="n">
        <f aca="false">IFERROR(VLOOKUP($N132,Assumptions!$A$15:$B$20,2,FALSE()),0)</f>
        <v>3</v>
      </c>
      <c r="R132" s="31" t="n">
        <f aca="false">ROUND((P132+Q132)*Assumptions!$B$8,1)</f>
        <v>0.7</v>
      </c>
      <c r="S132" s="31" t="n">
        <f aca="false">IF($O132="Y",ROUND(Q132*Assumptions!$B$9,1),0)</f>
        <v>0</v>
      </c>
      <c r="T132" s="31" t="n">
        <f aca="false">ROUND((P132+Q132)*Assumptions!$B$10,1)</f>
        <v>2.1</v>
      </c>
      <c r="U132" s="9" t="n">
        <f aca="false">SUM(P132:T132)</f>
        <v>8.8</v>
      </c>
      <c r="V132" s="34" t="s">
        <v>320</v>
      </c>
      <c r="W132" s="28"/>
    </row>
    <row r="133" customFormat="false" ht="32.8" hidden="false" customHeight="false" outlineLevel="0" collapsed="false">
      <c r="A133" s="7" t="s">
        <v>1047</v>
      </c>
      <c r="B133" s="14" t="s">
        <v>1032</v>
      </c>
      <c r="C133" s="6" t="s">
        <v>1033</v>
      </c>
      <c r="D133" s="6" t="s">
        <v>1048</v>
      </c>
      <c r="E133" s="6" t="s">
        <v>1049</v>
      </c>
      <c r="F133" s="28" t="s">
        <v>1050</v>
      </c>
      <c r="G133" s="29" t="s">
        <v>143</v>
      </c>
      <c r="H133" s="37" t="s">
        <v>962</v>
      </c>
      <c r="I133" s="28" t="s">
        <v>1051</v>
      </c>
      <c r="J133" s="28" t="s">
        <v>1052</v>
      </c>
      <c r="K133" s="28" t="s">
        <v>1053</v>
      </c>
      <c r="L133" s="6" t="s">
        <v>855</v>
      </c>
      <c r="M133" s="22" t="s">
        <v>71</v>
      </c>
      <c r="N133" s="22" t="s">
        <v>73</v>
      </c>
      <c r="O133" s="22" t="s">
        <v>149</v>
      </c>
      <c r="P133" s="31" t="n">
        <f aca="false">IFERROR(VLOOKUP($M133,Assumptions!$A$15:$B$20,2,FALSE()),0)</f>
        <v>3</v>
      </c>
      <c r="Q133" s="31" t="n">
        <f aca="false">IFERROR(VLOOKUP($N133,Assumptions!$A$15:$B$20,2,FALSE()),0)</f>
        <v>5</v>
      </c>
      <c r="R133" s="31" t="n">
        <f aca="false">ROUND((P133+Q133)*Assumptions!$B$8,1)</f>
        <v>1</v>
      </c>
      <c r="S133" s="31" t="n">
        <f aca="false">IF($O133="Y",ROUND(Q133*Assumptions!$B$9,1),0)</f>
        <v>0</v>
      </c>
      <c r="T133" s="31" t="n">
        <f aca="false">ROUND((P133+Q133)*Assumptions!$B$10,1)</f>
        <v>2.8</v>
      </c>
      <c r="U133" s="9" t="n">
        <f aca="false">SUM(P133:T133)</f>
        <v>11.8</v>
      </c>
      <c r="V133" s="34" t="s">
        <v>320</v>
      </c>
      <c r="W133" s="28"/>
    </row>
    <row r="134" customFormat="false" ht="23.85" hidden="false" customHeight="false" outlineLevel="0" collapsed="false">
      <c r="A134" s="7" t="s">
        <v>1054</v>
      </c>
      <c r="B134" s="14" t="s">
        <v>1032</v>
      </c>
      <c r="C134" s="6" t="s">
        <v>1033</v>
      </c>
      <c r="D134" s="6" t="s">
        <v>1055</v>
      </c>
      <c r="E134" s="6" t="s">
        <v>1056</v>
      </c>
      <c r="F134" s="28" t="s">
        <v>1057</v>
      </c>
      <c r="G134" s="29" t="s">
        <v>143</v>
      </c>
      <c r="H134" s="37" t="s">
        <v>962</v>
      </c>
      <c r="I134" s="28" t="s">
        <v>1058</v>
      </c>
      <c r="J134" s="28" t="s">
        <v>1059</v>
      </c>
      <c r="K134" s="28" t="s">
        <v>1060</v>
      </c>
      <c r="L134" s="6" t="s">
        <v>1061</v>
      </c>
      <c r="M134" s="22" t="s">
        <v>71</v>
      </c>
      <c r="N134" s="22" t="s">
        <v>71</v>
      </c>
      <c r="O134" s="22" t="s">
        <v>149</v>
      </c>
      <c r="P134" s="31" t="n">
        <f aca="false">IFERROR(VLOOKUP($M134,Assumptions!$A$15:$B$20,2,FALSE()),0)</f>
        <v>3</v>
      </c>
      <c r="Q134" s="31" t="n">
        <f aca="false">IFERROR(VLOOKUP($N134,Assumptions!$A$15:$B$20,2,FALSE()),0)</f>
        <v>3</v>
      </c>
      <c r="R134" s="31" t="n">
        <f aca="false">ROUND((P134+Q134)*Assumptions!$B$8,1)</f>
        <v>0.7</v>
      </c>
      <c r="S134" s="31" t="n">
        <f aca="false">IF($O134="Y",ROUND(Q134*Assumptions!$B$9,1),0)</f>
        <v>0</v>
      </c>
      <c r="T134" s="31" t="n">
        <f aca="false">ROUND((P134+Q134)*Assumptions!$B$10,1)</f>
        <v>2.1</v>
      </c>
      <c r="U134" s="9" t="n">
        <f aca="false">SUM(P134:T134)</f>
        <v>8.8</v>
      </c>
      <c r="V134" s="34" t="s">
        <v>320</v>
      </c>
      <c r="W134" s="28"/>
    </row>
    <row r="135" customFormat="false" ht="23.85" hidden="false" customHeight="false" outlineLevel="0" collapsed="false">
      <c r="A135" s="7" t="s">
        <v>1062</v>
      </c>
      <c r="B135" s="14" t="s">
        <v>1032</v>
      </c>
      <c r="C135" s="6" t="s">
        <v>1033</v>
      </c>
      <c r="D135" s="6" t="s">
        <v>1063</v>
      </c>
      <c r="E135" s="6" t="s">
        <v>1064</v>
      </c>
      <c r="F135" s="28" t="s">
        <v>1036</v>
      </c>
      <c r="G135" s="29" t="s">
        <v>143</v>
      </c>
      <c r="H135" s="37" t="s">
        <v>962</v>
      </c>
      <c r="I135" s="28" t="s">
        <v>1065</v>
      </c>
      <c r="J135" s="28" t="s">
        <v>1066</v>
      </c>
      <c r="K135" s="28" t="s">
        <v>1067</v>
      </c>
      <c r="L135" s="6" t="s">
        <v>241</v>
      </c>
      <c r="M135" s="22" t="s">
        <v>73</v>
      </c>
      <c r="N135" s="22" t="s">
        <v>73</v>
      </c>
      <c r="O135" s="22" t="s">
        <v>149</v>
      </c>
      <c r="P135" s="31" t="n">
        <f aca="false">IFERROR(VLOOKUP($M135,Assumptions!$A$15:$B$20,2,FALSE()),0)</f>
        <v>5</v>
      </c>
      <c r="Q135" s="31" t="n">
        <f aca="false">IFERROR(VLOOKUP($N135,Assumptions!$A$15:$B$20,2,FALSE()),0)</f>
        <v>5</v>
      </c>
      <c r="R135" s="31" t="n">
        <f aca="false">ROUND((P135+Q135)*Assumptions!$B$8,1)</f>
        <v>1.2</v>
      </c>
      <c r="S135" s="31" t="n">
        <f aca="false">IF($O135="Y",ROUND(Q135*Assumptions!$B$9,1),0)</f>
        <v>0</v>
      </c>
      <c r="T135" s="31" t="n">
        <f aca="false">ROUND((P135+Q135)*Assumptions!$B$10,1)</f>
        <v>3.5</v>
      </c>
      <c r="U135" s="9" t="n">
        <f aca="false">SUM(P135:T135)</f>
        <v>14.7</v>
      </c>
      <c r="V135" s="34" t="s">
        <v>320</v>
      </c>
      <c r="W135" s="28"/>
    </row>
    <row r="136" customFormat="false" ht="23.85" hidden="false" customHeight="false" outlineLevel="0" collapsed="false">
      <c r="A136" s="7" t="s">
        <v>1068</v>
      </c>
      <c r="B136" s="14" t="s">
        <v>1032</v>
      </c>
      <c r="C136" s="6" t="s">
        <v>1033</v>
      </c>
      <c r="D136" s="6" t="s">
        <v>1069</v>
      </c>
      <c r="E136" s="6" t="s">
        <v>1070</v>
      </c>
      <c r="F136" s="28" t="s">
        <v>1071</v>
      </c>
      <c r="G136" s="32" t="s">
        <v>265</v>
      </c>
      <c r="H136" s="32" t="s">
        <v>272</v>
      </c>
      <c r="I136" s="28" t="s">
        <v>1072</v>
      </c>
      <c r="J136" s="28" t="s">
        <v>1073</v>
      </c>
      <c r="K136" s="28" t="s">
        <v>1074</v>
      </c>
      <c r="L136" s="6" t="s">
        <v>1031</v>
      </c>
      <c r="M136" s="22" t="s">
        <v>71</v>
      </c>
      <c r="N136" s="22" t="s">
        <v>75</v>
      </c>
      <c r="O136" s="22" t="s">
        <v>169</v>
      </c>
      <c r="P136" s="31" t="n">
        <f aca="false">IFERROR(VLOOKUP($M136,Assumptions!$A$15:$B$20,2,FALSE()),0)</f>
        <v>3</v>
      </c>
      <c r="Q136" s="31" t="n">
        <f aca="false">IFERROR(VLOOKUP($N136,Assumptions!$A$15:$B$20,2,FALSE()),0)</f>
        <v>10</v>
      </c>
      <c r="R136" s="31" t="n">
        <f aca="false">ROUND((P136+Q136)*Assumptions!$B$8,1)</f>
        <v>1.6</v>
      </c>
      <c r="S136" s="31" t="n">
        <f aca="false">IF($O136="Y",ROUND(Q136*Assumptions!$B$9,1),0)</f>
        <v>4</v>
      </c>
      <c r="T136" s="31" t="n">
        <f aca="false">ROUND((P136+Q136)*Assumptions!$B$10,1)</f>
        <v>4.6</v>
      </c>
      <c r="U136" s="9" t="n">
        <f aca="false">SUM(P136:T136)</f>
        <v>23.2</v>
      </c>
      <c r="V136" s="35" t="s">
        <v>386</v>
      </c>
      <c r="W136" s="28"/>
    </row>
    <row r="137" customFormat="false" ht="23.85" hidden="false" customHeight="false" outlineLevel="0" collapsed="false">
      <c r="A137" s="7" t="s">
        <v>1075</v>
      </c>
      <c r="B137" s="14" t="s">
        <v>1032</v>
      </c>
      <c r="C137" s="6" t="s">
        <v>1033</v>
      </c>
      <c r="D137" s="6" t="s">
        <v>1076</v>
      </c>
      <c r="E137" s="6" t="s">
        <v>1077</v>
      </c>
      <c r="F137" s="28" t="s">
        <v>1071</v>
      </c>
      <c r="G137" s="32" t="s">
        <v>265</v>
      </c>
      <c r="H137" s="32" t="s">
        <v>272</v>
      </c>
      <c r="I137" s="28" t="s">
        <v>1078</v>
      </c>
      <c r="J137" s="28" t="s">
        <v>1079</v>
      </c>
      <c r="K137" s="28" t="s">
        <v>1080</v>
      </c>
      <c r="L137" s="6" t="s">
        <v>1031</v>
      </c>
      <c r="M137" s="22" t="s">
        <v>73</v>
      </c>
      <c r="N137" s="22" t="s">
        <v>73</v>
      </c>
      <c r="O137" s="22" t="s">
        <v>149</v>
      </c>
      <c r="P137" s="31" t="n">
        <f aca="false">IFERROR(VLOOKUP($M137,Assumptions!$A$15:$B$20,2,FALSE()),0)</f>
        <v>5</v>
      </c>
      <c r="Q137" s="31" t="n">
        <f aca="false">IFERROR(VLOOKUP($N137,Assumptions!$A$15:$B$20,2,FALSE()),0)</f>
        <v>5</v>
      </c>
      <c r="R137" s="31" t="n">
        <f aca="false">ROUND((P137+Q137)*Assumptions!$B$8,1)</f>
        <v>1.2</v>
      </c>
      <c r="S137" s="31" t="n">
        <f aca="false">IF($O137="Y",ROUND(Q137*Assumptions!$B$9,1),0)</f>
        <v>0</v>
      </c>
      <c r="T137" s="31" t="n">
        <f aca="false">ROUND((P137+Q137)*Assumptions!$B$10,1)</f>
        <v>3.5</v>
      </c>
      <c r="U137" s="9" t="n">
        <f aca="false">SUM(P137:T137)</f>
        <v>14.7</v>
      </c>
      <c r="V137" s="34" t="s">
        <v>320</v>
      </c>
      <c r="W137" s="28"/>
    </row>
    <row r="138" customFormat="false" ht="23.85" hidden="false" customHeight="false" outlineLevel="0" collapsed="false">
      <c r="A138" s="7" t="s">
        <v>1081</v>
      </c>
      <c r="B138" s="14" t="s">
        <v>1032</v>
      </c>
      <c r="C138" s="6" t="s">
        <v>1033</v>
      </c>
      <c r="D138" s="6" t="s">
        <v>1082</v>
      </c>
      <c r="E138" s="6" t="s">
        <v>1083</v>
      </c>
      <c r="F138" s="28" t="s">
        <v>1071</v>
      </c>
      <c r="G138" s="32" t="s">
        <v>265</v>
      </c>
      <c r="H138" s="32" t="s">
        <v>272</v>
      </c>
      <c r="I138" s="28" t="s">
        <v>1084</v>
      </c>
      <c r="J138" s="28" t="s">
        <v>1085</v>
      </c>
      <c r="K138" s="28" t="s">
        <v>1086</v>
      </c>
      <c r="L138" s="6" t="s">
        <v>192</v>
      </c>
      <c r="M138" s="22" t="s">
        <v>71</v>
      </c>
      <c r="N138" s="22" t="s">
        <v>71</v>
      </c>
      <c r="O138" s="22" t="s">
        <v>149</v>
      </c>
      <c r="P138" s="31" t="n">
        <f aca="false">IFERROR(VLOOKUP($M138,Assumptions!$A$15:$B$20,2,FALSE()),0)</f>
        <v>3</v>
      </c>
      <c r="Q138" s="31" t="n">
        <f aca="false">IFERROR(VLOOKUP($N138,Assumptions!$A$15:$B$20,2,FALSE()),0)</f>
        <v>3</v>
      </c>
      <c r="R138" s="31" t="n">
        <f aca="false">ROUND((P138+Q138)*Assumptions!$B$8,1)</f>
        <v>0.7</v>
      </c>
      <c r="S138" s="31" t="n">
        <f aca="false">IF($O138="Y",ROUND(Q138*Assumptions!$B$9,1),0)</f>
        <v>0</v>
      </c>
      <c r="T138" s="31" t="n">
        <f aca="false">ROUND((P138+Q138)*Assumptions!$B$10,1)</f>
        <v>2.1</v>
      </c>
      <c r="U138" s="9" t="n">
        <f aca="false">SUM(P138:T138)</f>
        <v>8.8</v>
      </c>
      <c r="V138" s="35" t="s">
        <v>386</v>
      </c>
      <c r="W138" s="28"/>
    </row>
    <row r="139" customFormat="false" ht="43.25" hidden="false" customHeight="false" outlineLevel="0" collapsed="false">
      <c r="A139" s="7" t="s">
        <v>1087</v>
      </c>
      <c r="B139" s="14" t="s">
        <v>1032</v>
      </c>
      <c r="C139" s="6" t="s">
        <v>1033</v>
      </c>
      <c r="D139" s="6" t="s">
        <v>1088</v>
      </c>
      <c r="E139" s="6" t="s">
        <v>1089</v>
      </c>
      <c r="F139" s="28" t="s">
        <v>1090</v>
      </c>
      <c r="G139" s="32" t="s">
        <v>265</v>
      </c>
      <c r="H139" s="32" t="s">
        <v>272</v>
      </c>
      <c r="I139" s="28" t="s">
        <v>1091</v>
      </c>
      <c r="J139" s="28" t="s">
        <v>1092</v>
      </c>
      <c r="K139" s="28" t="s">
        <v>1093</v>
      </c>
      <c r="L139" s="6" t="s">
        <v>270</v>
      </c>
      <c r="M139" s="22" t="s">
        <v>77</v>
      </c>
      <c r="N139" s="22" t="s">
        <v>73</v>
      </c>
      <c r="O139" s="22" t="s">
        <v>169</v>
      </c>
      <c r="P139" s="31" t="n">
        <f aca="false">IFERROR(VLOOKUP($M139,Assumptions!$A$15:$B$20,2,FALSE()),0)</f>
        <v>20</v>
      </c>
      <c r="Q139" s="31" t="n">
        <f aca="false">IFERROR(VLOOKUP($N139,Assumptions!$A$15:$B$20,2,FALSE()),0)</f>
        <v>5</v>
      </c>
      <c r="R139" s="31" t="n">
        <f aca="false">ROUND((P139+Q139)*Assumptions!$B$8,1)</f>
        <v>3</v>
      </c>
      <c r="S139" s="31" t="n">
        <f aca="false">IF($O139="Y",ROUND(Q139*Assumptions!$B$9,1),0)</f>
        <v>2</v>
      </c>
      <c r="T139" s="31" t="n">
        <f aca="false">ROUND((P139+Q139)*Assumptions!$B$10,1)</f>
        <v>8.8</v>
      </c>
      <c r="U139" s="9" t="n">
        <f aca="false">SUM(P139:T139)</f>
        <v>38.8</v>
      </c>
      <c r="V139" s="35" t="s">
        <v>386</v>
      </c>
      <c r="W139" s="28" t="s">
        <v>1094</v>
      </c>
    </row>
    <row r="140" customFormat="false" ht="23.85" hidden="false" customHeight="false" outlineLevel="0" collapsed="false">
      <c r="A140" s="7" t="s">
        <v>1095</v>
      </c>
      <c r="B140" s="14" t="s">
        <v>1032</v>
      </c>
      <c r="C140" s="6" t="s">
        <v>1033</v>
      </c>
      <c r="D140" s="6" t="s">
        <v>1096</v>
      </c>
      <c r="E140" s="6" t="s">
        <v>1097</v>
      </c>
      <c r="F140" s="28" t="s">
        <v>1098</v>
      </c>
      <c r="G140" s="33" t="s">
        <v>286</v>
      </c>
      <c r="H140" s="33" t="s">
        <v>287</v>
      </c>
      <c r="I140" s="28" t="s">
        <v>1099</v>
      </c>
      <c r="J140" s="28" t="s">
        <v>1100</v>
      </c>
      <c r="K140" s="28" t="s">
        <v>1101</v>
      </c>
      <c r="L140" s="6" t="s">
        <v>812</v>
      </c>
      <c r="M140" s="22" t="s">
        <v>73</v>
      </c>
      <c r="N140" s="22" t="s">
        <v>73</v>
      </c>
      <c r="O140" s="22" t="s">
        <v>149</v>
      </c>
      <c r="P140" s="31" t="n">
        <f aca="false">IFERROR(VLOOKUP($M140,Assumptions!$A$15:$B$20,2,FALSE()),0)</f>
        <v>5</v>
      </c>
      <c r="Q140" s="31" t="n">
        <f aca="false">IFERROR(VLOOKUP($N140,Assumptions!$A$15:$B$20,2,FALSE()),0)</f>
        <v>5</v>
      </c>
      <c r="R140" s="31" t="n">
        <f aca="false">ROUND((P140+Q140)*Assumptions!$B$8,1)</f>
        <v>1.2</v>
      </c>
      <c r="S140" s="31" t="n">
        <f aca="false">IF($O140="Y",ROUND(Q140*Assumptions!$B$9,1),0)</f>
        <v>0</v>
      </c>
      <c r="T140" s="31" t="n">
        <f aca="false">ROUND((P140+Q140)*Assumptions!$B$10,1)</f>
        <v>3.5</v>
      </c>
      <c r="U140" s="9" t="n">
        <f aca="false">SUM(P140:T140)</f>
        <v>14.7</v>
      </c>
      <c r="V140" s="34" t="s">
        <v>320</v>
      </c>
      <c r="W140" s="28"/>
    </row>
    <row r="141" customFormat="false" ht="23.85" hidden="false" customHeight="false" outlineLevel="0" collapsed="false">
      <c r="A141" s="7" t="s">
        <v>1102</v>
      </c>
      <c r="B141" s="14" t="s">
        <v>1032</v>
      </c>
      <c r="C141" s="6" t="s">
        <v>1033</v>
      </c>
      <c r="D141" s="6" t="s">
        <v>1103</v>
      </c>
      <c r="E141" s="6" t="s">
        <v>1104</v>
      </c>
      <c r="F141" s="28" t="s">
        <v>1098</v>
      </c>
      <c r="G141" s="33" t="s">
        <v>286</v>
      </c>
      <c r="H141" s="33" t="s">
        <v>287</v>
      </c>
      <c r="I141" s="28" t="s">
        <v>1105</v>
      </c>
      <c r="J141" s="28" t="s">
        <v>1106</v>
      </c>
      <c r="K141" s="28" t="s">
        <v>1107</v>
      </c>
      <c r="L141" s="6" t="s">
        <v>1047</v>
      </c>
      <c r="M141" s="22" t="s">
        <v>71</v>
      </c>
      <c r="N141" s="22" t="s">
        <v>73</v>
      </c>
      <c r="O141" s="22" t="s">
        <v>149</v>
      </c>
      <c r="P141" s="31" t="n">
        <f aca="false">IFERROR(VLOOKUP($M141,Assumptions!$A$15:$B$20,2,FALSE()),0)</f>
        <v>3</v>
      </c>
      <c r="Q141" s="31" t="n">
        <f aca="false">IFERROR(VLOOKUP($N141,Assumptions!$A$15:$B$20,2,FALSE()),0)</f>
        <v>5</v>
      </c>
      <c r="R141" s="31" t="n">
        <f aca="false">ROUND((P141+Q141)*Assumptions!$B$8,1)</f>
        <v>1</v>
      </c>
      <c r="S141" s="31" t="n">
        <f aca="false">IF($O141="Y",ROUND(Q141*Assumptions!$B$9,1),0)</f>
        <v>0</v>
      </c>
      <c r="T141" s="31" t="n">
        <f aca="false">ROUND((P141+Q141)*Assumptions!$B$10,1)</f>
        <v>2.8</v>
      </c>
      <c r="U141" s="9" t="n">
        <f aca="false">SUM(P141:T141)</f>
        <v>11.8</v>
      </c>
      <c r="V141" s="34" t="s">
        <v>320</v>
      </c>
      <c r="W141" s="28"/>
    </row>
    <row r="142" customFormat="false" ht="23.85" hidden="false" customHeight="false" outlineLevel="0" collapsed="false">
      <c r="A142" s="7" t="s">
        <v>1108</v>
      </c>
      <c r="B142" s="14" t="s">
        <v>1109</v>
      </c>
      <c r="C142" s="6" t="s">
        <v>1110</v>
      </c>
      <c r="D142" s="6" t="s">
        <v>1111</v>
      </c>
      <c r="E142" s="6" t="s">
        <v>1112</v>
      </c>
      <c r="F142" s="28" t="s">
        <v>1113</v>
      </c>
      <c r="G142" s="29" t="s">
        <v>143</v>
      </c>
      <c r="H142" s="29" t="s">
        <v>244</v>
      </c>
      <c r="I142" s="28" t="s">
        <v>1114</v>
      </c>
      <c r="J142" s="28" t="s">
        <v>1115</v>
      </c>
      <c r="K142" s="28" t="s">
        <v>1116</v>
      </c>
      <c r="L142" s="6" t="s">
        <v>1117</v>
      </c>
      <c r="M142" s="22" t="s">
        <v>73</v>
      </c>
      <c r="N142" s="22" t="s">
        <v>73</v>
      </c>
      <c r="O142" s="22" t="s">
        <v>169</v>
      </c>
      <c r="P142" s="31" t="n">
        <f aca="false">IFERROR(VLOOKUP($M142,Assumptions!$A$15:$B$20,2,FALSE()),0)</f>
        <v>5</v>
      </c>
      <c r="Q142" s="31" t="n">
        <f aca="false">IFERROR(VLOOKUP($N142,Assumptions!$A$15:$B$20,2,FALSE()),0)</f>
        <v>5</v>
      </c>
      <c r="R142" s="31" t="n">
        <f aca="false">ROUND((P142+Q142)*Assumptions!$B$8,1)</f>
        <v>1.2</v>
      </c>
      <c r="S142" s="31" t="n">
        <f aca="false">IF($O142="Y",ROUND(Q142*Assumptions!$B$9,1),0)</f>
        <v>2</v>
      </c>
      <c r="T142" s="31" t="n">
        <f aca="false">ROUND((P142+Q142)*Assumptions!$B$10,1)</f>
        <v>3.5</v>
      </c>
      <c r="U142" s="9" t="n">
        <f aca="false">SUM(P142:T142)</f>
        <v>16.7</v>
      </c>
      <c r="V142" s="34" t="s">
        <v>320</v>
      </c>
      <c r="W142" s="28"/>
    </row>
    <row r="143" customFormat="false" ht="23.85" hidden="false" customHeight="false" outlineLevel="0" collapsed="false">
      <c r="A143" s="7" t="s">
        <v>1118</v>
      </c>
      <c r="B143" s="14" t="s">
        <v>1109</v>
      </c>
      <c r="C143" s="6" t="s">
        <v>1110</v>
      </c>
      <c r="D143" s="6" t="s">
        <v>1119</v>
      </c>
      <c r="E143" s="6" t="s">
        <v>1120</v>
      </c>
      <c r="F143" s="28" t="s">
        <v>1121</v>
      </c>
      <c r="G143" s="29" t="s">
        <v>143</v>
      </c>
      <c r="H143" s="29" t="s">
        <v>244</v>
      </c>
      <c r="I143" s="28" t="s">
        <v>1122</v>
      </c>
      <c r="J143" s="28" t="s">
        <v>1123</v>
      </c>
      <c r="K143" s="28" t="s">
        <v>1124</v>
      </c>
      <c r="L143" s="6" t="s">
        <v>1125</v>
      </c>
      <c r="M143" s="22" t="s">
        <v>71</v>
      </c>
      <c r="N143" s="22" t="s">
        <v>73</v>
      </c>
      <c r="O143" s="22" t="s">
        <v>149</v>
      </c>
      <c r="P143" s="31" t="n">
        <f aca="false">IFERROR(VLOOKUP($M143,Assumptions!$A$15:$B$20,2,FALSE()),0)</f>
        <v>3</v>
      </c>
      <c r="Q143" s="31" t="n">
        <f aca="false">IFERROR(VLOOKUP($N143,Assumptions!$A$15:$B$20,2,FALSE()),0)</f>
        <v>5</v>
      </c>
      <c r="R143" s="31" t="n">
        <f aca="false">ROUND((P143+Q143)*Assumptions!$B$8,1)</f>
        <v>1</v>
      </c>
      <c r="S143" s="31" t="n">
        <f aca="false">IF($O143="Y",ROUND(Q143*Assumptions!$B$9,1),0)</f>
        <v>0</v>
      </c>
      <c r="T143" s="31" t="n">
        <f aca="false">ROUND((P143+Q143)*Assumptions!$B$10,1)</f>
        <v>2.8</v>
      </c>
      <c r="U143" s="9" t="n">
        <f aca="false">SUM(P143:T143)</f>
        <v>11.8</v>
      </c>
      <c r="V143" s="35" t="s">
        <v>386</v>
      </c>
      <c r="W143" s="28"/>
    </row>
    <row r="144" customFormat="false" ht="23.85" hidden="false" customHeight="false" outlineLevel="0" collapsed="false">
      <c r="A144" s="7" t="s">
        <v>1126</v>
      </c>
      <c r="B144" s="14" t="s">
        <v>1109</v>
      </c>
      <c r="C144" s="6" t="s">
        <v>1110</v>
      </c>
      <c r="D144" s="6" t="s">
        <v>1127</v>
      </c>
      <c r="E144" s="6" t="s">
        <v>1128</v>
      </c>
      <c r="F144" s="28" t="s">
        <v>1129</v>
      </c>
      <c r="G144" s="29" t="s">
        <v>143</v>
      </c>
      <c r="H144" s="29" t="s">
        <v>244</v>
      </c>
      <c r="I144" s="28" t="s">
        <v>1130</v>
      </c>
      <c r="J144" s="28" t="s">
        <v>1131</v>
      </c>
      <c r="K144" s="28" t="s">
        <v>1132</v>
      </c>
      <c r="L144" s="6" t="s">
        <v>1125</v>
      </c>
      <c r="M144" s="22" t="s">
        <v>73</v>
      </c>
      <c r="N144" s="22" t="s">
        <v>71</v>
      </c>
      <c r="O144" s="22" t="s">
        <v>149</v>
      </c>
      <c r="P144" s="31" t="n">
        <f aca="false">IFERROR(VLOOKUP($M144,Assumptions!$A$15:$B$20,2,FALSE()),0)</f>
        <v>5</v>
      </c>
      <c r="Q144" s="31" t="n">
        <f aca="false">IFERROR(VLOOKUP($N144,Assumptions!$A$15:$B$20,2,FALSE()),0)</f>
        <v>3</v>
      </c>
      <c r="R144" s="31" t="n">
        <f aca="false">ROUND((P144+Q144)*Assumptions!$B$8,1)</f>
        <v>1</v>
      </c>
      <c r="S144" s="31" t="n">
        <f aca="false">IF($O144="Y",ROUND(Q144*Assumptions!$B$9,1),0)</f>
        <v>0</v>
      </c>
      <c r="T144" s="31" t="n">
        <f aca="false">ROUND((P144+Q144)*Assumptions!$B$10,1)</f>
        <v>2.8</v>
      </c>
      <c r="U144" s="9" t="n">
        <f aca="false">SUM(P144:T144)</f>
        <v>11.8</v>
      </c>
      <c r="V144" s="34" t="s">
        <v>320</v>
      </c>
      <c r="W144" s="28"/>
    </row>
    <row r="145" customFormat="false" ht="23.85" hidden="false" customHeight="false" outlineLevel="0" collapsed="false">
      <c r="A145" s="7" t="s">
        <v>1133</v>
      </c>
      <c r="B145" s="14" t="s">
        <v>1109</v>
      </c>
      <c r="C145" s="6" t="s">
        <v>1110</v>
      </c>
      <c r="D145" s="6" t="s">
        <v>1134</v>
      </c>
      <c r="E145" s="6" t="s">
        <v>1135</v>
      </c>
      <c r="F145" s="28" t="s">
        <v>1136</v>
      </c>
      <c r="G145" s="29" t="s">
        <v>143</v>
      </c>
      <c r="H145" s="29" t="s">
        <v>244</v>
      </c>
      <c r="I145" s="28" t="s">
        <v>1137</v>
      </c>
      <c r="J145" s="28" t="s">
        <v>1138</v>
      </c>
      <c r="K145" s="28" t="s">
        <v>1139</v>
      </c>
      <c r="L145" s="6" t="s">
        <v>1108</v>
      </c>
      <c r="M145" s="22" t="s">
        <v>71</v>
      </c>
      <c r="N145" s="22" t="s">
        <v>71</v>
      </c>
      <c r="O145" s="22" t="s">
        <v>149</v>
      </c>
      <c r="P145" s="31" t="n">
        <f aca="false">IFERROR(VLOOKUP($M145,Assumptions!$A$15:$B$20,2,FALSE()),0)</f>
        <v>3</v>
      </c>
      <c r="Q145" s="31" t="n">
        <f aca="false">IFERROR(VLOOKUP($N145,Assumptions!$A$15:$B$20,2,FALSE()),0)</f>
        <v>3</v>
      </c>
      <c r="R145" s="31" t="n">
        <f aca="false">ROUND((P145+Q145)*Assumptions!$B$8,1)</f>
        <v>0.7</v>
      </c>
      <c r="S145" s="31" t="n">
        <f aca="false">IF($O145="Y",ROUND(Q145*Assumptions!$B$9,1),0)</f>
        <v>0</v>
      </c>
      <c r="T145" s="31" t="n">
        <f aca="false">ROUND((P145+Q145)*Assumptions!$B$10,1)</f>
        <v>2.1</v>
      </c>
      <c r="U145" s="9" t="n">
        <f aca="false">SUM(P145:T145)</f>
        <v>8.8</v>
      </c>
      <c r="V145" s="34" t="s">
        <v>320</v>
      </c>
      <c r="W145" s="28"/>
    </row>
    <row r="146" customFormat="false" ht="23.85" hidden="false" customHeight="false" outlineLevel="0" collapsed="false">
      <c r="A146" s="7" t="s">
        <v>1140</v>
      </c>
      <c r="B146" s="14" t="s">
        <v>1109</v>
      </c>
      <c r="C146" s="6" t="s">
        <v>1110</v>
      </c>
      <c r="D146" s="6" t="s">
        <v>1141</v>
      </c>
      <c r="E146" s="6" t="s">
        <v>626</v>
      </c>
      <c r="F146" s="28" t="s">
        <v>1142</v>
      </c>
      <c r="G146" s="29" t="s">
        <v>143</v>
      </c>
      <c r="H146" s="29" t="s">
        <v>244</v>
      </c>
      <c r="I146" s="28" t="s">
        <v>1143</v>
      </c>
      <c r="J146" s="28" t="s">
        <v>1144</v>
      </c>
      <c r="K146" s="28" t="s">
        <v>1145</v>
      </c>
      <c r="L146" s="6" t="s">
        <v>359</v>
      </c>
      <c r="M146" s="22" t="s">
        <v>73</v>
      </c>
      <c r="N146" s="22" t="s">
        <v>71</v>
      </c>
      <c r="O146" s="22" t="s">
        <v>149</v>
      </c>
      <c r="P146" s="31" t="n">
        <f aca="false">IFERROR(VLOOKUP($M146,Assumptions!$A$15:$B$20,2,FALSE()),0)</f>
        <v>5</v>
      </c>
      <c r="Q146" s="31" t="n">
        <f aca="false">IFERROR(VLOOKUP($N146,Assumptions!$A$15:$B$20,2,FALSE()),0)</f>
        <v>3</v>
      </c>
      <c r="R146" s="31" t="n">
        <f aca="false">ROUND((P146+Q146)*Assumptions!$B$8,1)</f>
        <v>1</v>
      </c>
      <c r="S146" s="31" t="n">
        <f aca="false">IF($O146="Y",ROUND(Q146*Assumptions!$B$9,1),0)</f>
        <v>0</v>
      </c>
      <c r="T146" s="31" t="n">
        <f aca="false">ROUND((P146+Q146)*Assumptions!$B$10,1)</f>
        <v>2.8</v>
      </c>
      <c r="U146" s="9" t="n">
        <f aca="false">SUM(P146:T146)</f>
        <v>11.8</v>
      </c>
      <c r="V146" s="35" t="s">
        <v>386</v>
      </c>
      <c r="W146" s="28" t="s">
        <v>1146</v>
      </c>
    </row>
    <row r="147" customFormat="false" ht="23.85" hidden="false" customHeight="false" outlineLevel="0" collapsed="false">
      <c r="A147" s="7" t="s">
        <v>1147</v>
      </c>
      <c r="B147" s="14" t="s">
        <v>1109</v>
      </c>
      <c r="C147" s="6" t="s">
        <v>1110</v>
      </c>
      <c r="D147" s="6" t="s">
        <v>1148</v>
      </c>
      <c r="E147" s="6" t="s">
        <v>1149</v>
      </c>
      <c r="F147" s="28" t="s">
        <v>1150</v>
      </c>
      <c r="G147" s="29" t="s">
        <v>143</v>
      </c>
      <c r="H147" s="29" t="s">
        <v>244</v>
      </c>
      <c r="I147" s="28" t="s">
        <v>1151</v>
      </c>
      <c r="J147" s="28" t="s">
        <v>1152</v>
      </c>
      <c r="K147" s="28" t="s">
        <v>1153</v>
      </c>
      <c r="L147" s="6" t="s">
        <v>170</v>
      </c>
      <c r="M147" s="22" t="s">
        <v>71</v>
      </c>
      <c r="N147" s="22" t="s">
        <v>71</v>
      </c>
      <c r="O147" s="22" t="s">
        <v>149</v>
      </c>
      <c r="P147" s="31" t="n">
        <f aca="false">IFERROR(VLOOKUP($M147,Assumptions!$A$15:$B$20,2,FALSE()),0)</f>
        <v>3</v>
      </c>
      <c r="Q147" s="31" t="n">
        <f aca="false">IFERROR(VLOOKUP($N147,Assumptions!$A$15:$B$20,2,FALSE()),0)</f>
        <v>3</v>
      </c>
      <c r="R147" s="31" t="n">
        <f aca="false">ROUND((P147+Q147)*Assumptions!$B$8,1)</f>
        <v>0.7</v>
      </c>
      <c r="S147" s="31" t="n">
        <f aca="false">IF($O147="Y",ROUND(Q147*Assumptions!$B$9,1),0)</f>
        <v>0</v>
      </c>
      <c r="T147" s="31" t="n">
        <f aca="false">ROUND((P147+Q147)*Assumptions!$B$10,1)</f>
        <v>2.1</v>
      </c>
      <c r="U147" s="9" t="n">
        <f aca="false">SUM(P147:T147)</f>
        <v>8.8</v>
      </c>
      <c r="V147" s="34" t="s">
        <v>320</v>
      </c>
      <c r="W147" s="28"/>
    </row>
    <row r="148" customFormat="false" ht="32.8" hidden="false" customHeight="false" outlineLevel="0" collapsed="false">
      <c r="A148" s="7" t="s">
        <v>1125</v>
      </c>
      <c r="B148" s="14" t="s">
        <v>1109</v>
      </c>
      <c r="C148" s="6" t="s">
        <v>1110</v>
      </c>
      <c r="D148" s="6" t="s">
        <v>1154</v>
      </c>
      <c r="E148" s="6" t="s">
        <v>1155</v>
      </c>
      <c r="F148" s="28" t="s">
        <v>1142</v>
      </c>
      <c r="G148" s="29" t="s">
        <v>143</v>
      </c>
      <c r="H148" s="29" t="s">
        <v>244</v>
      </c>
      <c r="I148" s="28" t="s">
        <v>1156</v>
      </c>
      <c r="J148" s="28" t="s">
        <v>1157</v>
      </c>
      <c r="K148" s="28" t="s">
        <v>1158</v>
      </c>
      <c r="L148" s="6" t="s">
        <v>170</v>
      </c>
      <c r="M148" s="22" t="s">
        <v>75</v>
      </c>
      <c r="N148" s="22" t="s">
        <v>73</v>
      </c>
      <c r="O148" s="22" t="s">
        <v>169</v>
      </c>
      <c r="P148" s="31" t="n">
        <f aca="false">IFERROR(VLOOKUP($M148,Assumptions!$A$15:$B$20,2,FALSE()),0)</f>
        <v>10</v>
      </c>
      <c r="Q148" s="31" t="n">
        <f aca="false">IFERROR(VLOOKUP($N148,Assumptions!$A$15:$B$20,2,FALSE()),0)</f>
        <v>5</v>
      </c>
      <c r="R148" s="31" t="n">
        <f aca="false">ROUND((P148+Q148)*Assumptions!$B$8,1)</f>
        <v>1.8</v>
      </c>
      <c r="S148" s="31" t="n">
        <f aca="false">IF($O148="Y",ROUND(Q148*Assumptions!$B$9,1),0)</f>
        <v>2</v>
      </c>
      <c r="T148" s="31" t="n">
        <f aca="false">ROUND((P148+Q148)*Assumptions!$B$10,1)</f>
        <v>5.3</v>
      </c>
      <c r="U148" s="9" t="n">
        <f aca="false">SUM(P148:T148)</f>
        <v>24.1</v>
      </c>
      <c r="V148" s="34" t="s">
        <v>320</v>
      </c>
      <c r="W148" s="28"/>
    </row>
    <row r="149" customFormat="false" ht="23.85" hidden="false" customHeight="false" outlineLevel="0" collapsed="false">
      <c r="A149" s="7" t="s">
        <v>878</v>
      </c>
      <c r="B149" s="14" t="s">
        <v>1109</v>
      </c>
      <c r="C149" s="6" t="s">
        <v>1110</v>
      </c>
      <c r="D149" s="6" t="s">
        <v>1159</v>
      </c>
      <c r="E149" s="6" t="s">
        <v>1160</v>
      </c>
      <c r="F149" s="28" t="s">
        <v>1161</v>
      </c>
      <c r="G149" s="29" t="s">
        <v>143</v>
      </c>
      <c r="H149" s="29" t="s">
        <v>244</v>
      </c>
      <c r="I149" s="28" t="s">
        <v>1162</v>
      </c>
      <c r="J149" s="28" t="s">
        <v>1163</v>
      </c>
      <c r="K149" s="28" t="s">
        <v>1164</v>
      </c>
      <c r="L149" s="6" t="s">
        <v>1165</v>
      </c>
      <c r="M149" s="22" t="s">
        <v>71</v>
      </c>
      <c r="N149" s="22" t="s">
        <v>71</v>
      </c>
      <c r="O149" s="22" t="s">
        <v>149</v>
      </c>
      <c r="P149" s="31" t="n">
        <f aca="false">IFERROR(VLOOKUP($M149,Assumptions!$A$15:$B$20,2,FALSE()),0)</f>
        <v>3</v>
      </c>
      <c r="Q149" s="31" t="n">
        <f aca="false">IFERROR(VLOOKUP($N149,Assumptions!$A$15:$B$20,2,FALSE()),0)</f>
        <v>3</v>
      </c>
      <c r="R149" s="31" t="n">
        <f aca="false">ROUND((P149+Q149)*Assumptions!$B$8,1)</f>
        <v>0.7</v>
      </c>
      <c r="S149" s="31" t="n">
        <f aca="false">IF($O149="Y",ROUND(Q149*Assumptions!$B$9,1),0)</f>
        <v>0</v>
      </c>
      <c r="T149" s="31" t="n">
        <f aca="false">ROUND((P149+Q149)*Assumptions!$B$10,1)</f>
        <v>2.1</v>
      </c>
      <c r="U149" s="9" t="n">
        <f aca="false">SUM(P149:T149)</f>
        <v>8.8</v>
      </c>
      <c r="V149" s="35" t="s">
        <v>386</v>
      </c>
      <c r="W149" s="28"/>
    </row>
    <row r="150" customFormat="false" ht="23.85" hidden="false" customHeight="false" outlineLevel="0" collapsed="false">
      <c r="A150" s="7" t="s">
        <v>1165</v>
      </c>
      <c r="B150" s="14" t="s">
        <v>1109</v>
      </c>
      <c r="C150" s="6" t="s">
        <v>1110</v>
      </c>
      <c r="D150" s="6" t="s">
        <v>1166</v>
      </c>
      <c r="E150" s="6" t="s">
        <v>1167</v>
      </c>
      <c r="F150" s="28" t="s">
        <v>1142</v>
      </c>
      <c r="G150" s="29" t="s">
        <v>143</v>
      </c>
      <c r="H150" s="29" t="s">
        <v>244</v>
      </c>
      <c r="I150" s="28" t="s">
        <v>1168</v>
      </c>
      <c r="J150" s="28" t="s">
        <v>1169</v>
      </c>
      <c r="K150" s="28" t="s">
        <v>1170</v>
      </c>
      <c r="L150" s="6" t="s">
        <v>241</v>
      </c>
      <c r="M150" s="22" t="s">
        <v>71</v>
      </c>
      <c r="N150" s="22" t="s">
        <v>71</v>
      </c>
      <c r="O150" s="22" t="s">
        <v>149</v>
      </c>
      <c r="P150" s="31" t="n">
        <f aca="false">IFERROR(VLOOKUP($M150,Assumptions!$A$15:$B$20,2,FALSE()),0)</f>
        <v>3</v>
      </c>
      <c r="Q150" s="31" t="n">
        <f aca="false">IFERROR(VLOOKUP($N150,Assumptions!$A$15:$B$20,2,FALSE()),0)</f>
        <v>3</v>
      </c>
      <c r="R150" s="31" t="n">
        <f aca="false">ROUND((P150+Q150)*Assumptions!$B$8,1)</f>
        <v>0.7</v>
      </c>
      <c r="S150" s="31" t="n">
        <f aca="false">IF($O150="Y",ROUND(Q150*Assumptions!$B$9,1),0)</f>
        <v>0</v>
      </c>
      <c r="T150" s="31" t="n">
        <f aca="false">ROUND((P150+Q150)*Assumptions!$B$10,1)</f>
        <v>2.1</v>
      </c>
      <c r="U150" s="9" t="n">
        <f aca="false">SUM(P150:T150)</f>
        <v>8.8</v>
      </c>
      <c r="V150" s="34" t="s">
        <v>320</v>
      </c>
      <c r="W150" s="28"/>
    </row>
    <row r="151" customFormat="false" ht="23.85" hidden="false" customHeight="false" outlineLevel="0" collapsed="false">
      <c r="A151" s="7" t="s">
        <v>1171</v>
      </c>
      <c r="B151" s="14" t="s">
        <v>1109</v>
      </c>
      <c r="C151" s="6" t="s">
        <v>1110</v>
      </c>
      <c r="D151" s="6" t="s">
        <v>1172</v>
      </c>
      <c r="E151" s="6" t="s">
        <v>1173</v>
      </c>
      <c r="F151" s="28" t="s">
        <v>1174</v>
      </c>
      <c r="G151" s="29" t="s">
        <v>143</v>
      </c>
      <c r="H151" s="29" t="s">
        <v>244</v>
      </c>
      <c r="I151" s="28" t="s">
        <v>1175</v>
      </c>
      <c r="J151" s="28" t="s">
        <v>1176</v>
      </c>
      <c r="K151" s="28" t="s">
        <v>1177</v>
      </c>
      <c r="L151" s="6" t="s">
        <v>1178</v>
      </c>
      <c r="M151" s="22" t="s">
        <v>73</v>
      </c>
      <c r="N151" s="22" t="s">
        <v>71</v>
      </c>
      <c r="O151" s="22" t="s">
        <v>149</v>
      </c>
      <c r="P151" s="31" t="n">
        <f aca="false">IFERROR(VLOOKUP($M151,Assumptions!$A$15:$B$20,2,FALSE()),0)</f>
        <v>5</v>
      </c>
      <c r="Q151" s="31" t="n">
        <f aca="false">IFERROR(VLOOKUP($N151,Assumptions!$A$15:$B$20,2,FALSE()),0)</f>
        <v>3</v>
      </c>
      <c r="R151" s="31" t="n">
        <f aca="false">ROUND((P151+Q151)*Assumptions!$B$8,1)</f>
        <v>1</v>
      </c>
      <c r="S151" s="31" t="n">
        <f aca="false">IF($O151="Y",ROUND(Q151*Assumptions!$B$9,1),0)</f>
        <v>0</v>
      </c>
      <c r="T151" s="31" t="n">
        <f aca="false">ROUND((P151+Q151)*Assumptions!$B$10,1)</f>
        <v>2.8</v>
      </c>
      <c r="U151" s="9" t="n">
        <f aca="false">SUM(P151:T151)</f>
        <v>11.8</v>
      </c>
      <c r="V151" s="34" t="s">
        <v>320</v>
      </c>
      <c r="W151" s="28"/>
    </row>
    <row r="152" customFormat="false" ht="23.85" hidden="false" customHeight="false" outlineLevel="0" collapsed="false">
      <c r="A152" s="7" t="s">
        <v>1179</v>
      </c>
      <c r="B152" s="14" t="s">
        <v>1109</v>
      </c>
      <c r="C152" s="6" t="s">
        <v>1110</v>
      </c>
      <c r="D152" s="6" t="s">
        <v>1180</v>
      </c>
      <c r="E152" s="6" t="s">
        <v>1181</v>
      </c>
      <c r="F152" s="28" t="s">
        <v>1182</v>
      </c>
      <c r="G152" s="29" t="s">
        <v>143</v>
      </c>
      <c r="H152" s="29" t="s">
        <v>244</v>
      </c>
      <c r="I152" s="28" t="s">
        <v>1183</v>
      </c>
      <c r="J152" s="28" t="s">
        <v>1184</v>
      </c>
      <c r="K152" s="28" t="s">
        <v>1185</v>
      </c>
      <c r="L152" s="6" t="s">
        <v>1171</v>
      </c>
      <c r="M152" s="22" t="s">
        <v>73</v>
      </c>
      <c r="N152" s="22" t="s">
        <v>69</v>
      </c>
      <c r="O152" s="22" t="s">
        <v>149</v>
      </c>
      <c r="P152" s="31" t="n">
        <f aca="false">IFERROR(VLOOKUP($M152,Assumptions!$A$15:$B$20,2,FALSE()),0)</f>
        <v>5</v>
      </c>
      <c r="Q152" s="31" t="n">
        <f aca="false">IFERROR(VLOOKUP($N152,Assumptions!$A$15:$B$20,2,FALSE()),0)</f>
        <v>1</v>
      </c>
      <c r="R152" s="31" t="n">
        <f aca="false">ROUND((P152+Q152)*Assumptions!$B$8,1)</f>
        <v>0.7</v>
      </c>
      <c r="S152" s="31" t="n">
        <f aca="false">IF($O152="Y",ROUND(Q152*Assumptions!$B$9,1),0)</f>
        <v>0</v>
      </c>
      <c r="T152" s="31" t="n">
        <f aca="false">ROUND((P152+Q152)*Assumptions!$B$10,1)</f>
        <v>2.1</v>
      </c>
      <c r="U152" s="9" t="n">
        <f aca="false">SUM(P152:T152)</f>
        <v>8.8</v>
      </c>
      <c r="V152" s="34" t="s">
        <v>320</v>
      </c>
      <c r="W152" s="28"/>
    </row>
    <row r="153" customFormat="false" ht="23.85" hidden="false" customHeight="false" outlineLevel="0" collapsed="false">
      <c r="A153" s="7" t="s">
        <v>1186</v>
      </c>
      <c r="B153" s="14" t="s">
        <v>1109</v>
      </c>
      <c r="C153" s="6" t="s">
        <v>1110</v>
      </c>
      <c r="D153" s="6" t="s">
        <v>1187</v>
      </c>
      <c r="E153" s="6" t="s">
        <v>1188</v>
      </c>
      <c r="F153" s="28" t="s">
        <v>1189</v>
      </c>
      <c r="G153" s="29" t="s">
        <v>143</v>
      </c>
      <c r="H153" s="29" t="s">
        <v>244</v>
      </c>
      <c r="I153" s="28" t="s">
        <v>1190</v>
      </c>
      <c r="J153" s="28" t="s">
        <v>1191</v>
      </c>
      <c r="K153" s="28" t="s">
        <v>1192</v>
      </c>
      <c r="L153" s="6" t="s">
        <v>185</v>
      </c>
      <c r="M153" s="22" t="s">
        <v>71</v>
      </c>
      <c r="N153" s="22" t="s">
        <v>73</v>
      </c>
      <c r="O153" s="22" t="s">
        <v>149</v>
      </c>
      <c r="P153" s="31" t="n">
        <f aca="false">IFERROR(VLOOKUP($M153,Assumptions!$A$15:$B$20,2,FALSE()),0)</f>
        <v>3</v>
      </c>
      <c r="Q153" s="31" t="n">
        <f aca="false">IFERROR(VLOOKUP($N153,Assumptions!$A$15:$B$20,2,FALSE()),0)</f>
        <v>5</v>
      </c>
      <c r="R153" s="31" t="n">
        <f aca="false">ROUND((P153+Q153)*Assumptions!$B$8,1)</f>
        <v>1</v>
      </c>
      <c r="S153" s="31" t="n">
        <f aca="false">IF($O153="Y",ROUND(Q153*Assumptions!$B$9,1),0)</f>
        <v>0</v>
      </c>
      <c r="T153" s="31" t="n">
        <f aca="false">ROUND((P153+Q153)*Assumptions!$B$10,1)</f>
        <v>2.8</v>
      </c>
      <c r="U153" s="9" t="n">
        <f aca="false">SUM(P153:T153)</f>
        <v>11.8</v>
      </c>
      <c r="V153" s="34" t="s">
        <v>320</v>
      </c>
      <c r="W153" s="28"/>
    </row>
    <row r="154" customFormat="false" ht="23.85" hidden="false" customHeight="false" outlineLevel="0" collapsed="false">
      <c r="A154" s="7" t="s">
        <v>1193</v>
      </c>
      <c r="B154" s="14" t="s">
        <v>1109</v>
      </c>
      <c r="C154" s="6" t="s">
        <v>1110</v>
      </c>
      <c r="D154" s="6" t="s">
        <v>1194</v>
      </c>
      <c r="E154" s="6" t="s">
        <v>1195</v>
      </c>
      <c r="F154" s="28" t="s">
        <v>1142</v>
      </c>
      <c r="G154" s="29" t="s">
        <v>143</v>
      </c>
      <c r="H154" s="29" t="s">
        <v>244</v>
      </c>
      <c r="I154" s="28" t="s">
        <v>1196</v>
      </c>
      <c r="J154" s="28" t="s">
        <v>1197</v>
      </c>
      <c r="K154" s="28" t="s">
        <v>1198</v>
      </c>
      <c r="L154" s="6" t="s">
        <v>256</v>
      </c>
      <c r="M154" s="22" t="s">
        <v>71</v>
      </c>
      <c r="N154" s="22" t="s">
        <v>73</v>
      </c>
      <c r="O154" s="22" t="s">
        <v>169</v>
      </c>
      <c r="P154" s="31" t="n">
        <f aca="false">IFERROR(VLOOKUP($M154,Assumptions!$A$15:$B$20,2,FALSE()),0)</f>
        <v>3</v>
      </c>
      <c r="Q154" s="31" t="n">
        <f aca="false">IFERROR(VLOOKUP($N154,Assumptions!$A$15:$B$20,2,FALSE()),0)</f>
        <v>5</v>
      </c>
      <c r="R154" s="31" t="n">
        <f aca="false">ROUND((P154+Q154)*Assumptions!$B$8,1)</f>
        <v>1</v>
      </c>
      <c r="S154" s="31" t="n">
        <f aca="false">IF($O154="Y",ROUND(Q154*Assumptions!$B$9,1),0)</f>
        <v>2</v>
      </c>
      <c r="T154" s="31" t="n">
        <f aca="false">ROUND((P154+Q154)*Assumptions!$B$10,1)</f>
        <v>2.8</v>
      </c>
      <c r="U154" s="9" t="n">
        <f aca="false">SUM(P154:T154)</f>
        <v>13.8</v>
      </c>
      <c r="V154" s="34" t="s">
        <v>320</v>
      </c>
      <c r="W154" s="28"/>
    </row>
    <row r="155" customFormat="false" ht="23.85" hidden="false" customHeight="false" outlineLevel="0" collapsed="false">
      <c r="A155" s="7" t="s">
        <v>1199</v>
      </c>
      <c r="B155" s="14" t="s">
        <v>1109</v>
      </c>
      <c r="C155" s="6" t="s">
        <v>1110</v>
      </c>
      <c r="D155" s="6" t="s">
        <v>1200</v>
      </c>
      <c r="E155" s="6" t="s">
        <v>1201</v>
      </c>
      <c r="F155" s="28" t="s">
        <v>1202</v>
      </c>
      <c r="G155" s="32" t="s">
        <v>265</v>
      </c>
      <c r="H155" s="32" t="s">
        <v>272</v>
      </c>
      <c r="I155" s="28" t="s">
        <v>1203</v>
      </c>
      <c r="J155" s="28" t="s">
        <v>1204</v>
      </c>
      <c r="K155" s="28" t="s">
        <v>1205</v>
      </c>
      <c r="L155" s="6" t="s">
        <v>1125</v>
      </c>
      <c r="M155" s="22" t="s">
        <v>71</v>
      </c>
      <c r="N155" s="22" t="s">
        <v>71</v>
      </c>
      <c r="O155" s="22" t="s">
        <v>149</v>
      </c>
      <c r="P155" s="31" t="n">
        <f aca="false">IFERROR(VLOOKUP($M155,Assumptions!$A$15:$B$20,2,FALSE()),0)</f>
        <v>3</v>
      </c>
      <c r="Q155" s="31" t="n">
        <f aca="false">IFERROR(VLOOKUP($N155,Assumptions!$A$15:$B$20,2,FALSE()),0)</f>
        <v>3</v>
      </c>
      <c r="R155" s="31" t="n">
        <f aca="false">ROUND((P155+Q155)*Assumptions!$B$8,1)</f>
        <v>0.7</v>
      </c>
      <c r="S155" s="31" t="n">
        <f aca="false">IF($O155="Y",ROUND(Q155*Assumptions!$B$9,1),0)</f>
        <v>0</v>
      </c>
      <c r="T155" s="31" t="n">
        <f aca="false">ROUND((P155+Q155)*Assumptions!$B$10,1)</f>
        <v>2.1</v>
      </c>
      <c r="U155" s="9" t="n">
        <f aca="false">SUM(P155:T155)</f>
        <v>8.8</v>
      </c>
      <c r="V155" s="34" t="s">
        <v>320</v>
      </c>
      <c r="W155" s="28"/>
    </row>
    <row r="156" customFormat="false" ht="23.85" hidden="false" customHeight="false" outlineLevel="0" collapsed="false">
      <c r="A156" s="7" t="s">
        <v>1206</v>
      </c>
      <c r="B156" s="14" t="s">
        <v>1109</v>
      </c>
      <c r="C156" s="6" t="s">
        <v>1110</v>
      </c>
      <c r="D156" s="6" t="s">
        <v>1207</v>
      </c>
      <c r="E156" s="6" t="s">
        <v>1208</v>
      </c>
      <c r="F156" s="28" t="s">
        <v>1121</v>
      </c>
      <c r="G156" s="32" t="s">
        <v>265</v>
      </c>
      <c r="H156" s="32" t="s">
        <v>272</v>
      </c>
      <c r="I156" s="28" t="s">
        <v>1209</v>
      </c>
      <c r="J156" s="28" t="s">
        <v>1210</v>
      </c>
      <c r="K156" s="28" t="s">
        <v>1211</v>
      </c>
      <c r="L156" s="6" t="s">
        <v>270</v>
      </c>
      <c r="M156" s="22" t="s">
        <v>75</v>
      </c>
      <c r="N156" s="22" t="s">
        <v>73</v>
      </c>
      <c r="O156" s="22" t="s">
        <v>149</v>
      </c>
      <c r="P156" s="31" t="n">
        <f aca="false">IFERROR(VLOOKUP($M156,Assumptions!$A$15:$B$20,2,FALSE()),0)</f>
        <v>10</v>
      </c>
      <c r="Q156" s="31" t="n">
        <f aca="false">IFERROR(VLOOKUP($N156,Assumptions!$A$15:$B$20,2,FALSE()),0)</f>
        <v>5</v>
      </c>
      <c r="R156" s="31" t="n">
        <f aca="false">ROUND((P156+Q156)*Assumptions!$B$8,1)</f>
        <v>1.8</v>
      </c>
      <c r="S156" s="31" t="n">
        <f aca="false">IF($O156="Y",ROUND(Q156*Assumptions!$B$9,1),0)</f>
        <v>0</v>
      </c>
      <c r="T156" s="31" t="n">
        <f aca="false">ROUND((P156+Q156)*Assumptions!$B$10,1)</f>
        <v>5.3</v>
      </c>
      <c r="U156" s="9" t="n">
        <f aca="false">SUM(P156:T156)</f>
        <v>22.1</v>
      </c>
      <c r="V156" s="34" t="s">
        <v>320</v>
      </c>
      <c r="W156" s="28"/>
    </row>
    <row r="157" customFormat="false" ht="23.85" hidden="false" customHeight="false" outlineLevel="0" collapsed="false">
      <c r="A157" s="7" t="s">
        <v>1212</v>
      </c>
      <c r="B157" s="14" t="s">
        <v>1109</v>
      </c>
      <c r="C157" s="6" t="s">
        <v>1110</v>
      </c>
      <c r="D157" s="6" t="s">
        <v>1213</v>
      </c>
      <c r="E157" s="6" t="s">
        <v>1214</v>
      </c>
      <c r="F157" s="28" t="s">
        <v>1215</v>
      </c>
      <c r="G157" s="32" t="s">
        <v>265</v>
      </c>
      <c r="H157" s="32" t="s">
        <v>272</v>
      </c>
      <c r="I157" s="28" t="s">
        <v>1216</v>
      </c>
      <c r="J157" s="28" t="s">
        <v>1217</v>
      </c>
      <c r="K157" s="28" t="s">
        <v>1218</v>
      </c>
      <c r="L157" s="6" t="s">
        <v>1219</v>
      </c>
      <c r="M157" s="22" t="s">
        <v>73</v>
      </c>
      <c r="N157" s="22" t="s">
        <v>71</v>
      </c>
      <c r="O157" s="22" t="s">
        <v>149</v>
      </c>
      <c r="P157" s="31" t="n">
        <f aca="false">IFERROR(VLOOKUP($M157,Assumptions!$A$15:$B$20,2,FALSE()),0)</f>
        <v>5</v>
      </c>
      <c r="Q157" s="31" t="n">
        <f aca="false">IFERROR(VLOOKUP($N157,Assumptions!$A$15:$B$20,2,FALSE()),0)</f>
        <v>3</v>
      </c>
      <c r="R157" s="31" t="n">
        <f aca="false">ROUND((P157+Q157)*Assumptions!$B$8,1)</f>
        <v>1</v>
      </c>
      <c r="S157" s="31" t="n">
        <f aca="false">IF($O157="Y",ROUND(Q157*Assumptions!$B$9,1),0)</f>
        <v>0</v>
      </c>
      <c r="T157" s="31" t="n">
        <f aca="false">ROUND((P157+Q157)*Assumptions!$B$10,1)</f>
        <v>2.8</v>
      </c>
      <c r="U157" s="9" t="n">
        <f aca="false">SUM(P157:T157)</f>
        <v>11.8</v>
      </c>
      <c r="V157" s="34" t="s">
        <v>320</v>
      </c>
      <c r="W157" s="28"/>
    </row>
    <row r="158" customFormat="false" ht="23.85" hidden="false" customHeight="false" outlineLevel="0" collapsed="false">
      <c r="A158" s="7" t="s">
        <v>1220</v>
      </c>
      <c r="B158" s="14" t="s">
        <v>1109</v>
      </c>
      <c r="C158" s="6" t="s">
        <v>1110</v>
      </c>
      <c r="D158" s="6" t="s">
        <v>1221</v>
      </c>
      <c r="E158" s="6" t="s">
        <v>1222</v>
      </c>
      <c r="F158" s="28" t="s">
        <v>1223</v>
      </c>
      <c r="G158" s="32" t="s">
        <v>265</v>
      </c>
      <c r="H158" s="32" t="s">
        <v>272</v>
      </c>
      <c r="I158" s="28" t="s">
        <v>1224</v>
      </c>
      <c r="J158" s="28" t="s">
        <v>1225</v>
      </c>
      <c r="K158" s="28" t="s">
        <v>1226</v>
      </c>
      <c r="L158" s="6" t="s">
        <v>1227</v>
      </c>
      <c r="M158" s="22" t="s">
        <v>73</v>
      </c>
      <c r="N158" s="22" t="s">
        <v>71</v>
      </c>
      <c r="O158" s="22" t="s">
        <v>149</v>
      </c>
      <c r="P158" s="31" t="n">
        <f aca="false">IFERROR(VLOOKUP($M158,Assumptions!$A$15:$B$20,2,FALSE()),0)</f>
        <v>5</v>
      </c>
      <c r="Q158" s="31" t="n">
        <f aca="false">IFERROR(VLOOKUP($N158,Assumptions!$A$15:$B$20,2,FALSE()),0)</f>
        <v>3</v>
      </c>
      <c r="R158" s="31" t="n">
        <f aca="false">ROUND((P158+Q158)*Assumptions!$B$8,1)</f>
        <v>1</v>
      </c>
      <c r="S158" s="31" t="n">
        <f aca="false">IF($O158="Y",ROUND(Q158*Assumptions!$B$9,1),0)</f>
        <v>0</v>
      </c>
      <c r="T158" s="31" t="n">
        <f aca="false">ROUND((P158+Q158)*Assumptions!$B$10,1)</f>
        <v>2.8</v>
      </c>
      <c r="U158" s="9" t="n">
        <f aca="false">SUM(P158:T158)</f>
        <v>11.8</v>
      </c>
      <c r="V158" s="34" t="s">
        <v>320</v>
      </c>
      <c r="W158" s="28"/>
    </row>
    <row r="159" customFormat="false" ht="23.85" hidden="false" customHeight="false" outlineLevel="0" collapsed="false">
      <c r="A159" s="7" t="s">
        <v>1228</v>
      </c>
      <c r="B159" s="14" t="s">
        <v>1109</v>
      </c>
      <c r="C159" s="6" t="s">
        <v>1110</v>
      </c>
      <c r="D159" s="6" t="s">
        <v>1229</v>
      </c>
      <c r="E159" s="6" t="s">
        <v>1230</v>
      </c>
      <c r="F159" s="28" t="s">
        <v>1231</v>
      </c>
      <c r="G159" s="32" t="s">
        <v>265</v>
      </c>
      <c r="H159" s="32" t="s">
        <v>272</v>
      </c>
      <c r="I159" s="28" t="s">
        <v>1232</v>
      </c>
      <c r="J159" s="28" t="s">
        <v>1233</v>
      </c>
      <c r="K159" s="28" t="s">
        <v>1234</v>
      </c>
      <c r="L159" s="6" t="s">
        <v>1171</v>
      </c>
      <c r="M159" s="22" t="s">
        <v>75</v>
      </c>
      <c r="N159" s="22" t="s">
        <v>73</v>
      </c>
      <c r="O159" s="22" t="s">
        <v>169</v>
      </c>
      <c r="P159" s="31" t="n">
        <f aca="false">IFERROR(VLOOKUP($M159,Assumptions!$A$15:$B$20,2,FALSE()),0)</f>
        <v>10</v>
      </c>
      <c r="Q159" s="31" t="n">
        <f aca="false">IFERROR(VLOOKUP($N159,Assumptions!$A$15:$B$20,2,FALSE()),0)</f>
        <v>5</v>
      </c>
      <c r="R159" s="31" t="n">
        <f aca="false">ROUND((P159+Q159)*Assumptions!$B$8,1)</f>
        <v>1.8</v>
      </c>
      <c r="S159" s="31" t="n">
        <f aca="false">IF($O159="Y",ROUND(Q159*Assumptions!$B$9,1),0)</f>
        <v>2</v>
      </c>
      <c r="T159" s="31" t="n">
        <f aca="false">ROUND((P159+Q159)*Assumptions!$B$10,1)</f>
        <v>5.3</v>
      </c>
      <c r="U159" s="9" t="n">
        <f aca="false">SUM(P159:T159)</f>
        <v>24.1</v>
      </c>
      <c r="V159" s="34" t="s">
        <v>320</v>
      </c>
      <c r="W159" s="28" t="s">
        <v>1235</v>
      </c>
    </row>
    <row r="160" customFormat="false" ht="23.85" hidden="false" customHeight="false" outlineLevel="0" collapsed="false">
      <c r="A160" s="7" t="s">
        <v>1236</v>
      </c>
      <c r="B160" s="14" t="s">
        <v>1109</v>
      </c>
      <c r="C160" s="6" t="s">
        <v>1110</v>
      </c>
      <c r="D160" s="6" t="s">
        <v>1237</v>
      </c>
      <c r="E160" s="6" t="s">
        <v>1238</v>
      </c>
      <c r="F160" s="28" t="s">
        <v>1142</v>
      </c>
      <c r="G160" s="32" t="s">
        <v>265</v>
      </c>
      <c r="H160" s="32" t="s">
        <v>272</v>
      </c>
      <c r="I160" s="28" t="s">
        <v>1239</v>
      </c>
      <c r="J160" s="28" t="s">
        <v>1240</v>
      </c>
      <c r="K160" s="28" t="s">
        <v>1241</v>
      </c>
      <c r="L160" s="6" t="s">
        <v>1242</v>
      </c>
      <c r="M160" s="22" t="s">
        <v>73</v>
      </c>
      <c r="N160" s="22" t="s">
        <v>73</v>
      </c>
      <c r="O160" s="22" t="s">
        <v>169</v>
      </c>
      <c r="P160" s="31" t="n">
        <f aca="false">IFERROR(VLOOKUP($M160,Assumptions!$A$15:$B$20,2,FALSE()),0)</f>
        <v>5</v>
      </c>
      <c r="Q160" s="31" t="n">
        <f aca="false">IFERROR(VLOOKUP($N160,Assumptions!$A$15:$B$20,2,FALSE()),0)</f>
        <v>5</v>
      </c>
      <c r="R160" s="31" t="n">
        <f aca="false">ROUND((P160+Q160)*Assumptions!$B$8,1)</f>
        <v>1.2</v>
      </c>
      <c r="S160" s="31" t="n">
        <f aca="false">IF($O160="Y",ROUND(Q160*Assumptions!$B$9,1),0)</f>
        <v>2</v>
      </c>
      <c r="T160" s="31" t="n">
        <f aca="false">ROUND((P160+Q160)*Assumptions!$B$10,1)</f>
        <v>3.5</v>
      </c>
      <c r="U160" s="9" t="n">
        <f aca="false">SUM(P160:T160)</f>
        <v>16.7</v>
      </c>
      <c r="V160" s="34" t="s">
        <v>320</v>
      </c>
      <c r="W160" s="28"/>
    </row>
    <row r="161" customFormat="false" ht="23.85" hidden="false" customHeight="false" outlineLevel="0" collapsed="false">
      <c r="A161" s="7" t="s">
        <v>1243</v>
      </c>
      <c r="B161" s="14" t="s">
        <v>1109</v>
      </c>
      <c r="C161" s="6" t="s">
        <v>1110</v>
      </c>
      <c r="D161" s="6" t="s">
        <v>1244</v>
      </c>
      <c r="E161" s="6" t="s">
        <v>1245</v>
      </c>
      <c r="F161" s="28" t="s">
        <v>1142</v>
      </c>
      <c r="G161" s="32" t="s">
        <v>265</v>
      </c>
      <c r="H161" s="32" t="s">
        <v>272</v>
      </c>
      <c r="I161" s="28" t="s">
        <v>1246</v>
      </c>
      <c r="J161" s="28" t="s">
        <v>1247</v>
      </c>
      <c r="K161" s="28" t="s">
        <v>1248</v>
      </c>
      <c r="L161" s="6" t="s">
        <v>1125</v>
      </c>
      <c r="M161" s="22" t="s">
        <v>73</v>
      </c>
      <c r="N161" s="22" t="s">
        <v>73</v>
      </c>
      <c r="O161" s="22" t="s">
        <v>169</v>
      </c>
      <c r="P161" s="31" t="n">
        <f aca="false">IFERROR(VLOOKUP($M161,Assumptions!$A$15:$B$20,2,FALSE()),0)</f>
        <v>5</v>
      </c>
      <c r="Q161" s="31" t="n">
        <f aca="false">IFERROR(VLOOKUP($N161,Assumptions!$A$15:$B$20,2,FALSE()),0)</f>
        <v>5</v>
      </c>
      <c r="R161" s="31" t="n">
        <f aca="false">ROUND((P161+Q161)*Assumptions!$B$8,1)</f>
        <v>1.2</v>
      </c>
      <c r="S161" s="31" t="n">
        <f aca="false">IF($O161="Y",ROUND(Q161*Assumptions!$B$9,1),0)</f>
        <v>2</v>
      </c>
      <c r="T161" s="31" t="n">
        <f aca="false">ROUND((P161+Q161)*Assumptions!$B$10,1)</f>
        <v>3.5</v>
      </c>
      <c r="U161" s="9" t="n">
        <f aca="false">SUM(P161:T161)</f>
        <v>16.7</v>
      </c>
      <c r="V161" s="34" t="s">
        <v>320</v>
      </c>
      <c r="W161" s="28"/>
    </row>
    <row r="162" customFormat="false" ht="23.85" hidden="false" customHeight="false" outlineLevel="0" collapsed="false">
      <c r="A162" s="7" t="s">
        <v>1249</v>
      </c>
      <c r="B162" s="14" t="s">
        <v>1109</v>
      </c>
      <c r="C162" s="6" t="s">
        <v>1110</v>
      </c>
      <c r="D162" s="6" t="s">
        <v>1250</v>
      </c>
      <c r="E162" s="6" t="s">
        <v>1251</v>
      </c>
      <c r="F162" s="28" t="s">
        <v>1252</v>
      </c>
      <c r="G162" s="32" t="s">
        <v>265</v>
      </c>
      <c r="H162" s="32" t="s">
        <v>272</v>
      </c>
      <c r="I162" s="28" t="s">
        <v>1253</v>
      </c>
      <c r="J162" s="28" t="s">
        <v>1254</v>
      </c>
      <c r="K162" s="28" t="s">
        <v>1255</v>
      </c>
      <c r="L162" s="6" t="s">
        <v>579</v>
      </c>
      <c r="M162" s="22" t="s">
        <v>71</v>
      </c>
      <c r="N162" s="22" t="s">
        <v>69</v>
      </c>
      <c r="O162" s="22" t="s">
        <v>149</v>
      </c>
      <c r="P162" s="31" t="n">
        <f aca="false">IFERROR(VLOOKUP($M162,Assumptions!$A$15:$B$20,2,FALSE()),0)</f>
        <v>3</v>
      </c>
      <c r="Q162" s="31" t="n">
        <f aca="false">IFERROR(VLOOKUP($N162,Assumptions!$A$15:$B$20,2,FALSE()),0)</f>
        <v>1</v>
      </c>
      <c r="R162" s="31" t="n">
        <f aca="false">ROUND((P162+Q162)*Assumptions!$B$8,1)</f>
        <v>0.5</v>
      </c>
      <c r="S162" s="31" t="n">
        <f aca="false">IF($O162="Y",ROUND(Q162*Assumptions!$B$9,1),0)</f>
        <v>0</v>
      </c>
      <c r="T162" s="31" t="n">
        <f aca="false">ROUND((P162+Q162)*Assumptions!$B$10,1)</f>
        <v>1.4</v>
      </c>
      <c r="U162" s="9" t="n">
        <f aca="false">SUM(P162:T162)</f>
        <v>5.9</v>
      </c>
      <c r="V162" s="34" t="s">
        <v>320</v>
      </c>
      <c r="W162" s="28"/>
    </row>
    <row r="163" customFormat="false" ht="23.85" hidden="false" customHeight="false" outlineLevel="0" collapsed="false">
      <c r="A163" s="7" t="s">
        <v>1256</v>
      </c>
      <c r="B163" s="14" t="s">
        <v>1257</v>
      </c>
      <c r="C163" s="6" t="s">
        <v>1258</v>
      </c>
      <c r="D163" s="6" t="s">
        <v>1259</v>
      </c>
      <c r="E163" s="6" t="s">
        <v>1260</v>
      </c>
      <c r="F163" s="28" t="s">
        <v>1261</v>
      </c>
      <c r="G163" s="29" t="s">
        <v>143</v>
      </c>
      <c r="H163" s="29" t="s">
        <v>244</v>
      </c>
      <c r="I163" s="28" t="s">
        <v>1262</v>
      </c>
      <c r="J163" s="28" t="s">
        <v>1263</v>
      </c>
      <c r="K163" s="28" t="s">
        <v>1264</v>
      </c>
      <c r="L163" s="6" t="s">
        <v>1117</v>
      </c>
      <c r="M163" s="22" t="s">
        <v>71</v>
      </c>
      <c r="N163" s="22" t="s">
        <v>73</v>
      </c>
      <c r="O163" s="22" t="s">
        <v>169</v>
      </c>
      <c r="P163" s="31" t="n">
        <f aca="false">IFERROR(VLOOKUP($M163,Assumptions!$A$15:$B$20,2,FALSE()),0)</f>
        <v>3</v>
      </c>
      <c r="Q163" s="31" t="n">
        <f aca="false">IFERROR(VLOOKUP($N163,Assumptions!$A$15:$B$20,2,FALSE()),0)</f>
        <v>5</v>
      </c>
      <c r="R163" s="31" t="n">
        <f aca="false">ROUND((P163+Q163)*Assumptions!$B$8,1)</f>
        <v>1</v>
      </c>
      <c r="S163" s="31" t="n">
        <f aca="false">IF($O163="Y",ROUND(Q163*Assumptions!$B$9,1),0)</f>
        <v>2</v>
      </c>
      <c r="T163" s="31" t="n">
        <f aca="false">ROUND((P163+Q163)*Assumptions!$B$10,1)</f>
        <v>2.8</v>
      </c>
      <c r="U163" s="9" t="n">
        <f aca="false">SUM(P163:T163)</f>
        <v>13.8</v>
      </c>
      <c r="V163" s="34" t="s">
        <v>320</v>
      </c>
      <c r="W163" s="28"/>
    </row>
    <row r="164" customFormat="false" ht="23.85" hidden="false" customHeight="false" outlineLevel="0" collapsed="false">
      <c r="A164" s="7" t="s">
        <v>1265</v>
      </c>
      <c r="B164" s="14" t="s">
        <v>1257</v>
      </c>
      <c r="C164" s="6" t="s">
        <v>1258</v>
      </c>
      <c r="D164" s="6" t="s">
        <v>1266</v>
      </c>
      <c r="E164" s="6" t="s">
        <v>1267</v>
      </c>
      <c r="F164" s="28" t="s">
        <v>1268</v>
      </c>
      <c r="G164" s="29" t="s">
        <v>143</v>
      </c>
      <c r="H164" s="29" t="s">
        <v>244</v>
      </c>
      <c r="I164" s="28" t="s">
        <v>1269</v>
      </c>
      <c r="J164" s="28" t="s">
        <v>1270</v>
      </c>
      <c r="K164" s="28" t="s">
        <v>1271</v>
      </c>
      <c r="L164" s="6" t="s">
        <v>170</v>
      </c>
      <c r="M164" s="22" t="s">
        <v>73</v>
      </c>
      <c r="N164" s="22" t="s">
        <v>73</v>
      </c>
      <c r="O164" s="22" t="s">
        <v>169</v>
      </c>
      <c r="P164" s="31" t="n">
        <f aca="false">IFERROR(VLOOKUP($M164,Assumptions!$A$15:$B$20,2,FALSE()),0)</f>
        <v>5</v>
      </c>
      <c r="Q164" s="31" t="n">
        <f aca="false">IFERROR(VLOOKUP($N164,Assumptions!$A$15:$B$20,2,FALSE()),0)</f>
        <v>5</v>
      </c>
      <c r="R164" s="31" t="n">
        <f aca="false">ROUND((P164+Q164)*Assumptions!$B$8,1)</f>
        <v>1.2</v>
      </c>
      <c r="S164" s="31" t="n">
        <f aca="false">IF($O164="Y",ROUND(Q164*Assumptions!$B$9,1),0)</f>
        <v>2</v>
      </c>
      <c r="T164" s="31" t="n">
        <f aca="false">ROUND((P164+Q164)*Assumptions!$B$10,1)</f>
        <v>3.5</v>
      </c>
      <c r="U164" s="9" t="n">
        <f aca="false">SUM(P164:T164)</f>
        <v>16.7</v>
      </c>
      <c r="V164" s="34" t="s">
        <v>320</v>
      </c>
      <c r="W164" s="28"/>
    </row>
    <row r="165" customFormat="false" ht="23.85" hidden="false" customHeight="false" outlineLevel="0" collapsed="false">
      <c r="A165" s="7" t="s">
        <v>1272</v>
      </c>
      <c r="B165" s="14" t="s">
        <v>1257</v>
      </c>
      <c r="C165" s="6" t="s">
        <v>1258</v>
      </c>
      <c r="D165" s="6" t="s">
        <v>1273</v>
      </c>
      <c r="E165" s="6" t="s">
        <v>1274</v>
      </c>
      <c r="F165" s="28" t="s">
        <v>1275</v>
      </c>
      <c r="G165" s="29" t="s">
        <v>143</v>
      </c>
      <c r="H165" s="29" t="s">
        <v>244</v>
      </c>
      <c r="I165" s="28" t="s">
        <v>1276</v>
      </c>
      <c r="J165" s="28" t="s">
        <v>1277</v>
      </c>
      <c r="K165" s="28" t="s">
        <v>1278</v>
      </c>
      <c r="L165" s="6" t="s">
        <v>1279</v>
      </c>
      <c r="M165" s="22" t="s">
        <v>71</v>
      </c>
      <c r="N165" s="22" t="s">
        <v>71</v>
      </c>
      <c r="O165" s="22" t="s">
        <v>149</v>
      </c>
      <c r="P165" s="31" t="n">
        <f aca="false">IFERROR(VLOOKUP($M165,Assumptions!$A$15:$B$20,2,FALSE()),0)</f>
        <v>3</v>
      </c>
      <c r="Q165" s="31" t="n">
        <f aca="false">IFERROR(VLOOKUP($N165,Assumptions!$A$15:$B$20,2,FALSE()),0)</f>
        <v>3</v>
      </c>
      <c r="R165" s="31" t="n">
        <f aca="false">ROUND((P165+Q165)*Assumptions!$B$8,1)</f>
        <v>0.7</v>
      </c>
      <c r="S165" s="31" t="n">
        <f aca="false">IF($O165="Y",ROUND(Q165*Assumptions!$B$9,1),0)</f>
        <v>0</v>
      </c>
      <c r="T165" s="31" t="n">
        <f aca="false">ROUND((P165+Q165)*Assumptions!$B$10,1)</f>
        <v>2.1</v>
      </c>
      <c r="U165" s="9" t="n">
        <f aca="false">SUM(P165:T165)</f>
        <v>8.8</v>
      </c>
      <c r="V165" s="35" t="s">
        <v>386</v>
      </c>
      <c r="W165" s="28"/>
    </row>
    <row r="166" customFormat="false" ht="23.85" hidden="false" customHeight="false" outlineLevel="0" collapsed="false">
      <c r="A166" s="7" t="s">
        <v>1280</v>
      </c>
      <c r="B166" s="14" t="s">
        <v>1257</v>
      </c>
      <c r="C166" s="6" t="s">
        <v>1258</v>
      </c>
      <c r="D166" s="6" t="s">
        <v>1281</v>
      </c>
      <c r="E166" s="6" t="s">
        <v>1282</v>
      </c>
      <c r="F166" s="28" t="s">
        <v>1283</v>
      </c>
      <c r="G166" s="29" t="s">
        <v>143</v>
      </c>
      <c r="H166" s="29" t="s">
        <v>244</v>
      </c>
      <c r="I166" s="28" t="s">
        <v>1284</v>
      </c>
      <c r="J166" s="28" t="s">
        <v>1285</v>
      </c>
      <c r="K166" s="28" t="s">
        <v>1286</v>
      </c>
      <c r="L166" s="6" t="s">
        <v>366</v>
      </c>
      <c r="M166" s="22" t="s">
        <v>71</v>
      </c>
      <c r="N166" s="22" t="s">
        <v>71</v>
      </c>
      <c r="O166" s="22" t="s">
        <v>149</v>
      </c>
      <c r="P166" s="31" t="n">
        <f aca="false">IFERROR(VLOOKUP($M166,Assumptions!$A$15:$B$20,2,FALSE()),0)</f>
        <v>3</v>
      </c>
      <c r="Q166" s="31" t="n">
        <f aca="false">IFERROR(VLOOKUP($N166,Assumptions!$A$15:$B$20,2,FALSE()),0)</f>
        <v>3</v>
      </c>
      <c r="R166" s="31" t="n">
        <f aca="false">ROUND((P166+Q166)*Assumptions!$B$8,1)</f>
        <v>0.7</v>
      </c>
      <c r="S166" s="31" t="n">
        <f aca="false">IF($O166="Y",ROUND(Q166*Assumptions!$B$9,1),0)</f>
        <v>0</v>
      </c>
      <c r="T166" s="31" t="n">
        <f aca="false">ROUND((P166+Q166)*Assumptions!$B$10,1)</f>
        <v>2.1</v>
      </c>
      <c r="U166" s="9" t="n">
        <f aca="false">SUM(P166:T166)</f>
        <v>8.8</v>
      </c>
      <c r="V166" s="35" t="s">
        <v>386</v>
      </c>
      <c r="W166" s="28" t="s">
        <v>1287</v>
      </c>
    </row>
    <row r="167" customFormat="false" ht="23.85" hidden="false" customHeight="false" outlineLevel="0" collapsed="false">
      <c r="A167" s="7" t="s">
        <v>1288</v>
      </c>
      <c r="B167" s="14" t="s">
        <v>1257</v>
      </c>
      <c r="C167" s="6" t="s">
        <v>1258</v>
      </c>
      <c r="D167" s="6" t="s">
        <v>1289</v>
      </c>
      <c r="E167" s="6" t="s">
        <v>1290</v>
      </c>
      <c r="F167" s="28" t="s">
        <v>1291</v>
      </c>
      <c r="G167" s="29" t="s">
        <v>143</v>
      </c>
      <c r="H167" s="29" t="s">
        <v>244</v>
      </c>
      <c r="I167" s="28" t="s">
        <v>1292</v>
      </c>
      <c r="J167" s="28" t="s">
        <v>1293</v>
      </c>
      <c r="K167" s="28" t="s">
        <v>1294</v>
      </c>
      <c r="L167" s="6" t="s">
        <v>178</v>
      </c>
      <c r="M167" s="22" t="s">
        <v>73</v>
      </c>
      <c r="N167" s="22" t="s">
        <v>71</v>
      </c>
      <c r="O167" s="22" t="s">
        <v>149</v>
      </c>
      <c r="P167" s="31" t="n">
        <f aca="false">IFERROR(VLOOKUP($M167,Assumptions!$A$15:$B$20,2,FALSE()),0)</f>
        <v>5</v>
      </c>
      <c r="Q167" s="31" t="n">
        <f aca="false">IFERROR(VLOOKUP($N167,Assumptions!$A$15:$B$20,2,FALSE()),0)</f>
        <v>3</v>
      </c>
      <c r="R167" s="31" t="n">
        <f aca="false">ROUND((P167+Q167)*Assumptions!$B$8,1)</f>
        <v>1</v>
      </c>
      <c r="S167" s="31" t="n">
        <f aca="false">IF($O167="Y",ROUND(Q167*Assumptions!$B$9,1),0)</f>
        <v>0</v>
      </c>
      <c r="T167" s="31" t="n">
        <f aca="false">ROUND((P167+Q167)*Assumptions!$B$10,1)</f>
        <v>2.8</v>
      </c>
      <c r="U167" s="9" t="n">
        <f aca="false">SUM(P167:T167)</f>
        <v>11.8</v>
      </c>
      <c r="V167" s="34" t="s">
        <v>320</v>
      </c>
      <c r="W167" s="28"/>
    </row>
    <row r="168" customFormat="false" ht="23.85" hidden="false" customHeight="false" outlineLevel="0" collapsed="false">
      <c r="A168" s="7" t="s">
        <v>1295</v>
      </c>
      <c r="B168" s="14" t="s">
        <v>1257</v>
      </c>
      <c r="C168" s="6" t="s">
        <v>1258</v>
      </c>
      <c r="D168" s="6" t="s">
        <v>1296</v>
      </c>
      <c r="E168" s="6" t="s">
        <v>1297</v>
      </c>
      <c r="F168" s="28" t="s">
        <v>1261</v>
      </c>
      <c r="G168" s="29" t="s">
        <v>143</v>
      </c>
      <c r="H168" s="29" t="s">
        <v>244</v>
      </c>
      <c r="I168" s="28" t="s">
        <v>1298</v>
      </c>
      <c r="J168" s="28" t="s">
        <v>1299</v>
      </c>
      <c r="K168" s="28" t="s">
        <v>1300</v>
      </c>
      <c r="L168" s="6" t="s">
        <v>1288</v>
      </c>
      <c r="M168" s="22" t="s">
        <v>71</v>
      </c>
      <c r="N168" s="22" t="s">
        <v>71</v>
      </c>
      <c r="O168" s="22" t="s">
        <v>149</v>
      </c>
      <c r="P168" s="31" t="n">
        <f aca="false">IFERROR(VLOOKUP($M168,Assumptions!$A$15:$B$20,2,FALSE()),0)</f>
        <v>3</v>
      </c>
      <c r="Q168" s="31" t="n">
        <f aca="false">IFERROR(VLOOKUP($N168,Assumptions!$A$15:$B$20,2,FALSE()),0)</f>
        <v>3</v>
      </c>
      <c r="R168" s="31" t="n">
        <f aca="false">ROUND((P168+Q168)*Assumptions!$B$8,1)</f>
        <v>0.7</v>
      </c>
      <c r="S168" s="31" t="n">
        <f aca="false">IF($O168="Y",ROUND(Q168*Assumptions!$B$9,1),0)</f>
        <v>0</v>
      </c>
      <c r="T168" s="31" t="n">
        <f aca="false">ROUND((P168+Q168)*Assumptions!$B$10,1)</f>
        <v>2.1</v>
      </c>
      <c r="U168" s="9" t="n">
        <f aca="false">SUM(P168:T168)</f>
        <v>8.8</v>
      </c>
      <c r="V168" s="34" t="s">
        <v>320</v>
      </c>
      <c r="W168" s="28"/>
    </row>
    <row r="169" customFormat="false" ht="23.85" hidden="false" customHeight="false" outlineLevel="0" collapsed="false">
      <c r="A169" s="7" t="s">
        <v>1301</v>
      </c>
      <c r="B169" s="14" t="s">
        <v>1257</v>
      </c>
      <c r="C169" s="6" t="s">
        <v>1258</v>
      </c>
      <c r="D169" s="6" t="s">
        <v>1302</v>
      </c>
      <c r="E169" s="6" t="s">
        <v>1303</v>
      </c>
      <c r="F169" s="28" t="s">
        <v>1261</v>
      </c>
      <c r="G169" s="29" t="s">
        <v>143</v>
      </c>
      <c r="H169" s="29" t="s">
        <v>244</v>
      </c>
      <c r="I169" s="28" t="s">
        <v>1304</v>
      </c>
      <c r="J169" s="28" t="s">
        <v>1305</v>
      </c>
      <c r="K169" s="28" t="s">
        <v>1306</v>
      </c>
      <c r="L169" s="6" t="s">
        <v>170</v>
      </c>
      <c r="M169" s="22" t="s">
        <v>71</v>
      </c>
      <c r="N169" s="22" t="s">
        <v>71</v>
      </c>
      <c r="O169" s="22" t="s">
        <v>149</v>
      </c>
      <c r="P169" s="31" t="n">
        <f aca="false">IFERROR(VLOOKUP($M169,Assumptions!$A$15:$B$20,2,FALSE()),0)</f>
        <v>3</v>
      </c>
      <c r="Q169" s="31" t="n">
        <f aca="false">IFERROR(VLOOKUP($N169,Assumptions!$A$15:$B$20,2,FALSE()),0)</f>
        <v>3</v>
      </c>
      <c r="R169" s="31" t="n">
        <f aca="false">ROUND((P169+Q169)*Assumptions!$B$8,1)</f>
        <v>0.7</v>
      </c>
      <c r="S169" s="31" t="n">
        <f aca="false">IF($O169="Y",ROUND(Q169*Assumptions!$B$9,1),0)</f>
        <v>0</v>
      </c>
      <c r="T169" s="31" t="n">
        <f aca="false">ROUND((P169+Q169)*Assumptions!$B$10,1)</f>
        <v>2.1</v>
      </c>
      <c r="U169" s="9" t="n">
        <f aca="false">SUM(P169:T169)</f>
        <v>8.8</v>
      </c>
      <c r="V169" s="34" t="s">
        <v>320</v>
      </c>
      <c r="W169" s="28"/>
    </row>
    <row r="170" customFormat="false" ht="23.85" hidden="false" customHeight="false" outlineLevel="0" collapsed="false">
      <c r="A170" s="7" t="s">
        <v>1307</v>
      </c>
      <c r="B170" s="14" t="s">
        <v>1257</v>
      </c>
      <c r="C170" s="6" t="s">
        <v>1258</v>
      </c>
      <c r="D170" s="6" t="s">
        <v>1308</v>
      </c>
      <c r="E170" s="6" t="s">
        <v>1309</v>
      </c>
      <c r="F170" s="28" t="s">
        <v>1310</v>
      </c>
      <c r="G170" s="29" t="s">
        <v>143</v>
      </c>
      <c r="H170" s="29" t="s">
        <v>244</v>
      </c>
      <c r="I170" s="28" t="s">
        <v>1311</v>
      </c>
      <c r="J170" s="28" t="s">
        <v>1312</v>
      </c>
      <c r="K170" s="28" t="s">
        <v>1313</v>
      </c>
      <c r="L170" s="6" t="s">
        <v>1301</v>
      </c>
      <c r="M170" s="22" t="s">
        <v>71</v>
      </c>
      <c r="N170" s="22" t="s">
        <v>71</v>
      </c>
      <c r="O170" s="22" t="s">
        <v>149</v>
      </c>
      <c r="P170" s="31" t="n">
        <f aca="false">IFERROR(VLOOKUP($M170,Assumptions!$A$15:$B$20,2,FALSE()),0)</f>
        <v>3</v>
      </c>
      <c r="Q170" s="31" t="n">
        <f aca="false">IFERROR(VLOOKUP($N170,Assumptions!$A$15:$B$20,2,FALSE()),0)</f>
        <v>3</v>
      </c>
      <c r="R170" s="31" t="n">
        <f aca="false">ROUND((P170+Q170)*Assumptions!$B$8,1)</f>
        <v>0.7</v>
      </c>
      <c r="S170" s="31" t="n">
        <f aca="false">IF($O170="Y",ROUND(Q170*Assumptions!$B$9,1),0)</f>
        <v>0</v>
      </c>
      <c r="T170" s="31" t="n">
        <f aca="false">ROUND((P170+Q170)*Assumptions!$B$10,1)</f>
        <v>2.1</v>
      </c>
      <c r="U170" s="9" t="n">
        <f aca="false">SUM(P170:T170)</f>
        <v>8.8</v>
      </c>
      <c r="V170" s="35" t="s">
        <v>386</v>
      </c>
      <c r="W170" s="28"/>
    </row>
    <row r="171" customFormat="false" ht="23.85" hidden="false" customHeight="false" outlineLevel="0" collapsed="false">
      <c r="A171" s="7" t="s">
        <v>1314</v>
      </c>
      <c r="B171" s="14" t="s">
        <v>1257</v>
      </c>
      <c r="C171" s="6" t="s">
        <v>1258</v>
      </c>
      <c r="D171" s="6" t="s">
        <v>1315</v>
      </c>
      <c r="E171" s="6" t="s">
        <v>1316</v>
      </c>
      <c r="F171" s="28" t="s">
        <v>1291</v>
      </c>
      <c r="G171" s="29" t="s">
        <v>143</v>
      </c>
      <c r="H171" s="29" t="s">
        <v>244</v>
      </c>
      <c r="I171" s="28" t="s">
        <v>1317</v>
      </c>
      <c r="J171" s="28" t="s">
        <v>1318</v>
      </c>
      <c r="K171" s="28" t="s">
        <v>1319</v>
      </c>
      <c r="L171" s="6" t="s">
        <v>241</v>
      </c>
      <c r="M171" s="22" t="s">
        <v>73</v>
      </c>
      <c r="N171" s="22" t="s">
        <v>73</v>
      </c>
      <c r="O171" s="22" t="s">
        <v>169</v>
      </c>
      <c r="P171" s="31" t="n">
        <f aca="false">IFERROR(VLOOKUP($M171,Assumptions!$A$15:$B$20,2,FALSE()),0)</f>
        <v>5</v>
      </c>
      <c r="Q171" s="31" t="n">
        <f aca="false">IFERROR(VLOOKUP($N171,Assumptions!$A$15:$B$20,2,FALSE()),0)</f>
        <v>5</v>
      </c>
      <c r="R171" s="31" t="n">
        <f aca="false">ROUND((P171+Q171)*Assumptions!$B$8,1)</f>
        <v>1.2</v>
      </c>
      <c r="S171" s="31" t="n">
        <f aca="false">IF($O171="Y",ROUND(Q171*Assumptions!$B$9,1),0)</f>
        <v>2</v>
      </c>
      <c r="T171" s="31" t="n">
        <f aca="false">ROUND((P171+Q171)*Assumptions!$B$10,1)</f>
        <v>3.5</v>
      </c>
      <c r="U171" s="9" t="n">
        <f aca="false">SUM(P171:T171)</f>
        <v>16.7</v>
      </c>
      <c r="V171" s="35" t="s">
        <v>386</v>
      </c>
      <c r="W171" s="28" t="s">
        <v>1320</v>
      </c>
    </row>
    <row r="172" customFormat="false" ht="23.85" hidden="false" customHeight="false" outlineLevel="0" collapsed="false">
      <c r="A172" s="7" t="s">
        <v>1321</v>
      </c>
      <c r="B172" s="14" t="s">
        <v>1257</v>
      </c>
      <c r="C172" s="6" t="s">
        <v>1258</v>
      </c>
      <c r="D172" s="6" t="s">
        <v>1322</v>
      </c>
      <c r="E172" s="6" t="s">
        <v>1323</v>
      </c>
      <c r="F172" s="28" t="s">
        <v>1261</v>
      </c>
      <c r="G172" s="29" t="s">
        <v>143</v>
      </c>
      <c r="H172" s="29" t="s">
        <v>244</v>
      </c>
      <c r="I172" s="28" t="s">
        <v>1324</v>
      </c>
      <c r="J172" s="28" t="s">
        <v>1325</v>
      </c>
      <c r="K172" s="28" t="s">
        <v>1326</v>
      </c>
      <c r="L172" s="6" t="s">
        <v>162</v>
      </c>
      <c r="M172" s="22" t="s">
        <v>73</v>
      </c>
      <c r="N172" s="22" t="s">
        <v>71</v>
      </c>
      <c r="O172" s="22" t="s">
        <v>149</v>
      </c>
      <c r="P172" s="31" t="n">
        <f aca="false">IFERROR(VLOOKUP($M172,Assumptions!$A$15:$B$20,2,FALSE()),0)</f>
        <v>5</v>
      </c>
      <c r="Q172" s="31" t="n">
        <f aca="false">IFERROR(VLOOKUP($N172,Assumptions!$A$15:$B$20,2,FALSE()),0)</f>
        <v>3</v>
      </c>
      <c r="R172" s="31" t="n">
        <f aca="false">ROUND((P172+Q172)*Assumptions!$B$8,1)</f>
        <v>1</v>
      </c>
      <c r="S172" s="31" t="n">
        <f aca="false">IF($O172="Y",ROUND(Q172*Assumptions!$B$9,1),0)</f>
        <v>0</v>
      </c>
      <c r="T172" s="31" t="n">
        <f aca="false">ROUND((P172+Q172)*Assumptions!$B$10,1)</f>
        <v>2.8</v>
      </c>
      <c r="U172" s="9" t="n">
        <f aca="false">SUM(P172:T172)</f>
        <v>11.8</v>
      </c>
      <c r="V172" s="35" t="s">
        <v>386</v>
      </c>
      <c r="W172" s="28" t="s">
        <v>1327</v>
      </c>
    </row>
    <row r="173" customFormat="false" ht="23.85" hidden="false" customHeight="false" outlineLevel="0" collapsed="false">
      <c r="A173" s="7" t="s">
        <v>1328</v>
      </c>
      <c r="B173" s="14" t="s">
        <v>1257</v>
      </c>
      <c r="C173" s="6" t="s">
        <v>1258</v>
      </c>
      <c r="D173" s="6" t="s">
        <v>1329</v>
      </c>
      <c r="E173" s="6" t="s">
        <v>1330</v>
      </c>
      <c r="F173" s="28" t="s">
        <v>1261</v>
      </c>
      <c r="G173" s="29" t="s">
        <v>143</v>
      </c>
      <c r="H173" s="29" t="s">
        <v>244</v>
      </c>
      <c r="I173" s="28" t="s">
        <v>1331</v>
      </c>
      <c r="J173" s="28" t="s">
        <v>1332</v>
      </c>
      <c r="K173" s="28" t="s">
        <v>1333</v>
      </c>
      <c r="L173" s="6" t="s">
        <v>1334</v>
      </c>
      <c r="M173" s="22" t="s">
        <v>71</v>
      </c>
      <c r="N173" s="22" t="s">
        <v>73</v>
      </c>
      <c r="O173" s="22" t="s">
        <v>149</v>
      </c>
      <c r="P173" s="31" t="n">
        <f aca="false">IFERROR(VLOOKUP($M173,Assumptions!$A$15:$B$20,2,FALSE()),0)</f>
        <v>3</v>
      </c>
      <c r="Q173" s="31" t="n">
        <f aca="false">IFERROR(VLOOKUP($N173,Assumptions!$A$15:$B$20,2,FALSE()),0)</f>
        <v>5</v>
      </c>
      <c r="R173" s="31" t="n">
        <f aca="false">ROUND((P173+Q173)*Assumptions!$B$8,1)</f>
        <v>1</v>
      </c>
      <c r="S173" s="31" t="n">
        <f aca="false">IF($O173="Y",ROUND(Q173*Assumptions!$B$9,1),0)</f>
        <v>0</v>
      </c>
      <c r="T173" s="31" t="n">
        <f aca="false">ROUND((P173+Q173)*Assumptions!$B$10,1)</f>
        <v>2.8</v>
      </c>
      <c r="U173" s="9" t="n">
        <f aca="false">SUM(P173:T173)</f>
        <v>11.8</v>
      </c>
      <c r="V173" s="34" t="s">
        <v>320</v>
      </c>
      <c r="W173" s="28"/>
    </row>
    <row r="174" customFormat="false" ht="23.85" hidden="false" customHeight="false" outlineLevel="0" collapsed="false">
      <c r="A174" s="7" t="s">
        <v>1335</v>
      </c>
      <c r="B174" s="14" t="s">
        <v>1257</v>
      </c>
      <c r="C174" s="6" t="s">
        <v>1258</v>
      </c>
      <c r="D174" s="6" t="s">
        <v>1336</v>
      </c>
      <c r="E174" s="6" t="s">
        <v>1337</v>
      </c>
      <c r="F174" s="28" t="s">
        <v>1283</v>
      </c>
      <c r="G174" s="29" t="s">
        <v>143</v>
      </c>
      <c r="H174" s="29" t="s">
        <v>244</v>
      </c>
      <c r="I174" s="28" t="s">
        <v>1338</v>
      </c>
      <c r="J174" s="28" t="s">
        <v>1339</v>
      </c>
      <c r="K174" s="28" t="s">
        <v>1340</v>
      </c>
      <c r="L174" s="6" t="s">
        <v>1265</v>
      </c>
      <c r="M174" s="22" t="s">
        <v>69</v>
      </c>
      <c r="N174" s="22" t="s">
        <v>71</v>
      </c>
      <c r="O174" s="22" t="s">
        <v>149</v>
      </c>
      <c r="P174" s="31" t="n">
        <f aca="false">IFERROR(VLOOKUP($M174,Assumptions!$A$15:$B$20,2,FALSE()),0)</f>
        <v>1</v>
      </c>
      <c r="Q174" s="31" t="n">
        <f aca="false">IFERROR(VLOOKUP($N174,Assumptions!$A$15:$B$20,2,FALSE()),0)</f>
        <v>3</v>
      </c>
      <c r="R174" s="31" t="n">
        <f aca="false">ROUND((P174+Q174)*Assumptions!$B$8,1)</f>
        <v>0.5</v>
      </c>
      <c r="S174" s="31" t="n">
        <f aca="false">IF($O174="Y",ROUND(Q174*Assumptions!$B$9,1),0)</f>
        <v>0</v>
      </c>
      <c r="T174" s="31" t="n">
        <f aca="false">ROUND((P174+Q174)*Assumptions!$B$10,1)</f>
        <v>1.4</v>
      </c>
      <c r="U174" s="9" t="n">
        <f aca="false">SUM(P174:T174)</f>
        <v>5.9</v>
      </c>
      <c r="V174" s="34" t="s">
        <v>320</v>
      </c>
      <c r="W174" s="28"/>
    </row>
    <row r="175" customFormat="false" ht="23.85" hidden="false" customHeight="false" outlineLevel="0" collapsed="false">
      <c r="A175" s="7" t="s">
        <v>1341</v>
      </c>
      <c r="B175" s="14" t="s">
        <v>1257</v>
      </c>
      <c r="C175" s="6" t="s">
        <v>1258</v>
      </c>
      <c r="D175" s="6" t="s">
        <v>1342</v>
      </c>
      <c r="E175" s="6" t="s">
        <v>1343</v>
      </c>
      <c r="F175" s="28" t="s">
        <v>1283</v>
      </c>
      <c r="G175" s="32" t="s">
        <v>265</v>
      </c>
      <c r="H175" s="32" t="s">
        <v>272</v>
      </c>
      <c r="I175" s="28" t="s">
        <v>1344</v>
      </c>
      <c r="J175" s="28" t="s">
        <v>1345</v>
      </c>
      <c r="K175" s="28" t="s">
        <v>1346</v>
      </c>
      <c r="L175" s="6" t="s">
        <v>170</v>
      </c>
      <c r="M175" s="22" t="s">
        <v>73</v>
      </c>
      <c r="N175" s="22" t="s">
        <v>73</v>
      </c>
      <c r="O175" s="22" t="s">
        <v>169</v>
      </c>
      <c r="P175" s="31" t="n">
        <f aca="false">IFERROR(VLOOKUP($M175,Assumptions!$A$15:$B$20,2,FALSE()),0)</f>
        <v>5</v>
      </c>
      <c r="Q175" s="31" t="n">
        <f aca="false">IFERROR(VLOOKUP($N175,Assumptions!$A$15:$B$20,2,FALSE()),0)</f>
        <v>5</v>
      </c>
      <c r="R175" s="31" t="n">
        <f aca="false">ROUND((P175+Q175)*Assumptions!$B$8,1)</f>
        <v>1.2</v>
      </c>
      <c r="S175" s="31" t="n">
        <f aca="false">IF($O175="Y",ROUND(Q175*Assumptions!$B$9,1),0)</f>
        <v>2</v>
      </c>
      <c r="T175" s="31" t="n">
        <f aca="false">ROUND((P175+Q175)*Assumptions!$B$10,1)</f>
        <v>3.5</v>
      </c>
      <c r="U175" s="9" t="n">
        <f aca="false">SUM(P175:T175)</f>
        <v>16.7</v>
      </c>
      <c r="V175" s="34" t="s">
        <v>320</v>
      </c>
      <c r="W175" s="28"/>
    </row>
    <row r="176" customFormat="false" ht="23.85" hidden="false" customHeight="false" outlineLevel="0" collapsed="false">
      <c r="A176" s="7" t="s">
        <v>1347</v>
      </c>
      <c r="B176" s="14" t="s">
        <v>1257</v>
      </c>
      <c r="C176" s="6" t="s">
        <v>1258</v>
      </c>
      <c r="D176" s="6" t="s">
        <v>1348</v>
      </c>
      <c r="E176" s="6" t="s">
        <v>1349</v>
      </c>
      <c r="F176" s="28" t="s">
        <v>1283</v>
      </c>
      <c r="G176" s="32" t="s">
        <v>265</v>
      </c>
      <c r="H176" s="32" t="s">
        <v>272</v>
      </c>
      <c r="I176" s="28" t="s">
        <v>1350</v>
      </c>
      <c r="J176" s="28" t="s">
        <v>1351</v>
      </c>
      <c r="K176" s="28" t="s">
        <v>1352</v>
      </c>
      <c r="L176" s="6" t="s">
        <v>256</v>
      </c>
      <c r="M176" s="22" t="s">
        <v>71</v>
      </c>
      <c r="N176" s="22" t="s">
        <v>73</v>
      </c>
      <c r="O176" s="22" t="s">
        <v>149</v>
      </c>
      <c r="P176" s="31" t="n">
        <f aca="false">IFERROR(VLOOKUP($M176,Assumptions!$A$15:$B$20,2,FALSE()),0)</f>
        <v>3</v>
      </c>
      <c r="Q176" s="31" t="n">
        <f aca="false">IFERROR(VLOOKUP($N176,Assumptions!$A$15:$B$20,2,FALSE()),0)</f>
        <v>5</v>
      </c>
      <c r="R176" s="31" t="n">
        <f aca="false">ROUND((P176+Q176)*Assumptions!$B$8,1)</f>
        <v>1</v>
      </c>
      <c r="S176" s="31" t="n">
        <f aca="false">IF($O176="Y",ROUND(Q176*Assumptions!$B$9,1),0)</f>
        <v>0</v>
      </c>
      <c r="T176" s="31" t="n">
        <f aca="false">ROUND((P176+Q176)*Assumptions!$B$10,1)</f>
        <v>2.8</v>
      </c>
      <c r="U176" s="9" t="n">
        <f aca="false">SUM(P176:T176)</f>
        <v>11.8</v>
      </c>
      <c r="V176" s="34" t="s">
        <v>320</v>
      </c>
      <c r="W176" s="28"/>
    </row>
    <row r="177" customFormat="false" ht="23.85" hidden="false" customHeight="false" outlineLevel="0" collapsed="false">
      <c r="A177" s="7" t="s">
        <v>1353</v>
      </c>
      <c r="B177" s="14" t="s">
        <v>1257</v>
      </c>
      <c r="C177" s="6" t="s">
        <v>1258</v>
      </c>
      <c r="D177" s="6" t="s">
        <v>1354</v>
      </c>
      <c r="E177" s="6" t="s">
        <v>1355</v>
      </c>
      <c r="F177" s="28" t="s">
        <v>1356</v>
      </c>
      <c r="G177" s="32" t="s">
        <v>265</v>
      </c>
      <c r="H177" s="32" t="s">
        <v>272</v>
      </c>
      <c r="I177" s="28" t="s">
        <v>1357</v>
      </c>
      <c r="J177" s="28" t="s">
        <v>1358</v>
      </c>
      <c r="K177" s="28" t="s">
        <v>1359</v>
      </c>
      <c r="L177" s="6" t="s">
        <v>1265</v>
      </c>
      <c r="M177" s="22" t="s">
        <v>71</v>
      </c>
      <c r="N177" s="22" t="s">
        <v>71</v>
      </c>
      <c r="O177" s="22" t="s">
        <v>149</v>
      </c>
      <c r="P177" s="31" t="n">
        <f aca="false">IFERROR(VLOOKUP($M177,Assumptions!$A$15:$B$20,2,FALSE()),0)</f>
        <v>3</v>
      </c>
      <c r="Q177" s="31" t="n">
        <f aca="false">IFERROR(VLOOKUP($N177,Assumptions!$A$15:$B$20,2,FALSE()),0)</f>
        <v>3</v>
      </c>
      <c r="R177" s="31" t="n">
        <f aca="false">ROUND((P177+Q177)*Assumptions!$B$8,1)</f>
        <v>0.7</v>
      </c>
      <c r="S177" s="31" t="n">
        <f aca="false">IF($O177="Y",ROUND(Q177*Assumptions!$B$9,1),0)</f>
        <v>0</v>
      </c>
      <c r="T177" s="31" t="n">
        <f aca="false">ROUND((P177+Q177)*Assumptions!$B$10,1)</f>
        <v>2.1</v>
      </c>
      <c r="U177" s="9" t="n">
        <f aca="false">SUM(P177:T177)</f>
        <v>8.8</v>
      </c>
      <c r="V177" s="35" t="s">
        <v>386</v>
      </c>
      <c r="W177" s="28"/>
    </row>
    <row r="178" customFormat="false" ht="23.85" hidden="false" customHeight="false" outlineLevel="0" collapsed="false">
      <c r="A178" s="7" t="s">
        <v>1360</v>
      </c>
      <c r="B178" s="14" t="s">
        <v>1257</v>
      </c>
      <c r="C178" s="6" t="s">
        <v>1258</v>
      </c>
      <c r="D178" s="6" t="s">
        <v>1361</v>
      </c>
      <c r="E178" s="6" t="s">
        <v>1362</v>
      </c>
      <c r="F178" s="28" t="s">
        <v>1283</v>
      </c>
      <c r="G178" s="33" t="s">
        <v>286</v>
      </c>
      <c r="H178" s="33" t="s">
        <v>287</v>
      </c>
      <c r="I178" s="28" t="s">
        <v>1363</v>
      </c>
      <c r="J178" s="28" t="s">
        <v>1364</v>
      </c>
      <c r="K178" s="28" t="s">
        <v>1365</v>
      </c>
      <c r="L178" s="6" t="s">
        <v>1265</v>
      </c>
      <c r="M178" s="22" t="s">
        <v>71</v>
      </c>
      <c r="N178" s="22" t="s">
        <v>71</v>
      </c>
      <c r="O178" s="22" t="s">
        <v>149</v>
      </c>
      <c r="P178" s="31" t="n">
        <f aca="false">IFERROR(VLOOKUP($M178,Assumptions!$A$15:$B$20,2,FALSE()),0)</f>
        <v>3</v>
      </c>
      <c r="Q178" s="31" t="n">
        <f aca="false">IFERROR(VLOOKUP($N178,Assumptions!$A$15:$B$20,2,FALSE()),0)</f>
        <v>3</v>
      </c>
      <c r="R178" s="31" t="n">
        <f aca="false">ROUND((P178+Q178)*Assumptions!$B$8,1)</f>
        <v>0.7</v>
      </c>
      <c r="S178" s="31" t="n">
        <f aca="false">IF($O178="Y",ROUND(Q178*Assumptions!$B$9,1),0)</f>
        <v>0</v>
      </c>
      <c r="T178" s="31" t="n">
        <f aca="false">ROUND((P178+Q178)*Assumptions!$B$10,1)</f>
        <v>2.1</v>
      </c>
      <c r="U178" s="9" t="n">
        <f aca="false">SUM(P178:T178)</f>
        <v>8.8</v>
      </c>
      <c r="V178" s="36" t="s">
        <v>396</v>
      </c>
      <c r="W178" s="28" t="s">
        <v>705</v>
      </c>
    </row>
    <row r="179" customFormat="false" ht="23.85" hidden="false" customHeight="false" outlineLevel="0" collapsed="false">
      <c r="A179" s="7" t="s">
        <v>1366</v>
      </c>
      <c r="B179" s="14" t="s">
        <v>1257</v>
      </c>
      <c r="C179" s="6" t="s">
        <v>1258</v>
      </c>
      <c r="D179" s="6" t="s">
        <v>1367</v>
      </c>
      <c r="E179" s="6" t="s">
        <v>1368</v>
      </c>
      <c r="F179" s="28" t="s">
        <v>1369</v>
      </c>
      <c r="G179" s="33" t="s">
        <v>286</v>
      </c>
      <c r="H179" s="33" t="s">
        <v>287</v>
      </c>
      <c r="I179" s="28" t="s">
        <v>1370</v>
      </c>
      <c r="J179" s="28" t="s">
        <v>1371</v>
      </c>
      <c r="K179" s="28" t="s">
        <v>1372</v>
      </c>
      <c r="L179" s="6" t="s">
        <v>284</v>
      </c>
      <c r="M179" s="22" t="s">
        <v>73</v>
      </c>
      <c r="N179" s="22" t="s">
        <v>71</v>
      </c>
      <c r="O179" s="22" t="s">
        <v>149</v>
      </c>
      <c r="P179" s="31" t="n">
        <f aca="false">IFERROR(VLOOKUP($M179,Assumptions!$A$15:$B$20,2,FALSE()),0)</f>
        <v>5</v>
      </c>
      <c r="Q179" s="31" t="n">
        <f aca="false">IFERROR(VLOOKUP($N179,Assumptions!$A$15:$B$20,2,FALSE()),0)</f>
        <v>3</v>
      </c>
      <c r="R179" s="31" t="n">
        <f aca="false">ROUND((P179+Q179)*Assumptions!$B$8,1)</f>
        <v>1</v>
      </c>
      <c r="S179" s="31" t="n">
        <f aca="false">IF($O179="Y",ROUND(Q179*Assumptions!$B$9,1),0)</f>
        <v>0</v>
      </c>
      <c r="T179" s="31" t="n">
        <f aca="false">ROUND((P179+Q179)*Assumptions!$B$10,1)</f>
        <v>2.8</v>
      </c>
      <c r="U179" s="9" t="n">
        <f aca="false">SUM(P179:T179)</f>
        <v>11.8</v>
      </c>
      <c r="V179" s="34" t="s">
        <v>320</v>
      </c>
      <c r="W179" s="28"/>
    </row>
    <row r="180" customFormat="false" ht="22.35" hidden="false" customHeight="false" outlineLevel="0" collapsed="false">
      <c r="A180" s="7" t="s">
        <v>1373</v>
      </c>
      <c r="B180" s="14" t="s">
        <v>1374</v>
      </c>
      <c r="C180" s="6" t="s">
        <v>1375</v>
      </c>
      <c r="D180" s="6" t="s">
        <v>1376</v>
      </c>
      <c r="E180" s="6" t="s">
        <v>1377</v>
      </c>
      <c r="F180" s="28" t="s">
        <v>1378</v>
      </c>
      <c r="G180" s="29" t="s">
        <v>143</v>
      </c>
      <c r="H180" s="29" t="s">
        <v>244</v>
      </c>
      <c r="I180" s="28" t="s">
        <v>1379</v>
      </c>
      <c r="J180" s="28" t="s">
        <v>1380</v>
      </c>
      <c r="K180" s="28" t="s">
        <v>1381</v>
      </c>
      <c r="L180" s="6" t="s">
        <v>435</v>
      </c>
      <c r="M180" s="22" t="s">
        <v>71</v>
      </c>
      <c r="N180" s="22" t="s">
        <v>71</v>
      </c>
      <c r="O180" s="22" t="s">
        <v>149</v>
      </c>
      <c r="P180" s="31" t="n">
        <f aca="false">IFERROR(VLOOKUP($M180,Assumptions!$A$15:$B$20,2,FALSE()),0)</f>
        <v>3</v>
      </c>
      <c r="Q180" s="31" t="n">
        <f aca="false">IFERROR(VLOOKUP($N180,Assumptions!$A$15:$B$20,2,FALSE()),0)</f>
        <v>3</v>
      </c>
      <c r="R180" s="31" t="n">
        <f aca="false">ROUND((P180+Q180)*Assumptions!$B$8,1)</f>
        <v>0.7</v>
      </c>
      <c r="S180" s="31" t="n">
        <f aca="false">IF($O180="Y",ROUND(Q180*Assumptions!$B$9,1),0)</f>
        <v>0</v>
      </c>
      <c r="T180" s="31" t="n">
        <f aca="false">ROUND((P180+Q180)*Assumptions!$B$10,1)</f>
        <v>2.1</v>
      </c>
      <c r="U180" s="9" t="n">
        <f aca="false">SUM(P180:T180)</f>
        <v>8.8</v>
      </c>
      <c r="V180" s="35" t="s">
        <v>386</v>
      </c>
      <c r="W180" s="28"/>
    </row>
    <row r="181" customFormat="false" ht="22.35" hidden="false" customHeight="false" outlineLevel="0" collapsed="false">
      <c r="A181" s="7" t="s">
        <v>1382</v>
      </c>
      <c r="B181" s="14" t="s">
        <v>1374</v>
      </c>
      <c r="C181" s="6" t="s">
        <v>1375</v>
      </c>
      <c r="D181" s="6" t="s">
        <v>1383</v>
      </c>
      <c r="E181" s="6" t="s">
        <v>1384</v>
      </c>
      <c r="F181" s="28" t="s">
        <v>1385</v>
      </c>
      <c r="G181" s="32" t="s">
        <v>265</v>
      </c>
      <c r="H181" s="29" t="s">
        <v>244</v>
      </c>
      <c r="I181" s="28" t="s">
        <v>1386</v>
      </c>
      <c r="J181" s="28" t="s">
        <v>1387</v>
      </c>
      <c r="K181" s="28" t="s">
        <v>1388</v>
      </c>
      <c r="L181" s="6" t="s">
        <v>256</v>
      </c>
      <c r="M181" s="22" t="s">
        <v>73</v>
      </c>
      <c r="N181" s="22" t="s">
        <v>73</v>
      </c>
      <c r="O181" s="22" t="s">
        <v>169</v>
      </c>
      <c r="P181" s="31" t="n">
        <f aca="false">IFERROR(VLOOKUP($M181,Assumptions!$A$15:$B$20,2,FALSE()),0)</f>
        <v>5</v>
      </c>
      <c r="Q181" s="31" t="n">
        <f aca="false">IFERROR(VLOOKUP($N181,Assumptions!$A$15:$B$20,2,FALSE()),0)</f>
        <v>5</v>
      </c>
      <c r="R181" s="31" t="n">
        <f aca="false">ROUND((P181+Q181)*Assumptions!$B$8,1)</f>
        <v>1.2</v>
      </c>
      <c r="S181" s="31" t="n">
        <f aca="false">IF($O181="Y",ROUND(Q181*Assumptions!$B$9,1),0)</f>
        <v>2</v>
      </c>
      <c r="T181" s="31" t="n">
        <f aca="false">ROUND((P181+Q181)*Assumptions!$B$10,1)</f>
        <v>3.5</v>
      </c>
      <c r="U181" s="9" t="n">
        <f aca="false">SUM(P181:T181)</f>
        <v>16.7</v>
      </c>
      <c r="V181" s="34" t="s">
        <v>320</v>
      </c>
      <c r="W181" s="28" t="s">
        <v>1389</v>
      </c>
    </row>
    <row r="182" customFormat="false" ht="22.35" hidden="false" customHeight="false" outlineLevel="0" collapsed="false">
      <c r="A182" s="7" t="s">
        <v>1390</v>
      </c>
      <c r="B182" s="14" t="s">
        <v>1374</v>
      </c>
      <c r="C182" s="6" t="s">
        <v>1375</v>
      </c>
      <c r="D182" s="6" t="s">
        <v>1391</v>
      </c>
      <c r="E182" s="6" t="s">
        <v>1392</v>
      </c>
      <c r="F182" s="28" t="s">
        <v>1385</v>
      </c>
      <c r="G182" s="29" t="s">
        <v>143</v>
      </c>
      <c r="H182" s="29" t="s">
        <v>244</v>
      </c>
      <c r="I182" s="28" t="s">
        <v>1393</v>
      </c>
      <c r="J182" s="28" t="s">
        <v>1394</v>
      </c>
      <c r="K182" s="28" t="s">
        <v>1395</v>
      </c>
      <c r="L182" s="6" t="s">
        <v>721</v>
      </c>
      <c r="M182" s="22" t="s">
        <v>73</v>
      </c>
      <c r="N182" s="22" t="s">
        <v>73</v>
      </c>
      <c r="O182" s="22" t="s">
        <v>169</v>
      </c>
      <c r="P182" s="31" t="n">
        <f aca="false">IFERROR(VLOOKUP($M182,Assumptions!$A$15:$B$20,2,FALSE()),0)</f>
        <v>5</v>
      </c>
      <c r="Q182" s="31" t="n">
        <f aca="false">IFERROR(VLOOKUP($N182,Assumptions!$A$15:$B$20,2,FALSE()),0)</f>
        <v>5</v>
      </c>
      <c r="R182" s="31" t="n">
        <f aca="false">ROUND((P182+Q182)*Assumptions!$B$8,1)</f>
        <v>1.2</v>
      </c>
      <c r="S182" s="31" t="n">
        <f aca="false">IF($O182="Y",ROUND(Q182*Assumptions!$B$9,1),0)</f>
        <v>2</v>
      </c>
      <c r="T182" s="31" t="n">
        <f aca="false">ROUND((P182+Q182)*Assumptions!$B$10,1)</f>
        <v>3.5</v>
      </c>
      <c r="U182" s="9" t="n">
        <f aca="false">SUM(P182:T182)</f>
        <v>16.7</v>
      </c>
      <c r="V182" s="35" t="s">
        <v>386</v>
      </c>
      <c r="W182" s="28" t="s">
        <v>1396</v>
      </c>
    </row>
    <row r="183" customFormat="false" ht="23.85" hidden="false" customHeight="false" outlineLevel="0" collapsed="false">
      <c r="A183" s="7" t="s">
        <v>870</v>
      </c>
      <c r="B183" s="14" t="s">
        <v>1374</v>
      </c>
      <c r="C183" s="6" t="s">
        <v>1375</v>
      </c>
      <c r="D183" s="6" t="s">
        <v>1397</v>
      </c>
      <c r="E183" s="6" t="s">
        <v>1398</v>
      </c>
      <c r="F183" s="28" t="s">
        <v>1399</v>
      </c>
      <c r="G183" s="29" t="s">
        <v>143</v>
      </c>
      <c r="H183" s="29" t="s">
        <v>244</v>
      </c>
      <c r="I183" s="28" t="s">
        <v>1400</v>
      </c>
      <c r="J183" s="28" t="s">
        <v>1401</v>
      </c>
      <c r="K183" s="28" t="s">
        <v>1402</v>
      </c>
      <c r="L183" s="6" t="s">
        <v>178</v>
      </c>
      <c r="M183" s="22" t="s">
        <v>73</v>
      </c>
      <c r="N183" s="22" t="s">
        <v>71</v>
      </c>
      <c r="O183" s="22" t="s">
        <v>149</v>
      </c>
      <c r="P183" s="31" t="n">
        <f aca="false">IFERROR(VLOOKUP($M183,Assumptions!$A$15:$B$20,2,FALSE()),0)</f>
        <v>5</v>
      </c>
      <c r="Q183" s="31" t="n">
        <f aca="false">IFERROR(VLOOKUP($N183,Assumptions!$A$15:$B$20,2,FALSE()),0)</f>
        <v>3</v>
      </c>
      <c r="R183" s="31" t="n">
        <f aca="false">ROUND((P183+Q183)*Assumptions!$B$8,1)</f>
        <v>1</v>
      </c>
      <c r="S183" s="31" t="n">
        <f aca="false">IF($O183="Y",ROUND(Q183*Assumptions!$B$9,1),0)</f>
        <v>0</v>
      </c>
      <c r="T183" s="31" t="n">
        <f aca="false">ROUND((P183+Q183)*Assumptions!$B$10,1)</f>
        <v>2.8</v>
      </c>
      <c r="U183" s="9" t="n">
        <f aca="false">SUM(P183:T183)</f>
        <v>11.8</v>
      </c>
      <c r="V183" s="35" t="s">
        <v>386</v>
      </c>
      <c r="W183" s="28" t="s">
        <v>1403</v>
      </c>
    </row>
    <row r="184" customFormat="false" ht="32.8" hidden="false" customHeight="false" outlineLevel="0" collapsed="false">
      <c r="A184" s="7" t="s">
        <v>1404</v>
      </c>
      <c r="B184" s="14" t="s">
        <v>1374</v>
      </c>
      <c r="C184" s="6" t="s">
        <v>1375</v>
      </c>
      <c r="D184" s="6" t="s">
        <v>1405</v>
      </c>
      <c r="E184" s="6" t="s">
        <v>1406</v>
      </c>
      <c r="F184" s="28" t="s">
        <v>1407</v>
      </c>
      <c r="G184" s="32" t="s">
        <v>265</v>
      </c>
      <c r="H184" s="32" t="s">
        <v>272</v>
      </c>
      <c r="I184" s="28" t="s">
        <v>1408</v>
      </c>
      <c r="J184" s="28" t="s">
        <v>1409</v>
      </c>
      <c r="K184" s="28" t="s">
        <v>1410</v>
      </c>
      <c r="L184" s="6" t="s">
        <v>178</v>
      </c>
      <c r="M184" s="22" t="s">
        <v>71</v>
      </c>
      <c r="N184" s="22" t="s">
        <v>71</v>
      </c>
      <c r="O184" s="22" t="s">
        <v>149</v>
      </c>
      <c r="P184" s="31" t="n">
        <f aca="false">IFERROR(VLOOKUP($M184,Assumptions!$A$15:$B$20,2,FALSE()),0)</f>
        <v>3</v>
      </c>
      <c r="Q184" s="31" t="n">
        <f aca="false">IFERROR(VLOOKUP($N184,Assumptions!$A$15:$B$20,2,FALSE()),0)</f>
        <v>3</v>
      </c>
      <c r="R184" s="31" t="n">
        <f aca="false">ROUND((P184+Q184)*Assumptions!$B$8,1)</f>
        <v>0.7</v>
      </c>
      <c r="S184" s="31" t="n">
        <f aca="false">IF($O184="Y",ROUND(Q184*Assumptions!$B$9,1),0)</f>
        <v>0</v>
      </c>
      <c r="T184" s="31" t="n">
        <f aca="false">ROUND((P184+Q184)*Assumptions!$B$10,1)</f>
        <v>2.1</v>
      </c>
      <c r="U184" s="9" t="n">
        <f aca="false">SUM(P184:T184)</f>
        <v>8.8</v>
      </c>
      <c r="V184" s="36" t="s">
        <v>396</v>
      </c>
      <c r="W184" s="28" t="s">
        <v>705</v>
      </c>
    </row>
    <row r="185" customFormat="false" ht="22.35" hidden="false" customHeight="false" outlineLevel="0" collapsed="false">
      <c r="A185" s="7" t="s">
        <v>1411</v>
      </c>
      <c r="B185" s="14" t="s">
        <v>1374</v>
      </c>
      <c r="C185" s="6" t="s">
        <v>1375</v>
      </c>
      <c r="D185" s="6" t="s">
        <v>1412</v>
      </c>
      <c r="E185" s="6" t="s">
        <v>1413</v>
      </c>
      <c r="F185" s="28" t="s">
        <v>1414</v>
      </c>
      <c r="G185" s="32" t="s">
        <v>265</v>
      </c>
      <c r="H185" s="32" t="s">
        <v>272</v>
      </c>
      <c r="I185" s="28" t="s">
        <v>1415</v>
      </c>
      <c r="J185" s="28" t="s">
        <v>1416</v>
      </c>
      <c r="K185" s="28" t="s">
        <v>1417</v>
      </c>
      <c r="L185" s="6" t="s">
        <v>170</v>
      </c>
      <c r="M185" s="22" t="s">
        <v>73</v>
      </c>
      <c r="N185" s="22" t="s">
        <v>73</v>
      </c>
      <c r="O185" s="22" t="s">
        <v>169</v>
      </c>
      <c r="P185" s="31" t="n">
        <f aca="false">IFERROR(VLOOKUP($M185,Assumptions!$A$15:$B$20,2,FALSE()),0)</f>
        <v>5</v>
      </c>
      <c r="Q185" s="31" t="n">
        <f aca="false">IFERROR(VLOOKUP($N185,Assumptions!$A$15:$B$20,2,FALSE()),0)</f>
        <v>5</v>
      </c>
      <c r="R185" s="31" t="n">
        <f aca="false">ROUND((P185+Q185)*Assumptions!$B$8,1)</f>
        <v>1.2</v>
      </c>
      <c r="S185" s="31" t="n">
        <f aca="false">IF($O185="Y",ROUND(Q185*Assumptions!$B$9,1),0)</f>
        <v>2</v>
      </c>
      <c r="T185" s="31" t="n">
        <f aca="false">ROUND((P185+Q185)*Assumptions!$B$10,1)</f>
        <v>3.5</v>
      </c>
      <c r="U185" s="9" t="n">
        <f aca="false">SUM(P185:T185)</f>
        <v>16.7</v>
      </c>
      <c r="V185" s="34" t="s">
        <v>320</v>
      </c>
      <c r="W185" s="28"/>
    </row>
    <row r="186" customFormat="false" ht="15" hidden="false" customHeight="false" outlineLevel="0" collapsed="false">
      <c r="A186" s="7" t="s">
        <v>1418</v>
      </c>
      <c r="B186" s="14" t="s">
        <v>1374</v>
      </c>
      <c r="C186" s="6" t="s">
        <v>1375</v>
      </c>
      <c r="D186" s="6" t="s">
        <v>1419</v>
      </c>
      <c r="E186" s="6" t="s">
        <v>1420</v>
      </c>
      <c r="F186" s="28" t="s">
        <v>1421</v>
      </c>
      <c r="G186" s="32" t="s">
        <v>265</v>
      </c>
      <c r="H186" s="32" t="s">
        <v>272</v>
      </c>
      <c r="I186" s="28" t="s">
        <v>1422</v>
      </c>
      <c r="J186" s="28" t="s">
        <v>1423</v>
      </c>
      <c r="K186" s="28" t="s">
        <v>1424</v>
      </c>
      <c r="L186" s="6" t="s">
        <v>170</v>
      </c>
      <c r="M186" s="22" t="s">
        <v>71</v>
      </c>
      <c r="N186" s="22" t="s">
        <v>71</v>
      </c>
      <c r="O186" s="22" t="s">
        <v>149</v>
      </c>
      <c r="P186" s="31" t="n">
        <f aca="false">IFERROR(VLOOKUP($M186,Assumptions!$A$15:$B$20,2,FALSE()),0)</f>
        <v>3</v>
      </c>
      <c r="Q186" s="31" t="n">
        <f aca="false">IFERROR(VLOOKUP($N186,Assumptions!$A$15:$B$20,2,FALSE()),0)</f>
        <v>3</v>
      </c>
      <c r="R186" s="31" t="n">
        <f aca="false">ROUND((P186+Q186)*Assumptions!$B$8,1)</f>
        <v>0.7</v>
      </c>
      <c r="S186" s="31" t="n">
        <f aca="false">IF($O186="Y",ROUND(Q186*Assumptions!$B$9,1),0)</f>
        <v>0</v>
      </c>
      <c r="T186" s="31" t="n">
        <f aca="false">ROUND((P186+Q186)*Assumptions!$B$10,1)</f>
        <v>2.1</v>
      </c>
      <c r="U186" s="9" t="n">
        <f aca="false">SUM(P186:T186)</f>
        <v>8.8</v>
      </c>
      <c r="V186" s="35" t="s">
        <v>386</v>
      </c>
      <c r="W186" s="28"/>
    </row>
    <row r="187" customFormat="false" ht="15" hidden="false" customHeight="false" outlineLevel="0" collapsed="false">
      <c r="A187" s="7" t="s">
        <v>1425</v>
      </c>
      <c r="B187" s="14" t="s">
        <v>1374</v>
      </c>
      <c r="C187" s="6" t="s">
        <v>1375</v>
      </c>
      <c r="D187" s="6" t="s">
        <v>1426</v>
      </c>
      <c r="E187" s="6" t="s">
        <v>1427</v>
      </c>
      <c r="F187" s="28" t="s">
        <v>1428</v>
      </c>
      <c r="G187" s="32" t="s">
        <v>265</v>
      </c>
      <c r="H187" s="32" t="s">
        <v>272</v>
      </c>
      <c r="I187" s="28" t="s">
        <v>1429</v>
      </c>
      <c r="J187" s="28" t="s">
        <v>1426</v>
      </c>
      <c r="K187" s="28" t="s">
        <v>1430</v>
      </c>
      <c r="L187" s="6" t="s">
        <v>170</v>
      </c>
      <c r="M187" s="22" t="s">
        <v>71</v>
      </c>
      <c r="N187" s="22" t="s">
        <v>73</v>
      </c>
      <c r="O187" s="22" t="s">
        <v>149</v>
      </c>
      <c r="P187" s="31" t="n">
        <f aca="false">IFERROR(VLOOKUP($M187,Assumptions!$A$15:$B$20,2,FALSE()),0)</f>
        <v>3</v>
      </c>
      <c r="Q187" s="31" t="n">
        <f aca="false">IFERROR(VLOOKUP($N187,Assumptions!$A$15:$B$20,2,FALSE()),0)</f>
        <v>5</v>
      </c>
      <c r="R187" s="31" t="n">
        <f aca="false">ROUND((P187+Q187)*Assumptions!$B$8,1)</f>
        <v>1</v>
      </c>
      <c r="S187" s="31" t="n">
        <f aca="false">IF($O187="Y",ROUND(Q187*Assumptions!$B$9,1),0)</f>
        <v>0</v>
      </c>
      <c r="T187" s="31" t="n">
        <f aca="false">ROUND((P187+Q187)*Assumptions!$B$10,1)</f>
        <v>2.8</v>
      </c>
      <c r="U187" s="9" t="n">
        <f aca="false">SUM(P187:T187)</f>
        <v>11.8</v>
      </c>
      <c r="V187" s="35" t="s">
        <v>386</v>
      </c>
      <c r="W187" s="28"/>
    </row>
    <row r="188" customFormat="false" ht="22.35" hidden="false" customHeight="false" outlineLevel="0" collapsed="false">
      <c r="A188" s="7" t="s">
        <v>1431</v>
      </c>
      <c r="B188" s="14" t="s">
        <v>1374</v>
      </c>
      <c r="C188" s="6" t="s">
        <v>1375</v>
      </c>
      <c r="D188" s="6" t="s">
        <v>1432</v>
      </c>
      <c r="E188" s="6" t="s">
        <v>1433</v>
      </c>
      <c r="F188" s="28" t="s">
        <v>1414</v>
      </c>
      <c r="G188" s="32" t="s">
        <v>265</v>
      </c>
      <c r="H188" s="32" t="s">
        <v>272</v>
      </c>
      <c r="I188" s="28" t="s">
        <v>1434</v>
      </c>
      <c r="J188" s="28" t="s">
        <v>1435</v>
      </c>
      <c r="K188" s="28" t="s">
        <v>1436</v>
      </c>
      <c r="L188" s="6" t="s">
        <v>1437</v>
      </c>
      <c r="M188" s="22" t="s">
        <v>73</v>
      </c>
      <c r="N188" s="22" t="s">
        <v>73</v>
      </c>
      <c r="O188" s="22" t="s">
        <v>169</v>
      </c>
      <c r="P188" s="31" t="n">
        <f aca="false">IFERROR(VLOOKUP($M188,Assumptions!$A$15:$B$20,2,FALSE()),0)</f>
        <v>5</v>
      </c>
      <c r="Q188" s="31" t="n">
        <f aca="false">IFERROR(VLOOKUP($N188,Assumptions!$A$15:$B$20,2,FALSE()),0)</f>
        <v>5</v>
      </c>
      <c r="R188" s="31" t="n">
        <f aca="false">ROUND((P188+Q188)*Assumptions!$B$8,1)</f>
        <v>1.2</v>
      </c>
      <c r="S188" s="31" t="n">
        <f aca="false">IF($O188="Y",ROUND(Q188*Assumptions!$B$9,1),0)</f>
        <v>2</v>
      </c>
      <c r="T188" s="31" t="n">
        <f aca="false">ROUND((P188+Q188)*Assumptions!$B$10,1)</f>
        <v>3.5</v>
      </c>
      <c r="U188" s="9" t="n">
        <f aca="false">SUM(P188:T188)</f>
        <v>16.7</v>
      </c>
      <c r="V188" s="35" t="s">
        <v>386</v>
      </c>
      <c r="W188" s="28"/>
    </row>
    <row r="189" customFormat="false" ht="23.85" hidden="false" customHeight="false" outlineLevel="0" collapsed="false">
      <c r="A189" s="7" t="s">
        <v>1438</v>
      </c>
      <c r="B189" s="14" t="s">
        <v>1374</v>
      </c>
      <c r="C189" s="6" t="s">
        <v>1375</v>
      </c>
      <c r="D189" s="6" t="s">
        <v>1439</v>
      </c>
      <c r="E189" s="6" t="s">
        <v>1440</v>
      </c>
      <c r="F189" s="28" t="s">
        <v>1385</v>
      </c>
      <c r="G189" s="32" t="s">
        <v>265</v>
      </c>
      <c r="H189" s="32" t="s">
        <v>272</v>
      </c>
      <c r="I189" s="28" t="s">
        <v>1441</v>
      </c>
      <c r="J189" s="28" t="s">
        <v>1442</v>
      </c>
      <c r="K189" s="28" t="s">
        <v>1443</v>
      </c>
      <c r="L189" s="6" t="s">
        <v>256</v>
      </c>
      <c r="M189" s="22" t="s">
        <v>71</v>
      </c>
      <c r="N189" s="22" t="s">
        <v>71</v>
      </c>
      <c r="O189" s="22" t="s">
        <v>149</v>
      </c>
      <c r="P189" s="31" t="n">
        <f aca="false">IFERROR(VLOOKUP($M189,Assumptions!$A$15:$B$20,2,FALSE()),0)</f>
        <v>3</v>
      </c>
      <c r="Q189" s="31" t="n">
        <f aca="false">IFERROR(VLOOKUP($N189,Assumptions!$A$15:$B$20,2,FALSE()),0)</f>
        <v>3</v>
      </c>
      <c r="R189" s="31" t="n">
        <f aca="false">ROUND((P189+Q189)*Assumptions!$B$8,1)</f>
        <v>0.7</v>
      </c>
      <c r="S189" s="31" t="n">
        <f aca="false">IF($O189="Y",ROUND(Q189*Assumptions!$B$9,1),0)</f>
        <v>0</v>
      </c>
      <c r="T189" s="31" t="n">
        <f aca="false">ROUND((P189+Q189)*Assumptions!$B$10,1)</f>
        <v>2.1</v>
      </c>
      <c r="U189" s="9" t="n">
        <f aca="false">SUM(P189:T189)</f>
        <v>8.8</v>
      </c>
      <c r="V189" s="34" t="s">
        <v>320</v>
      </c>
      <c r="W189" s="28"/>
    </row>
    <row r="190" customFormat="false" ht="15" hidden="false" customHeight="false" outlineLevel="0" collapsed="false">
      <c r="A190" s="7" t="s">
        <v>1444</v>
      </c>
      <c r="B190" s="14" t="s">
        <v>1374</v>
      </c>
      <c r="C190" s="6" t="s">
        <v>1375</v>
      </c>
      <c r="D190" s="6" t="s">
        <v>1445</v>
      </c>
      <c r="E190" s="6" t="s">
        <v>1446</v>
      </c>
      <c r="F190" s="28" t="s">
        <v>1414</v>
      </c>
      <c r="G190" s="32" t="s">
        <v>265</v>
      </c>
      <c r="H190" s="32" t="s">
        <v>272</v>
      </c>
      <c r="I190" s="28" t="s">
        <v>1447</v>
      </c>
      <c r="J190" s="28" t="s">
        <v>1448</v>
      </c>
      <c r="K190" s="28" t="s">
        <v>1449</v>
      </c>
      <c r="L190" s="6" t="s">
        <v>777</v>
      </c>
      <c r="M190" s="22" t="s">
        <v>71</v>
      </c>
      <c r="N190" s="22" t="s">
        <v>73</v>
      </c>
      <c r="O190" s="22" t="s">
        <v>149</v>
      </c>
      <c r="P190" s="31" t="n">
        <f aca="false">IFERROR(VLOOKUP($M190,Assumptions!$A$15:$B$20,2,FALSE()),0)</f>
        <v>3</v>
      </c>
      <c r="Q190" s="31" t="n">
        <f aca="false">IFERROR(VLOOKUP($N190,Assumptions!$A$15:$B$20,2,FALSE()),0)</f>
        <v>5</v>
      </c>
      <c r="R190" s="31" t="n">
        <f aca="false">ROUND((P190+Q190)*Assumptions!$B$8,1)</f>
        <v>1</v>
      </c>
      <c r="S190" s="31" t="n">
        <f aca="false">IF($O190="Y",ROUND(Q190*Assumptions!$B$9,1),0)</f>
        <v>0</v>
      </c>
      <c r="T190" s="31" t="n">
        <f aca="false">ROUND((P190+Q190)*Assumptions!$B$10,1)</f>
        <v>2.8</v>
      </c>
      <c r="U190" s="9" t="n">
        <f aca="false">SUM(P190:T190)</f>
        <v>11.8</v>
      </c>
      <c r="V190" s="35" t="s">
        <v>386</v>
      </c>
      <c r="W190" s="28"/>
    </row>
    <row r="191" customFormat="false" ht="23.85" hidden="false" customHeight="false" outlineLevel="0" collapsed="false">
      <c r="A191" s="7" t="s">
        <v>1450</v>
      </c>
      <c r="B191" s="14" t="s">
        <v>1374</v>
      </c>
      <c r="C191" s="6" t="s">
        <v>1375</v>
      </c>
      <c r="D191" s="6" t="s">
        <v>1451</v>
      </c>
      <c r="E191" s="6" t="s">
        <v>1452</v>
      </c>
      <c r="F191" s="28" t="s">
        <v>1385</v>
      </c>
      <c r="G191" s="33" t="s">
        <v>286</v>
      </c>
      <c r="H191" s="33" t="s">
        <v>287</v>
      </c>
      <c r="I191" s="28" t="s">
        <v>1453</v>
      </c>
      <c r="J191" s="28" t="s">
        <v>1454</v>
      </c>
      <c r="K191" s="28" t="s">
        <v>1455</v>
      </c>
      <c r="L191" s="6" t="s">
        <v>178</v>
      </c>
      <c r="M191" s="22" t="s">
        <v>69</v>
      </c>
      <c r="N191" s="22" t="s">
        <v>71</v>
      </c>
      <c r="O191" s="22" t="s">
        <v>149</v>
      </c>
      <c r="P191" s="31" t="n">
        <f aca="false">IFERROR(VLOOKUP($M191,Assumptions!$A$15:$B$20,2,FALSE()),0)</f>
        <v>1</v>
      </c>
      <c r="Q191" s="31" t="n">
        <f aca="false">IFERROR(VLOOKUP($N191,Assumptions!$A$15:$B$20,2,FALSE()),0)</f>
        <v>3</v>
      </c>
      <c r="R191" s="31" t="n">
        <f aca="false">ROUND((P191+Q191)*Assumptions!$B$8,1)</f>
        <v>0.5</v>
      </c>
      <c r="S191" s="31" t="n">
        <f aca="false">IF($O191="Y",ROUND(Q191*Assumptions!$B$9,1),0)</f>
        <v>0</v>
      </c>
      <c r="T191" s="31" t="n">
        <f aca="false">ROUND((P191+Q191)*Assumptions!$B$10,1)</f>
        <v>1.4</v>
      </c>
      <c r="U191" s="9" t="n">
        <f aca="false">SUM(P191:T191)</f>
        <v>5.9</v>
      </c>
      <c r="V191" s="36" t="s">
        <v>396</v>
      </c>
      <c r="W191" s="28"/>
    </row>
    <row r="192" customFormat="false" ht="23.85" hidden="false" customHeight="false" outlineLevel="0" collapsed="false">
      <c r="A192" s="7" t="s">
        <v>1456</v>
      </c>
      <c r="B192" s="14" t="s">
        <v>1457</v>
      </c>
      <c r="C192" s="6" t="s">
        <v>1458</v>
      </c>
      <c r="D192" s="6" t="s">
        <v>1459</v>
      </c>
      <c r="E192" s="6" t="s">
        <v>1460</v>
      </c>
      <c r="F192" s="28" t="s">
        <v>1461</v>
      </c>
      <c r="G192" s="29" t="s">
        <v>143</v>
      </c>
      <c r="H192" s="37" t="s">
        <v>962</v>
      </c>
      <c r="I192" s="28" t="s">
        <v>1462</v>
      </c>
      <c r="J192" s="28" t="s">
        <v>1463</v>
      </c>
      <c r="K192" s="28" t="s">
        <v>1464</v>
      </c>
      <c r="L192" s="6" t="s">
        <v>178</v>
      </c>
      <c r="M192" s="22" t="s">
        <v>71</v>
      </c>
      <c r="N192" s="22" t="s">
        <v>71</v>
      </c>
      <c r="O192" s="22" t="s">
        <v>149</v>
      </c>
      <c r="P192" s="31" t="n">
        <f aca="false">IFERROR(VLOOKUP($M192,Assumptions!$A$15:$B$20,2,FALSE()),0)</f>
        <v>3</v>
      </c>
      <c r="Q192" s="31" t="n">
        <f aca="false">IFERROR(VLOOKUP($N192,Assumptions!$A$15:$B$20,2,FALSE()),0)</f>
        <v>3</v>
      </c>
      <c r="R192" s="31" t="n">
        <f aca="false">ROUND((P192+Q192)*Assumptions!$B$8,1)</f>
        <v>0.7</v>
      </c>
      <c r="S192" s="31" t="n">
        <f aca="false">IF($O192="Y",ROUND(Q192*Assumptions!$B$9,1),0)</f>
        <v>0</v>
      </c>
      <c r="T192" s="31" t="n">
        <f aca="false">ROUND((P192+Q192)*Assumptions!$B$10,1)</f>
        <v>2.1</v>
      </c>
      <c r="U192" s="9" t="n">
        <f aca="false">SUM(P192:T192)</f>
        <v>8.8</v>
      </c>
      <c r="V192" s="34" t="s">
        <v>320</v>
      </c>
      <c r="W192" s="28"/>
    </row>
    <row r="193" customFormat="false" ht="23.85" hidden="false" customHeight="false" outlineLevel="0" collapsed="false">
      <c r="A193" s="7" t="s">
        <v>1465</v>
      </c>
      <c r="B193" s="14" t="s">
        <v>1457</v>
      </c>
      <c r="C193" s="6" t="s">
        <v>1458</v>
      </c>
      <c r="D193" s="6" t="s">
        <v>1466</v>
      </c>
      <c r="E193" s="6" t="s">
        <v>1467</v>
      </c>
      <c r="F193" s="28" t="s">
        <v>1468</v>
      </c>
      <c r="G193" s="29" t="s">
        <v>143</v>
      </c>
      <c r="H193" s="37" t="s">
        <v>962</v>
      </c>
      <c r="I193" s="28" t="s">
        <v>1469</v>
      </c>
      <c r="J193" s="28" t="s">
        <v>1470</v>
      </c>
      <c r="K193" s="28" t="s">
        <v>1471</v>
      </c>
      <c r="L193" s="6" t="s">
        <v>1456</v>
      </c>
      <c r="M193" s="22" t="s">
        <v>71</v>
      </c>
      <c r="N193" s="22" t="s">
        <v>71</v>
      </c>
      <c r="O193" s="22" t="s">
        <v>149</v>
      </c>
      <c r="P193" s="31" t="n">
        <f aca="false">IFERROR(VLOOKUP($M193,Assumptions!$A$15:$B$20,2,FALSE()),0)</f>
        <v>3</v>
      </c>
      <c r="Q193" s="31" t="n">
        <f aca="false">IFERROR(VLOOKUP($N193,Assumptions!$A$15:$B$20,2,FALSE()),0)</f>
        <v>3</v>
      </c>
      <c r="R193" s="31" t="n">
        <f aca="false">ROUND((P193+Q193)*Assumptions!$B$8,1)</f>
        <v>0.7</v>
      </c>
      <c r="S193" s="31" t="n">
        <f aca="false">IF($O193="Y",ROUND(Q193*Assumptions!$B$9,1),0)</f>
        <v>0</v>
      </c>
      <c r="T193" s="31" t="n">
        <f aca="false">ROUND((P193+Q193)*Assumptions!$B$10,1)</f>
        <v>2.1</v>
      </c>
      <c r="U193" s="9" t="n">
        <f aca="false">SUM(P193:T193)</f>
        <v>8.8</v>
      </c>
      <c r="V193" s="34" t="s">
        <v>320</v>
      </c>
      <c r="W193" s="28"/>
    </row>
    <row r="194" customFormat="false" ht="22.35" hidden="false" customHeight="false" outlineLevel="0" collapsed="false">
      <c r="A194" s="7" t="s">
        <v>1472</v>
      </c>
      <c r="B194" s="14" t="s">
        <v>1457</v>
      </c>
      <c r="C194" s="6" t="s">
        <v>1458</v>
      </c>
      <c r="D194" s="6" t="s">
        <v>1473</v>
      </c>
      <c r="E194" s="6" t="s">
        <v>1474</v>
      </c>
      <c r="F194" s="28" t="s">
        <v>1475</v>
      </c>
      <c r="G194" s="29" t="s">
        <v>143</v>
      </c>
      <c r="H194" s="37" t="s">
        <v>962</v>
      </c>
      <c r="I194" s="28" t="s">
        <v>1476</v>
      </c>
      <c r="J194" s="28" t="s">
        <v>1477</v>
      </c>
      <c r="K194" s="28" t="s">
        <v>1478</v>
      </c>
      <c r="L194" s="6" t="s">
        <v>1479</v>
      </c>
      <c r="M194" s="22" t="s">
        <v>71</v>
      </c>
      <c r="N194" s="22" t="s">
        <v>71</v>
      </c>
      <c r="O194" s="22" t="s">
        <v>149</v>
      </c>
      <c r="P194" s="31" t="n">
        <f aca="false">IFERROR(VLOOKUP($M194,Assumptions!$A$15:$B$20,2,FALSE()),0)</f>
        <v>3</v>
      </c>
      <c r="Q194" s="31" t="n">
        <f aca="false">IFERROR(VLOOKUP($N194,Assumptions!$A$15:$B$20,2,FALSE()),0)</f>
        <v>3</v>
      </c>
      <c r="R194" s="31" t="n">
        <f aca="false">ROUND((P194+Q194)*Assumptions!$B$8,1)</f>
        <v>0.7</v>
      </c>
      <c r="S194" s="31" t="n">
        <f aca="false">IF($O194="Y",ROUND(Q194*Assumptions!$B$9,1),0)</f>
        <v>0</v>
      </c>
      <c r="T194" s="31" t="n">
        <f aca="false">ROUND((P194+Q194)*Assumptions!$B$10,1)</f>
        <v>2.1</v>
      </c>
      <c r="U194" s="9" t="n">
        <f aca="false">SUM(P194:T194)</f>
        <v>8.8</v>
      </c>
      <c r="V194" s="34" t="s">
        <v>320</v>
      </c>
      <c r="W194" s="28"/>
    </row>
    <row r="195" customFormat="false" ht="23.85" hidden="false" customHeight="false" outlineLevel="0" collapsed="false">
      <c r="A195" s="7" t="s">
        <v>1480</v>
      </c>
      <c r="B195" s="14" t="s">
        <v>1457</v>
      </c>
      <c r="C195" s="6" t="s">
        <v>1458</v>
      </c>
      <c r="D195" s="6" t="s">
        <v>1481</v>
      </c>
      <c r="E195" s="6" t="s">
        <v>1482</v>
      </c>
      <c r="F195" s="28" t="s">
        <v>1483</v>
      </c>
      <c r="G195" s="29" t="s">
        <v>143</v>
      </c>
      <c r="H195" s="37" t="s">
        <v>962</v>
      </c>
      <c r="I195" s="28" t="s">
        <v>1484</v>
      </c>
      <c r="J195" s="28" t="s">
        <v>1485</v>
      </c>
      <c r="K195" s="28" t="s">
        <v>1486</v>
      </c>
      <c r="L195" s="6" t="s">
        <v>819</v>
      </c>
      <c r="M195" s="22" t="s">
        <v>73</v>
      </c>
      <c r="N195" s="22" t="s">
        <v>71</v>
      </c>
      <c r="O195" s="22" t="s">
        <v>149</v>
      </c>
      <c r="P195" s="31" t="n">
        <f aca="false">IFERROR(VLOOKUP($M195,Assumptions!$A$15:$B$20,2,FALSE()),0)</f>
        <v>5</v>
      </c>
      <c r="Q195" s="31" t="n">
        <f aca="false">IFERROR(VLOOKUP($N195,Assumptions!$A$15:$B$20,2,FALSE()),0)</f>
        <v>3</v>
      </c>
      <c r="R195" s="31" t="n">
        <f aca="false">ROUND((P195+Q195)*Assumptions!$B$8,1)</f>
        <v>1</v>
      </c>
      <c r="S195" s="31" t="n">
        <f aca="false">IF($O195="Y",ROUND(Q195*Assumptions!$B$9,1),0)</f>
        <v>0</v>
      </c>
      <c r="T195" s="31" t="n">
        <f aca="false">ROUND((P195+Q195)*Assumptions!$B$10,1)</f>
        <v>2.8</v>
      </c>
      <c r="U195" s="9" t="n">
        <f aca="false">SUM(P195:T195)</f>
        <v>11.8</v>
      </c>
      <c r="V195" s="34" t="s">
        <v>320</v>
      </c>
      <c r="W195" s="28"/>
    </row>
    <row r="196" customFormat="false" ht="23.85" hidden="false" customHeight="false" outlineLevel="0" collapsed="false">
      <c r="A196" s="7" t="s">
        <v>1487</v>
      </c>
      <c r="B196" s="14" t="s">
        <v>1457</v>
      </c>
      <c r="C196" s="6" t="s">
        <v>1458</v>
      </c>
      <c r="D196" s="6" t="s">
        <v>1488</v>
      </c>
      <c r="E196" s="6" t="s">
        <v>1489</v>
      </c>
      <c r="F196" s="28" t="s">
        <v>1490</v>
      </c>
      <c r="G196" s="29" t="s">
        <v>143</v>
      </c>
      <c r="H196" s="37" t="s">
        <v>962</v>
      </c>
      <c r="I196" s="28" t="s">
        <v>1491</v>
      </c>
      <c r="J196" s="28" t="s">
        <v>1492</v>
      </c>
      <c r="K196" s="28" t="s">
        <v>1493</v>
      </c>
      <c r="L196" s="6" t="s">
        <v>1472</v>
      </c>
      <c r="M196" s="22" t="s">
        <v>71</v>
      </c>
      <c r="N196" s="22" t="s">
        <v>71</v>
      </c>
      <c r="O196" s="22" t="s">
        <v>149</v>
      </c>
      <c r="P196" s="31" t="n">
        <f aca="false">IFERROR(VLOOKUP($M196,Assumptions!$A$15:$B$20,2,FALSE()),0)</f>
        <v>3</v>
      </c>
      <c r="Q196" s="31" t="n">
        <f aca="false">IFERROR(VLOOKUP($N196,Assumptions!$A$15:$B$20,2,FALSE()),0)</f>
        <v>3</v>
      </c>
      <c r="R196" s="31" t="n">
        <f aca="false">ROUND((P196+Q196)*Assumptions!$B$8,1)</f>
        <v>0.7</v>
      </c>
      <c r="S196" s="31" t="n">
        <f aca="false">IF($O196="Y",ROUND(Q196*Assumptions!$B$9,1),0)</f>
        <v>0</v>
      </c>
      <c r="T196" s="31" t="n">
        <f aca="false">ROUND((P196+Q196)*Assumptions!$B$10,1)</f>
        <v>2.1</v>
      </c>
      <c r="U196" s="9" t="n">
        <f aca="false">SUM(P196:T196)</f>
        <v>8.8</v>
      </c>
      <c r="V196" s="34" t="s">
        <v>320</v>
      </c>
      <c r="W196" s="28"/>
    </row>
    <row r="197" customFormat="false" ht="22.35" hidden="false" customHeight="false" outlineLevel="0" collapsed="false">
      <c r="A197" s="7" t="s">
        <v>1494</v>
      </c>
      <c r="B197" s="14" t="s">
        <v>1457</v>
      </c>
      <c r="C197" s="6" t="s">
        <v>1458</v>
      </c>
      <c r="D197" s="6" t="s">
        <v>1495</v>
      </c>
      <c r="E197" s="6" t="s">
        <v>1496</v>
      </c>
      <c r="F197" s="28" t="s">
        <v>1497</v>
      </c>
      <c r="G197" s="29" t="s">
        <v>143</v>
      </c>
      <c r="H197" s="37" t="s">
        <v>962</v>
      </c>
      <c r="I197" s="28" t="s">
        <v>1498</v>
      </c>
      <c r="J197" s="28" t="s">
        <v>1499</v>
      </c>
      <c r="K197" s="28" t="s">
        <v>1500</v>
      </c>
      <c r="L197" s="6" t="s">
        <v>1501</v>
      </c>
      <c r="M197" s="22" t="s">
        <v>73</v>
      </c>
      <c r="N197" s="22" t="s">
        <v>73</v>
      </c>
      <c r="O197" s="22" t="s">
        <v>169</v>
      </c>
      <c r="P197" s="31" t="n">
        <f aca="false">IFERROR(VLOOKUP($M197,Assumptions!$A$15:$B$20,2,FALSE()),0)</f>
        <v>5</v>
      </c>
      <c r="Q197" s="31" t="n">
        <f aca="false">IFERROR(VLOOKUP($N197,Assumptions!$A$15:$B$20,2,FALSE()),0)</f>
        <v>5</v>
      </c>
      <c r="R197" s="31" t="n">
        <f aca="false">ROUND((P197+Q197)*Assumptions!$B$8,1)</f>
        <v>1.2</v>
      </c>
      <c r="S197" s="31" t="n">
        <f aca="false">IF($O197="Y",ROUND(Q197*Assumptions!$B$9,1),0)</f>
        <v>2</v>
      </c>
      <c r="T197" s="31" t="n">
        <f aca="false">ROUND((P197+Q197)*Assumptions!$B$10,1)</f>
        <v>3.5</v>
      </c>
      <c r="U197" s="9" t="n">
        <f aca="false">SUM(P197:T197)</f>
        <v>16.7</v>
      </c>
      <c r="V197" s="34" t="s">
        <v>320</v>
      </c>
      <c r="W197" s="28"/>
    </row>
    <row r="198" customFormat="false" ht="23.85" hidden="false" customHeight="false" outlineLevel="0" collapsed="false">
      <c r="A198" s="7" t="s">
        <v>1502</v>
      </c>
      <c r="B198" s="14" t="s">
        <v>1457</v>
      </c>
      <c r="C198" s="6" t="s">
        <v>1458</v>
      </c>
      <c r="D198" s="6" t="s">
        <v>1503</v>
      </c>
      <c r="E198" s="6" t="s">
        <v>1504</v>
      </c>
      <c r="F198" s="28" t="s">
        <v>1505</v>
      </c>
      <c r="G198" s="29" t="s">
        <v>143</v>
      </c>
      <c r="H198" s="37" t="s">
        <v>962</v>
      </c>
      <c r="I198" s="28" t="s">
        <v>1506</v>
      </c>
      <c r="J198" s="28" t="s">
        <v>1507</v>
      </c>
      <c r="K198" s="28" t="s">
        <v>1508</v>
      </c>
      <c r="L198" s="6" t="s">
        <v>1494</v>
      </c>
      <c r="M198" s="22" t="s">
        <v>73</v>
      </c>
      <c r="N198" s="22" t="s">
        <v>73</v>
      </c>
      <c r="O198" s="22" t="s">
        <v>149</v>
      </c>
      <c r="P198" s="31" t="n">
        <f aca="false">IFERROR(VLOOKUP($M198,Assumptions!$A$15:$B$20,2,FALSE()),0)</f>
        <v>5</v>
      </c>
      <c r="Q198" s="31" t="n">
        <f aca="false">IFERROR(VLOOKUP($N198,Assumptions!$A$15:$B$20,2,FALSE()),0)</f>
        <v>5</v>
      </c>
      <c r="R198" s="31" t="n">
        <f aca="false">ROUND((P198+Q198)*Assumptions!$B$8,1)</f>
        <v>1.2</v>
      </c>
      <c r="S198" s="31" t="n">
        <f aca="false">IF($O198="Y",ROUND(Q198*Assumptions!$B$9,1),0)</f>
        <v>0</v>
      </c>
      <c r="T198" s="31" t="n">
        <f aca="false">ROUND((P198+Q198)*Assumptions!$B$10,1)</f>
        <v>3.5</v>
      </c>
      <c r="U198" s="9" t="n">
        <f aca="false">SUM(P198:T198)</f>
        <v>14.7</v>
      </c>
      <c r="V198" s="34" t="s">
        <v>320</v>
      </c>
      <c r="W198" s="28"/>
    </row>
    <row r="199" customFormat="false" ht="22.35" hidden="false" customHeight="false" outlineLevel="0" collapsed="false">
      <c r="A199" s="7" t="s">
        <v>1509</v>
      </c>
      <c r="B199" s="14" t="s">
        <v>1457</v>
      </c>
      <c r="C199" s="6" t="s">
        <v>1458</v>
      </c>
      <c r="D199" s="6" t="s">
        <v>1510</v>
      </c>
      <c r="E199" s="6" t="s">
        <v>1511</v>
      </c>
      <c r="F199" s="28" t="s">
        <v>1475</v>
      </c>
      <c r="G199" s="29" t="s">
        <v>143</v>
      </c>
      <c r="H199" s="37" t="s">
        <v>962</v>
      </c>
      <c r="I199" s="28" t="s">
        <v>1512</v>
      </c>
      <c r="J199" s="28" t="s">
        <v>1513</v>
      </c>
      <c r="K199" s="28" t="s">
        <v>1514</v>
      </c>
      <c r="L199" s="6" t="s">
        <v>1515</v>
      </c>
      <c r="M199" s="22" t="s">
        <v>73</v>
      </c>
      <c r="N199" s="22" t="s">
        <v>73</v>
      </c>
      <c r="O199" s="22" t="s">
        <v>169</v>
      </c>
      <c r="P199" s="31" t="n">
        <f aca="false">IFERROR(VLOOKUP($M199,Assumptions!$A$15:$B$20,2,FALSE()),0)</f>
        <v>5</v>
      </c>
      <c r="Q199" s="31" t="n">
        <f aca="false">IFERROR(VLOOKUP($N199,Assumptions!$A$15:$B$20,2,FALSE()),0)</f>
        <v>5</v>
      </c>
      <c r="R199" s="31" t="n">
        <f aca="false">ROUND((P199+Q199)*Assumptions!$B$8,1)</f>
        <v>1.2</v>
      </c>
      <c r="S199" s="31" t="n">
        <f aca="false">IF($O199="Y",ROUND(Q199*Assumptions!$B$9,1),0)</f>
        <v>2</v>
      </c>
      <c r="T199" s="31" t="n">
        <f aca="false">ROUND((P199+Q199)*Assumptions!$B$10,1)</f>
        <v>3.5</v>
      </c>
      <c r="U199" s="9" t="n">
        <f aca="false">SUM(P199:T199)</f>
        <v>16.7</v>
      </c>
      <c r="V199" s="34" t="s">
        <v>320</v>
      </c>
      <c r="W199" s="28"/>
    </row>
    <row r="200" customFormat="false" ht="15" hidden="false" customHeight="false" outlineLevel="0" collapsed="false">
      <c r="A200" s="7" t="s">
        <v>1516</v>
      </c>
      <c r="B200" s="14" t="s">
        <v>1457</v>
      </c>
      <c r="C200" s="6" t="s">
        <v>1458</v>
      </c>
      <c r="D200" s="6" t="s">
        <v>1517</v>
      </c>
      <c r="E200" s="6" t="s">
        <v>1518</v>
      </c>
      <c r="F200" s="28" t="s">
        <v>1519</v>
      </c>
      <c r="G200" s="29" t="s">
        <v>143</v>
      </c>
      <c r="H200" s="37" t="s">
        <v>962</v>
      </c>
      <c r="I200" s="28" t="s">
        <v>1520</v>
      </c>
      <c r="J200" s="28" t="s">
        <v>1521</v>
      </c>
      <c r="K200" s="28" t="s">
        <v>1522</v>
      </c>
      <c r="L200" s="6" t="s">
        <v>192</v>
      </c>
      <c r="M200" s="22" t="s">
        <v>71</v>
      </c>
      <c r="N200" s="22" t="s">
        <v>71</v>
      </c>
      <c r="O200" s="22" t="s">
        <v>149</v>
      </c>
      <c r="P200" s="31" t="n">
        <f aca="false">IFERROR(VLOOKUP($M200,Assumptions!$A$15:$B$20,2,FALSE()),0)</f>
        <v>3</v>
      </c>
      <c r="Q200" s="31" t="n">
        <f aca="false">IFERROR(VLOOKUP($N200,Assumptions!$A$15:$B$20,2,FALSE()),0)</f>
        <v>3</v>
      </c>
      <c r="R200" s="31" t="n">
        <f aca="false">ROUND((P200+Q200)*Assumptions!$B$8,1)</f>
        <v>0.7</v>
      </c>
      <c r="S200" s="31" t="n">
        <f aca="false">IF($O200="Y",ROUND(Q200*Assumptions!$B$9,1),0)</f>
        <v>0</v>
      </c>
      <c r="T200" s="31" t="n">
        <f aca="false">ROUND((P200+Q200)*Assumptions!$B$10,1)</f>
        <v>2.1</v>
      </c>
      <c r="U200" s="9" t="n">
        <f aca="false">SUM(P200:T200)</f>
        <v>8.8</v>
      </c>
      <c r="V200" s="34" t="s">
        <v>320</v>
      </c>
      <c r="W200" s="28"/>
    </row>
    <row r="201" customFormat="false" ht="22.35" hidden="false" customHeight="false" outlineLevel="0" collapsed="false">
      <c r="A201" s="7" t="s">
        <v>1523</v>
      </c>
      <c r="B201" s="14" t="s">
        <v>1457</v>
      </c>
      <c r="C201" s="6" t="s">
        <v>1458</v>
      </c>
      <c r="D201" s="6" t="s">
        <v>1524</v>
      </c>
      <c r="E201" s="6" t="s">
        <v>1525</v>
      </c>
      <c r="F201" s="28" t="s">
        <v>1497</v>
      </c>
      <c r="G201" s="29" t="s">
        <v>143</v>
      </c>
      <c r="H201" s="37" t="s">
        <v>962</v>
      </c>
      <c r="I201" s="28" t="s">
        <v>1526</v>
      </c>
      <c r="J201" s="28" t="s">
        <v>1527</v>
      </c>
      <c r="K201" s="28" t="s">
        <v>1528</v>
      </c>
      <c r="L201" s="6" t="s">
        <v>1456</v>
      </c>
      <c r="M201" s="22" t="s">
        <v>71</v>
      </c>
      <c r="N201" s="22" t="s">
        <v>73</v>
      </c>
      <c r="O201" s="22" t="s">
        <v>169</v>
      </c>
      <c r="P201" s="31" t="n">
        <f aca="false">IFERROR(VLOOKUP($M201,Assumptions!$A$15:$B$20,2,FALSE()),0)</f>
        <v>3</v>
      </c>
      <c r="Q201" s="31" t="n">
        <f aca="false">IFERROR(VLOOKUP($N201,Assumptions!$A$15:$B$20,2,FALSE()),0)</f>
        <v>5</v>
      </c>
      <c r="R201" s="31" t="n">
        <f aca="false">ROUND((P201+Q201)*Assumptions!$B$8,1)</f>
        <v>1</v>
      </c>
      <c r="S201" s="31" t="n">
        <f aca="false">IF($O201="Y",ROUND(Q201*Assumptions!$B$9,1),0)</f>
        <v>2</v>
      </c>
      <c r="T201" s="31" t="n">
        <f aca="false">ROUND((P201+Q201)*Assumptions!$B$10,1)</f>
        <v>2.8</v>
      </c>
      <c r="U201" s="9" t="n">
        <f aca="false">SUM(P201:T201)</f>
        <v>13.8</v>
      </c>
      <c r="V201" s="34" t="s">
        <v>320</v>
      </c>
      <c r="W201" s="28"/>
    </row>
    <row r="202" customFormat="false" ht="15" hidden="false" customHeight="false" outlineLevel="0" collapsed="false">
      <c r="A202" s="7" t="s">
        <v>1529</v>
      </c>
      <c r="B202" s="14" t="s">
        <v>1457</v>
      </c>
      <c r="C202" s="6" t="s">
        <v>1458</v>
      </c>
      <c r="D202" s="6" t="s">
        <v>1530</v>
      </c>
      <c r="E202" s="6" t="s">
        <v>1531</v>
      </c>
      <c r="F202" s="28" t="s">
        <v>1497</v>
      </c>
      <c r="G202" s="29" t="s">
        <v>143</v>
      </c>
      <c r="H202" s="37" t="s">
        <v>962</v>
      </c>
      <c r="I202" s="28" t="s">
        <v>1532</v>
      </c>
      <c r="J202" s="28" t="s">
        <v>1533</v>
      </c>
      <c r="K202" s="28" t="s">
        <v>1534</v>
      </c>
      <c r="L202" s="6" t="s">
        <v>1535</v>
      </c>
      <c r="M202" s="22" t="s">
        <v>69</v>
      </c>
      <c r="N202" s="22" t="s">
        <v>71</v>
      </c>
      <c r="O202" s="22" t="s">
        <v>149</v>
      </c>
      <c r="P202" s="31" t="n">
        <f aca="false">IFERROR(VLOOKUP($M202,Assumptions!$A$15:$B$20,2,FALSE()),0)</f>
        <v>1</v>
      </c>
      <c r="Q202" s="31" t="n">
        <f aca="false">IFERROR(VLOOKUP($N202,Assumptions!$A$15:$B$20,2,FALSE()),0)</f>
        <v>3</v>
      </c>
      <c r="R202" s="31" t="n">
        <f aca="false">ROUND((P202+Q202)*Assumptions!$B$8,1)</f>
        <v>0.5</v>
      </c>
      <c r="S202" s="31" t="n">
        <f aca="false">IF($O202="Y",ROUND(Q202*Assumptions!$B$9,1),0)</f>
        <v>0</v>
      </c>
      <c r="T202" s="31" t="n">
        <f aca="false">ROUND((P202+Q202)*Assumptions!$B$10,1)</f>
        <v>1.4</v>
      </c>
      <c r="U202" s="9" t="n">
        <f aca="false">SUM(P202:T202)</f>
        <v>5.9</v>
      </c>
      <c r="V202" s="34" t="s">
        <v>320</v>
      </c>
      <c r="W202" s="28"/>
    </row>
    <row r="203" customFormat="false" ht="15" hidden="false" customHeight="false" outlineLevel="0" collapsed="false">
      <c r="A203" s="7" t="s">
        <v>1536</v>
      </c>
      <c r="B203" s="14" t="s">
        <v>1457</v>
      </c>
      <c r="C203" s="6" t="s">
        <v>1458</v>
      </c>
      <c r="D203" s="6" t="s">
        <v>1537</v>
      </c>
      <c r="E203" s="6" t="s">
        <v>1538</v>
      </c>
      <c r="F203" s="28" t="s">
        <v>1475</v>
      </c>
      <c r="G203" s="29" t="s">
        <v>143</v>
      </c>
      <c r="H203" s="37" t="s">
        <v>962</v>
      </c>
      <c r="I203" s="28" t="s">
        <v>1539</v>
      </c>
      <c r="J203" s="28" t="s">
        <v>1540</v>
      </c>
      <c r="K203" s="28" t="s">
        <v>1541</v>
      </c>
      <c r="L203" s="6" t="s">
        <v>241</v>
      </c>
      <c r="M203" s="22" t="s">
        <v>71</v>
      </c>
      <c r="N203" s="22" t="s">
        <v>69</v>
      </c>
      <c r="O203" s="22" t="s">
        <v>149</v>
      </c>
      <c r="P203" s="31" t="n">
        <f aca="false">IFERROR(VLOOKUP($M203,Assumptions!$A$15:$B$20,2,FALSE()),0)</f>
        <v>3</v>
      </c>
      <c r="Q203" s="31" t="n">
        <f aca="false">IFERROR(VLOOKUP($N203,Assumptions!$A$15:$B$20,2,FALSE()),0)</f>
        <v>1</v>
      </c>
      <c r="R203" s="31" t="n">
        <f aca="false">ROUND((P203+Q203)*Assumptions!$B$8,1)</f>
        <v>0.5</v>
      </c>
      <c r="S203" s="31" t="n">
        <f aca="false">IF($O203="Y",ROUND(Q203*Assumptions!$B$9,1),0)</f>
        <v>0</v>
      </c>
      <c r="T203" s="31" t="n">
        <f aca="false">ROUND((P203+Q203)*Assumptions!$B$10,1)</f>
        <v>1.4</v>
      </c>
      <c r="U203" s="9" t="n">
        <f aca="false">SUM(P203:T203)</f>
        <v>5.9</v>
      </c>
      <c r="V203" s="34" t="s">
        <v>320</v>
      </c>
      <c r="W203" s="28"/>
    </row>
    <row r="204" customFormat="false" ht="15" hidden="false" customHeight="false" outlineLevel="0" collapsed="false">
      <c r="A204" s="7" t="s">
        <v>1542</v>
      </c>
      <c r="B204" s="14" t="s">
        <v>1457</v>
      </c>
      <c r="C204" s="6" t="s">
        <v>1458</v>
      </c>
      <c r="D204" s="6" t="s">
        <v>1543</v>
      </c>
      <c r="E204" s="6" t="s">
        <v>1544</v>
      </c>
      <c r="F204" s="28" t="s">
        <v>1497</v>
      </c>
      <c r="G204" s="32" t="s">
        <v>265</v>
      </c>
      <c r="H204" s="32" t="s">
        <v>272</v>
      </c>
      <c r="I204" s="28" t="s">
        <v>1545</v>
      </c>
      <c r="J204" s="28" t="s">
        <v>1546</v>
      </c>
      <c r="K204" s="28" t="s">
        <v>1547</v>
      </c>
      <c r="L204" s="6" t="s">
        <v>1548</v>
      </c>
      <c r="M204" s="22" t="s">
        <v>71</v>
      </c>
      <c r="N204" s="22" t="s">
        <v>69</v>
      </c>
      <c r="O204" s="22" t="s">
        <v>149</v>
      </c>
      <c r="P204" s="31" t="n">
        <f aca="false">IFERROR(VLOOKUP($M204,Assumptions!$A$15:$B$20,2,FALSE()),0)</f>
        <v>3</v>
      </c>
      <c r="Q204" s="31" t="n">
        <f aca="false">IFERROR(VLOOKUP($N204,Assumptions!$A$15:$B$20,2,FALSE()),0)</f>
        <v>1</v>
      </c>
      <c r="R204" s="31" t="n">
        <f aca="false">ROUND((P204+Q204)*Assumptions!$B$8,1)</f>
        <v>0.5</v>
      </c>
      <c r="S204" s="31" t="n">
        <f aca="false">IF($O204="Y",ROUND(Q204*Assumptions!$B$9,1),0)</f>
        <v>0</v>
      </c>
      <c r="T204" s="31" t="n">
        <f aca="false">ROUND((P204+Q204)*Assumptions!$B$10,1)</f>
        <v>1.4</v>
      </c>
      <c r="U204" s="9" t="n">
        <f aca="false">SUM(P204:T204)</f>
        <v>5.9</v>
      </c>
      <c r="V204" s="34" t="s">
        <v>320</v>
      </c>
      <c r="W204" s="28"/>
    </row>
    <row r="205" customFormat="false" ht="15" hidden="false" customHeight="false" outlineLevel="0" collapsed="false">
      <c r="A205" s="7" t="s">
        <v>1549</v>
      </c>
      <c r="B205" s="14" t="s">
        <v>1457</v>
      </c>
      <c r="C205" s="6" t="s">
        <v>1458</v>
      </c>
      <c r="D205" s="6" t="s">
        <v>1550</v>
      </c>
      <c r="E205" s="6" t="s">
        <v>1551</v>
      </c>
      <c r="F205" s="28" t="s">
        <v>1468</v>
      </c>
      <c r="G205" s="32" t="s">
        <v>265</v>
      </c>
      <c r="H205" s="32" t="s">
        <v>272</v>
      </c>
      <c r="I205" s="28" t="s">
        <v>1552</v>
      </c>
      <c r="J205" s="28" t="s">
        <v>1553</v>
      </c>
      <c r="K205" s="28" t="s">
        <v>1554</v>
      </c>
      <c r="L205" s="6" t="s">
        <v>1472</v>
      </c>
      <c r="M205" s="22" t="s">
        <v>71</v>
      </c>
      <c r="N205" s="22" t="s">
        <v>71</v>
      </c>
      <c r="O205" s="22" t="s">
        <v>149</v>
      </c>
      <c r="P205" s="31" t="n">
        <f aca="false">IFERROR(VLOOKUP($M205,Assumptions!$A$15:$B$20,2,FALSE()),0)</f>
        <v>3</v>
      </c>
      <c r="Q205" s="31" t="n">
        <f aca="false">IFERROR(VLOOKUP($N205,Assumptions!$A$15:$B$20,2,FALSE()),0)</f>
        <v>3</v>
      </c>
      <c r="R205" s="31" t="n">
        <f aca="false">ROUND((P205+Q205)*Assumptions!$B$8,1)</f>
        <v>0.7</v>
      </c>
      <c r="S205" s="31" t="n">
        <f aca="false">IF($O205="Y",ROUND(Q205*Assumptions!$B$9,1),0)</f>
        <v>0</v>
      </c>
      <c r="T205" s="31" t="n">
        <f aca="false">ROUND((P205+Q205)*Assumptions!$B$10,1)</f>
        <v>2.1</v>
      </c>
      <c r="U205" s="9" t="n">
        <f aca="false">SUM(P205:T205)</f>
        <v>8.8</v>
      </c>
      <c r="V205" s="35" t="s">
        <v>386</v>
      </c>
      <c r="W205" s="28"/>
    </row>
    <row r="206" customFormat="false" ht="23.85" hidden="false" customHeight="false" outlineLevel="0" collapsed="false">
      <c r="A206" s="7" t="s">
        <v>1555</v>
      </c>
      <c r="B206" s="14" t="s">
        <v>1457</v>
      </c>
      <c r="C206" s="6" t="s">
        <v>1458</v>
      </c>
      <c r="D206" s="6" t="s">
        <v>1556</v>
      </c>
      <c r="E206" s="6" t="s">
        <v>1557</v>
      </c>
      <c r="F206" s="28" t="s">
        <v>1558</v>
      </c>
      <c r="G206" s="32" t="s">
        <v>265</v>
      </c>
      <c r="H206" s="32" t="s">
        <v>272</v>
      </c>
      <c r="I206" s="28" t="s">
        <v>1559</v>
      </c>
      <c r="J206" s="28" t="s">
        <v>1560</v>
      </c>
      <c r="K206" s="28" t="s">
        <v>1561</v>
      </c>
      <c r="L206" s="6" t="s">
        <v>210</v>
      </c>
      <c r="M206" s="22" t="s">
        <v>71</v>
      </c>
      <c r="N206" s="22" t="s">
        <v>69</v>
      </c>
      <c r="O206" s="22" t="s">
        <v>149</v>
      </c>
      <c r="P206" s="31" t="n">
        <f aca="false">IFERROR(VLOOKUP($M206,Assumptions!$A$15:$B$20,2,FALSE()),0)</f>
        <v>3</v>
      </c>
      <c r="Q206" s="31" t="n">
        <f aca="false">IFERROR(VLOOKUP($N206,Assumptions!$A$15:$B$20,2,FALSE()),0)</f>
        <v>1</v>
      </c>
      <c r="R206" s="31" t="n">
        <f aca="false">ROUND((P206+Q206)*Assumptions!$B$8,1)</f>
        <v>0.5</v>
      </c>
      <c r="S206" s="31" t="n">
        <f aca="false">IF($O206="Y",ROUND(Q206*Assumptions!$B$9,1),0)</f>
        <v>0</v>
      </c>
      <c r="T206" s="31" t="n">
        <f aca="false">ROUND((P206+Q206)*Assumptions!$B$10,1)</f>
        <v>1.4</v>
      </c>
      <c r="U206" s="9" t="n">
        <f aca="false">SUM(P206:T206)</f>
        <v>5.9</v>
      </c>
      <c r="V206" s="34" t="s">
        <v>320</v>
      </c>
      <c r="W206" s="28"/>
    </row>
    <row r="207" customFormat="false" ht="23.85" hidden="false" customHeight="false" outlineLevel="0" collapsed="false">
      <c r="A207" s="7" t="s">
        <v>1562</v>
      </c>
      <c r="B207" s="14" t="s">
        <v>1457</v>
      </c>
      <c r="C207" s="6" t="s">
        <v>1458</v>
      </c>
      <c r="D207" s="6" t="s">
        <v>1563</v>
      </c>
      <c r="E207" s="6" t="s">
        <v>1564</v>
      </c>
      <c r="F207" s="28" t="s">
        <v>1565</v>
      </c>
      <c r="G207" s="32" t="s">
        <v>265</v>
      </c>
      <c r="H207" s="32" t="s">
        <v>272</v>
      </c>
      <c r="I207" s="28" t="s">
        <v>1566</v>
      </c>
      <c r="J207" s="28" t="s">
        <v>1567</v>
      </c>
      <c r="K207" s="28" t="s">
        <v>1568</v>
      </c>
      <c r="L207" s="6" t="s">
        <v>1472</v>
      </c>
      <c r="M207" s="22" t="s">
        <v>71</v>
      </c>
      <c r="N207" s="22" t="s">
        <v>71</v>
      </c>
      <c r="O207" s="22" t="s">
        <v>149</v>
      </c>
      <c r="P207" s="31" t="n">
        <f aca="false">IFERROR(VLOOKUP($M207,Assumptions!$A$15:$B$20,2,FALSE()),0)</f>
        <v>3</v>
      </c>
      <c r="Q207" s="31" t="n">
        <f aca="false">IFERROR(VLOOKUP($N207,Assumptions!$A$15:$B$20,2,FALSE()),0)</f>
        <v>3</v>
      </c>
      <c r="R207" s="31" t="n">
        <f aca="false">ROUND((P207+Q207)*Assumptions!$B$8,1)</f>
        <v>0.7</v>
      </c>
      <c r="S207" s="31" t="n">
        <f aca="false">IF($O207="Y",ROUND(Q207*Assumptions!$B$9,1),0)</f>
        <v>0</v>
      </c>
      <c r="T207" s="31" t="n">
        <f aca="false">ROUND((P207+Q207)*Assumptions!$B$10,1)</f>
        <v>2.1</v>
      </c>
      <c r="U207" s="9" t="n">
        <f aca="false">SUM(P207:T207)</f>
        <v>8.8</v>
      </c>
      <c r="V207" s="34" t="s">
        <v>320</v>
      </c>
      <c r="W207" s="28"/>
    </row>
    <row r="208" customFormat="false" ht="23.85" hidden="false" customHeight="false" outlineLevel="0" collapsed="false">
      <c r="A208" s="7" t="s">
        <v>1569</v>
      </c>
      <c r="B208" s="14" t="s">
        <v>1457</v>
      </c>
      <c r="C208" s="6" t="s">
        <v>1458</v>
      </c>
      <c r="D208" s="6" t="s">
        <v>1570</v>
      </c>
      <c r="E208" s="6" t="s">
        <v>1571</v>
      </c>
      <c r="F208" s="28" t="s">
        <v>1572</v>
      </c>
      <c r="G208" s="33" t="s">
        <v>286</v>
      </c>
      <c r="H208" s="33" t="s">
        <v>287</v>
      </c>
      <c r="I208" s="28" t="s">
        <v>1573</v>
      </c>
      <c r="J208" s="28" t="s">
        <v>1574</v>
      </c>
      <c r="K208" s="28" t="s">
        <v>1575</v>
      </c>
      <c r="L208" s="6" t="s">
        <v>1576</v>
      </c>
      <c r="M208" s="22" t="s">
        <v>71</v>
      </c>
      <c r="N208" s="22" t="s">
        <v>71</v>
      </c>
      <c r="O208" s="22" t="s">
        <v>149</v>
      </c>
      <c r="P208" s="31" t="n">
        <f aca="false">IFERROR(VLOOKUP($M208,Assumptions!$A$15:$B$20,2,FALSE()),0)</f>
        <v>3</v>
      </c>
      <c r="Q208" s="31" t="n">
        <f aca="false">IFERROR(VLOOKUP($N208,Assumptions!$A$15:$B$20,2,FALSE()),0)</f>
        <v>3</v>
      </c>
      <c r="R208" s="31" t="n">
        <f aca="false">ROUND((P208+Q208)*Assumptions!$B$8,1)</f>
        <v>0.7</v>
      </c>
      <c r="S208" s="31" t="n">
        <f aca="false">IF($O208="Y",ROUND(Q208*Assumptions!$B$9,1),0)</f>
        <v>0</v>
      </c>
      <c r="T208" s="31" t="n">
        <f aca="false">ROUND((P208+Q208)*Assumptions!$B$10,1)</f>
        <v>2.1</v>
      </c>
      <c r="U208" s="9" t="n">
        <f aca="false">SUM(P208:T208)</f>
        <v>8.8</v>
      </c>
      <c r="V208" s="34" t="s">
        <v>320</v>
      </c>
      <c r="W208" s="28"/>
    </row>
    <row r="209" customFormat="false" ht="23.85" hidden="false" customHeight="false" outlineLevel="0" collapsed="false">
      <c r="A209" s="7" t="s">
        <v>1577</v>
      </c>
      <c r="B209" s="14" t="s">
        <v>1457</v>
      </c>
      <c r="C209" s="6" t="s">
        <v>1458</v>
      </c>
      <c r="D209" s="6" t="s">
        <v>1578</v>
      </c>
      <c r="E209" s="6" t="s">
        <v>1579</v>
      </c>
      <c r="F209" s="28" t="s">
        <v>1572</v>
      </c>
      <c r="G209" s="33" t="s">
        <v>286</v>
      </c>
      <c r="H209" s="33" t="s">
        <v>287</v>
      </c>
      <c r="I209" s="28" t="s">
        <v>1580</v>
      </c>
      <c r="J209" s="28" t="s">
        <v>1581</v>
      </c>
      <c r="K209" s="28" t="s">
        <v>1582</v>
      </c>
      <c r="L209" s="6" t="s">
        <v>284</v>
      </c>
      <c r="M209" s="22" t="s">
        <v>73</v>
      </c>
      <c r="N209" s="22" t="s">
        <v>71</v>
      </c>
      <c r="O209" s="22" t="s">
        <v>149</v>
      </c>
      <c r="P209" s="31" t="n">
        <f aca="false">IFERROR(VLOOKUP($M209,Assumptions!$A$15:$B$20,2,FALSE()),0)</f>
        <v>5</v>
      </c>
      <c r="Q209" s="31" t="n">
        <f aca="false">IFERROR(VLOOKUP($N209,Assumptions!$A$15:$B$20,2,FALSE()),0)</f>
        <v>3</v>
      </c>
      <c r="R209" s="31" t="n">
        <f aca="false">ROUND((P209+Q209)*Assumptions!$B$8,1)</f>
        <v>1</v>
      </c>
      <c r="S209" s="31" t="n">
        <f aca="false">IF($O209="Y",ROUND(Q209*Assumptions!$B$9,1),0)</f>
        <v>0</v>
      </c>
      <c r="T209" s="31" t="n">
        <f aca="false">ROUND((P209+Q209)*Assumptions!$B$10,1)</f>
        <v>2.8</v>
      </c>
      <c r="U209" s="9" t="n">
        <f aca="false">SUM(P209:T209)</f>
        <v>11.8</v>
      </c>
      <c r="V209" s="34" t="s">
        <v>320</v>
      </c>
      <c r="W209" s="28"/>
    </row>
    <row r="210" customFormat="false" ht="32.8" hidden="false" customHeight="false" outlineLevel="0" collapsed="false">
      <c r="A210" s="7" t="s">
        <v>1583</v>
      </c>
      <c r="B210" s="14" t="s">
        <v>1584</v>
      </c>
      <c r="C210" s="6" t="s">
        <v>1585</v>
      </c>
      <c r="D210" s="6" t="s">
        <v>1586</v>
      </c>
      <c r="E210" s="6" t="s">
        <v>1587</v>
      </c>
      <c r="F210" s="28" t="s">
        <v>1588</v>
      </c>
      <c r="G210" s="29" t="s">
        <v>143</v>
      </c>
      <c r="H210" s="37" t="s">
        <v>962</v>
      </c>
      <c r="I210" s="28" t="s">
        <v>1589</v>
      </c>
      <c r="J210" s="28" t="s">
        <v>1590</v>
      </c>
      <c r="K210" s="28" t="s">
        <v>1591</v>
      </c>
      <c r="L210" s="6" t="s">
        <v>1592</v>
      </c>
      <c r="M210" s="22" t="s">
        <v>73</v>
      </c>
      <c r="N210" s="22" t="s">
        <v>71</v>
      </c>
      <c r="O210" s="22" t="s">
        <v>149</v>
      </c>
      <c r="P210" s="31" t="n">
        <f aca="false">IFERROR(VLOOKUP($M210,Assumptions!$A$15:$B$20,2,FALSE()),0)</f>
        <v>5</v>
      </c>
      <c r="Q210" s="31" t="n">
        <f aca="false">IFERROR(VLOOKUP($N210,Assumptions!$A$15:$B$20,2,FALSE()),0)</f>
        <v>3</v>
      </c>
      <c r="R210" s="31" t="n">
        <f aca="false">ROUND((P210+Q210)*Assumptions!$B$8,1)</f>
        <v>1</v>
      </c>
      <c r="S210" s="31" t="n">
        <f aca="false">IF($O210="Y",ROUND(Q210*Assumptions!$B$9,1),0)</f>
        <v>0</v>
      </c>
      <c r="T210" s="31" t="n">
        <f aca="false">ROUND((P210+Q210)*Assumptions!$B$10,1)</f>
        <v>2.8</v>
      </c>
      <c r="U210" s="9" t="n">
        <f aca="false">SUM(P210:T210)</f>
        <v>11.8</v>
      </c>
      <c r="V210" s="34" t="s">
        <v>320</v>
      </c>
      <c r="W210" s="28"/>
    </row>
    <row r="211" customFormat="false" ht="32.8" hidden="false" customHeight="false" outlineLevel="0" collapsed="false">
      <c r="A211" s="7" t="s">
        <v>1501</v>
      </c>
      <c r="B211" s="14" t="s">
        <v>1584</v>
      </c>
      <c r="C211" s="6" t="s">
        <v>1585</v>
      </c>
      <c r="D211" s="6" t="s">
        <v>1593</v>
      </c>
      <c r="E211" s="6" t="s">
        <v>1594</v>
      </c>
      <c r="F211" s="28" t="s">
        <v>1595</v>
      </c>
      <c r="G211" s="29" t="s">
        <v>143</v>
      </c>
      <c r="H211" s="37" t="s">
        <v>962</v>
      </c>
      <c r="I211" s="28" t="s">
        <v>1596</v>
      </c>
      <c r="J211" s="28" t="s">
        <v>1597</v>
      </c>
      <c r="K211" s="28" t="s">
        <v>1598</v>
      </c>
      <c r="L211" s="6" t="s">
        <v>137</v>
      </c>
      <c r="M211" s="22" t="s">
        <v>73</v>
      </c>
      <c r="N211" s="22" t="s">
        <v>73</v>
      </c>
      <c r="O211" s="22" t="s">
        <v>169</v>
      </c>
      <c r="P211" s="31" t="n">
        <f aca="false">IFERROR(VLOOKUP($M211,Assumptions!$A$15:$B$20,2,FALSE()),0)</f>
        <v>5</v>
      </c>
      <c r="Q211" s="31" t="n">
        <f aca="false">IFERROR(VLOOKUP($N211,Assumptions!$A$15:$B$20,2,FALSE()),0)</f>
        <v>5</v>
      </c>
      <c r="R211" s="31" t="n">
        <f aca="false">ROUND((P211+Q211)*Assumptions!$B$8,1)</f>
        <v>1.2</v>
      </c>
      <c r="S211" s="31" t="n">
        <f aca="false">IF($O211="Y",ROUND(Q211*Assumptions!$B$9,1),0)</f>
        <v>2</v>
      </c>
      <c r="T211" s="31" t="n">
        <f aca="false">ROUND((P211+Q211)*Assumptions!$B$10,1)</f>
        <v>3.5</v>
      </c>
      <c r="U211" s="9" t="n">
        <f aca="false">SUM(P211:T211)</f>
        <v>16.7</v>
      </c>
      <c r="V211" s="34" t="s">
        <v>320</v>
      </c>
      <c r="W211" s="28"/>
    </row>
    <row r="212" customFormat="false" ht="23.85" hidden="false" customHeight="false" outlineLevel="0" collapsed="false">
      <c r="A212" s="7" t="s">
        <v>1599</v>
      </c>
      <c r="B212" s="14" t="s">
        <v>1584</v>
      </c>
      <c r="C212" s="6" t="s">
        <v>1585</v>
      </c>
      <c r="D212" s="6" t="s">
        <v>1600</v>
      </c>
      <c r="E212" s="6" t="s">
        <v>1601</v>
      </c>
      <c r="F212" s="28" t="s">
        <v>1602</v>
      </c>
      <c r="G212" s="29" t="s">
        <v>143</v>
      </c>
      <c r="H212" s="37" t="s">
        <v>962</v>
      </c>
      <c r="I212" s="28" t="s">
        <v>1603</v>
      </c>
      <c r="J212" s="28" t="s">
        <v>1604</v>
      </c>
      <c r="K212" s="28" t="s">
        <v>1605</v>
      </c>
      <c r="L212" s="6" t="s">
        <v>1456</v>
      </c>
      <c r="M212" s="22" t="s">
        <v>71</v>
      </c>
      <c r="N212" s="22" t="s">
        <v>69</v>
      </c>
      <c r="O212" s="22" t="s">
        <v>149</v>
      </c>
      <c r="P212" s="31" t="n">
        <f aca="false">IFERROR(VLOOKUP($M212,Assumptions!$A$15:$B$20,2,FALSE()),0)</f>
        <v>3</v>
      </c>
      <c r="Q212" s="31" t="n">
        <f aca="false">IFERROR(VLOOKUP($N212,Assumptions!$A$15:$B$20,2,FALSE()),0)</f>
        <v>1</v>
      </c>
      <c r="R212" s="31" t="n">
        <f aca="false">ROUND((P212+Q212)*Assumptions!$B$8,1)</f>
        <v>0.5</v>
      </c>
      <c r="S212" s="31" t="n">
        <f aca="false">IF($O212="Y",ROUND(Q212*Assumptions!$B$9,1),0)</f>
        <v>0</v>
      </c>
      <c r="T212" s="31" t="n">
        <f aca="false">ROUND((P212+Q212)*Assumptions!$B$10,1)</f>
        <v>1.4</v>
      </c>
      <c r="U212" s="9" t="n">
        <f aca="false">SUM(P212:T212)</f>
        <v>5.9</v>
      </c>
      <c r="V212" s="34" t="s">
        <v>320</v>
      </c>
      <c r="W212" s="28"/>
    </row>
    <row r="213" customFormat="false" ht="32.8" hidden="false" customHeight="false" outlineLevel="0" collapsed="false">
      <c r="A213" s="7" t="s">
        <v>1606</v>
      </c>
      <c r="B213" s="14" t="s">
        <v>1584</v>
      </c>
      <c r="C213" s="6" t="s">
        <v>1585</v>
      </c>
      <c r="D213" s="6" t="s">
        <v>1607</v>
      </c>
      <c r="E213" s="6" t="s">
        <v>1608</v>
      </c>
      <c r="F213" s="28" t="s">
        <v>1609</v>
      </c>
      <c r="G213" s="29" t="s">
        <v>143</v>
      </c>
      <c r="H213" s="37" t="s">
        <v>962</v>
      </c>
      <c r="I213" s="28" t="s">
        <v>1610</v>
      </c>
      <c r="J213" s="28" t="s">
        <v>1611</v>
      </c>
      <c r="K213" s="28" t="s">
        <v>1612</v>
      </c>
      <c r="L213" s="6" t="s">
        <v>1613</v>
      </c>
      <c r="M213" s="22" t="s">
        <v>73</v>
      </c>
      <c r="N213" s="22" t="s">
        <v>73</v>
      </c>
      <c r="O213" s="22" t="s">
        <v>169</v>
      </c>
      <c r="P213" s="31" t="n">
        <f aca="false">IFERROR(VLOOKUP($M213,Assumptions!$A$15:$B$20,2,FALSE()),0)</f>
        <v>5</v>
      </c>
      <c r="Q213" s="31" t="n">
        <f aca="false">IFERROR(VLOOKUP($N213,Assumptions!$A$15:$B$20,2,FALSE()),0)</f>
        <v>5</v>
      </c>
      <c r="R213" s="31" t="n">
        <f aca="false">ROUND((P213+Q213)*Assumptions!$B$8,1)</f>
        <v>1.2</v>
      </c>
      <c r="S213" s="31" t="n">
        <f aca="false">IF($O213="Y",ROUND(Q213*Assumptions!$B$9,1),0)</f>
        <v>2</v>
      </c>
      <c r="T213" s="31" t="n">
        <f aca="false">ROUND((P213+Q213)*Assumptions!$B$10,1)</f>
        <v>3.5</v>
      </c>
      <c r="U213" s="9" t="n">
        <f aca="false">SUM(P213:T213)</f>
        <v>16.7</v>
      </c>
      <c r="V213" s="35" t="s">
        <v>386</v>
      </c>
      <c r="W213" s="28" t="s">
        <v>1614</v>
      </c>
    </row>
    <row r="214" customFormat="false" ht="23.85" hidden="false" customHeight="false" outlineLevel="0" collapsed="false">
      <c r="A214" s="7" t="s">
        <v>1615</v>
      </c>
      <c r="B214" s="14" t="s">
        <v>1584</v>
      </c>
      <c r="C214" s="6" t="s">
        <v>1585</v>
      </c>
      <c r="D214" s="6" t="s">
        <v>1616</v>
      </c>
      <c r="E214" s="6" t="s">
        <v>1617</v>
      </c>
      <c r="F214" s="28" t="s">
        <v>1618</v>
      </c>
      <c r="G214" s="29" t="s">
        <v>143</v>
      </c>
      <c r="H214" s="37" t="s">
        <v>962</v>
      </c>
      <c r="I214" s="28" t="s">
        <v>1619</v>
      </c>
      <c r="J214" s="28" t="s">
        <v>1620</v>
      </c>
      <c r="K214" s="28" t="s">
        <v>1621</v>
      </c>
      <c r="L214" s="6" t="s">
        <v>1501</v>
      </c>
      <c r="M214" s="22" t="s">
        <v>71</v>
      </c>
      <c r="N214" s="22" t="s">
        <v>71</v>
      </c>
      <c r="O214" s="22" t="s">
        <v>149</v>
      </c>
      <c r="P214" s="31" t="n">
        <f aca="false">IFERROR(VLOOKUP($M214,Assumptions!$A$15:$B$20,2,FALSE()),0)</f>
        <v>3</v>
      </c>
      <c r="Q214" s="31" t="n">
        <f aca="false">IFERROR(VLOOKUP($N214,Assumptions!$A$15:$B$20,2,FALSE()),0)</f>
        <v>3</v>
      </c>
      <c r="R214" s="31" t="n">
        <f aca="false">ROUND((P214+Q214)*Assumptions!$B$8,1)</f>
        <v>0.7</v>
      </c>
      <c r="S214" s="31" t="n">
        <f aca="false">IF($O214="Y",ROUND(Q214*Assumptions!$B$9,1),0)</f>
        <v>0</v>
      </c>
      <c r="T214" s="31" t="n">
        <f aca="false">ROUND((P214+Q214)*Assumptions!$B$10,1)</f>
        <v>2.1</v>
      </c>
      <c r="U214" s="9" t="n">
        <f aca="false">SUM(P214:T214)</f>
        <v>8.8</v>
      </c>
      <c r="V214" s="34" t="s">
        <v>320</v>
      </c>
      <c r="W214" s="28"/>
    </row>
    <row r="215" customFormat="false" ht="23.85" hidden="false" customHeight="false" outlineLevel="0" collapsed="false">
      <c r="A215" s="7" t="s">
        <v>1622</v>
      </c>
      <c r="B215" s="14" t="s">
        <v>1584</v>
      </c>
      <c r="C215" s="6" t="s">
        <v>1585</v>
      </c>
      <c r="D215" s="6" t="s">
        <v>1623</v>
      </c>
      <c r="E215" s="6" t="s">
        <v>1624</v>
      </c>
      <c r="F215" s="28" t="s">
        <v>1595</v>
      </c>
      <c r="G215" s="29" t="s">
        <v>143</v>
      </c>
      <c r="H215" s="37" t="s">
        <v>962</v>
      </c>
      <c r="I215" s="28" t="s">
        <v>1625</v>
      </c>
      <c r="J215" s="28" t="s">
        <v>1626</v>
      </c>
      <c r="K215" s="28" t="s">
        <v>1627</v>
      </c>
      <c r="L215" s="6" t="s">
        <v>170</v>
      </c>
      <c r="M215" s="22" t="s">
        <v>71</v>
      </c>
      <c r="N215" s="22" t="s">
        <v>71</v>
      </c>
      <c r="O215" s="22" t="s">
        <v>149</v>
      </c>
      <c r="P215" s="31" t="n">
        <f aca="false">IFERROR(VLOOKUP($M215,Assumptions!$A$15:$B$20,2,FALSE()),0)</f>
        <v>3</v>
      </c>
      <c r="Q215" s="31" t="n">
        <f aca="false">IFERROR(VLOOKUP($N215,Assumptions!$A$15:$B$20,2,FALSE()),0)</f>
        <v>3</v>
      </c>
      <c r="R215" s="31" t="n">
        <f aca="false">ROUND((P215+Q215)*Assumptions!$B$8,1)</f>
        <v>0.7</v>
      </c>
      <c r="S215" s="31" t="n">
        <f aca="false">IF($O215="Y",ROUND(Q215*Assumptions!$B$9,1),0)</f>
        <v>0</v>
      </c>
      <c r="T215" s="31" t="n">
        <f aca="false">ROUND((P215+Q215)*Assumptions!$B$10,1)</f>
        <v>2.1</v>
      </c>
      <c r="U215" s="9" t="n">
        <f aca="false">SUM(P215:T215)</f>
        <v>8.8</v>
      </c>
      <c r="V215" s="34" t="s">
        <v>320</v>
      </c>
      <c r="W215" s="28"/>
    </row>
    <row r="216" customFormat="false" ht="23.85" hidden="false" customHeight="false" outlineLevel="0" collapsed="false">
      <c r="A216" s="7" t="s">
        <v>1628</v>
      </c>
      <c r="B216" s="14" t="s">
        <v>1584</v>
      </c>
      <c r="C216" s="6" t="s">
        <v>1585</v>
      </c>
      <c r="D216" s="6" t="s">
        <v>1629</v>
      </c>
      <c r="E216" s="6" t="s">
        <v>1630</v>
      </c>
      <c r="F216" s="28" t="s">
        <v>1595</v>
      </c>
      <c r="G216" s="32" t="s">
        <v>265</v>
      </c>
      <c r="H216" s="32" t="s">
        <v>272</v>
      </c>
      <c r="I216" s="28" t="s">
        <v>1631</v>
      </c>
      <c r="J216" s="28" t="s">
        <v>1632</v>
      </c>
      <c r="K216" s="28" t="s">
        <v>1633</v>
      </c>
      <c r="L216" s="6" t="s">
        <v>178</v>
      </c>
      <c r="M216" s="22" t="s">
        <v>71</v>
      </c>
      <c r="N216" s="22" t="s">
        <v>71</v>
      </c>
      <c r="O216" s="22" t="s">
        <v>149</v>
      </c>
      <c r="P216" s="31" t="n">
        <f aca="false">IFERROR(VLOOKUP($M216,Assumptions!$A$15:$B$20,2,FALSE()),0)</f>
        <v>3</v>
      </c>
      <c r="Q216" s="31" t="n">
        <f aca="false">IFERROR(VLOOKUP($N216,Assumptions!$A$15:$B$20,2,FALSE()),0)</f>
        <v>3</v>
      </c>
      <c r="R216" s="31" t="n">
        <f aca="false">ROUND((P216+Q216)*Assumptions!$B$8,1)</f>
        <v>0.7</v>
      </c>
      <c r="S216" s="31" t="n">
        <f aca="false">IF($O216="Y",ROUND(Q216*Assumptions!$B$9,1),0)</f>
        <v>0</v>
      </c>
      <c r="T216" s="31" t="n">
        <f aca="false">ROUND((P216+Q216)*Assumptions!$B$10,1)</f>
        <v>2.1</v>
      </c>
      <c r="U216" s="9" t="n">
        <f aca="false">SUM(P216:T216)</f>
        <v>8.8</v>
      </c>
      <c r="V216" s="35" t="s">
        <v>386</v>
      </c>
      <c r="W216" s="28"/>
    </row>
    <row r="217" customFormat="false" ht="23.85" hidden="false" customHeight="false" outlineLevel="0" collapsed="false">
      <c r="A217" s="7" t="s">
        <v>1634</v>
      </c>
      <c r="B217" s="14" t="s">
        <v>1584</v>
      </c>
      <c r="C217" s="6" t="s">
        <v>1585</v>
      </c>
      <c r="D217" s="6" t="s">
        <v>1635</v>
      </c>
      <c r="E217" s="6" t="s">
        <v>1636</v>
      </c>
      <c r="F217" s="28" t="s">
        <v>1595</v>
      </c>
      <c r="G217" s="32" t="s">
        <v>265</v>
      </c>
      <c r="H217" s="32" t="s">
        <v>272</v>
      </c>
      <c r="I217" s="28" t="s">
        <v>1637</v>
      </c>
      <c r="J217" s="28" t="s">
        <v>1638</v>
      </c>
      <c r="K217" s="28" t="s">
        <v>1639</v>
      </c>
      <c r="L217" s="6" t="s">
        <v>192</v>
      </c>
      <c r="M217" s="22" t="s">
        <v>71</v>
      </c>
      <c r="N217" s="22" t="s">
        <v>71</v>
      </c>
      <c r="O217" s="22" t="s">
        <v>149</v>
      </c>
      <c r="P217" s="31" t="n">
        <f aca="false">IFERROR(VLOOKUP($M217,Assumptions!$A$15:$B$20,2,FALSE()),0)</f>
        <v>3</v>
      </c>
      <c r="Q217" s="31" t="n">
        <f aca="false">IFERROR(VLOOKUP($N217,Assumptions!$A$15:$B$20,2,FALSE()),0)</f>
        <v>3</v>
      </c>
      <c r="R217" s="31" t="n">
        <f aca="false">ROUND((P217+Q217)*Assumptions!$B$8,1)</f>
        <v>0.7</v>
      </c>
      <c r="S217" s="31" t="n">
        <f aca="false">IF($O217="Y",ROUND(Q217*Assumptions!$B$9,1),0)</f>
        <v>0</v>
      </c>
      <c r="T217" s="31" t="n">
        <f aca="false">ROUND((P217+Q217)*Assumptions!$B$10,1)</f>
        <v>2.1</v>
      </c>
      <c r="U217" s="9" t="n">
        <f aca="false">SUM(P217:T217)</f>
        <v>8.8</v>
      </c>
      <c r="V217" s="35" t="s">
        <v>386</v>
      </c>
      <c r="W217" s="28"/>
    </row>
    <row r="218" customFormat="false" ht="23.85" hidden="false" customHeight="false" outlineLevel="0" collapsed="false">
      <c r="A218" s="7" t="s">
        <v>1548</v>
      </c>
      <c r="B218" s="14" t="s">
        <v>1584</v>
      </c>
      <c r="C218" s="6" t="s">
        <v>1585</v>
      </c>
      <c r="D218" s="6" t="s">
        <v>1640</v>
      </c>
      <c r="E218" s="6" t="s">
        <v>1641</v>
      </c>
      <c r="F218" s="28" t="s">
        <v>1618</v>
      </c>
      <c r="G218" s="32" t="s">
        <v>265</v>
      </c>
      <c r="H218" s="32" t="s">
        <v>272</v>
      </c>
      <c r="I218" s="28" t="s">
        <v>1642</v>
      </c>
      <c r="J218" s="28" t="s">
        <v>1643</v>
      </c>
      <c r="K218" s="28" t="s">
        <v>1644</v>
      </c>
      <c r="L218" s="6" t="s">
        <v>1501</v>
      </c>
      <c r="M218" s="22" t="s">
        <v>73</v>
      </c>
      <c r="N218" s="22" t="s">
        <v>73</v>
      </c>
      <c r="O218" s="22" t="s">
        <v>169</v>
      </c>
      <c r="P218" s="31" t="n">
        <f aca="false">IFERROR(VLOOKUP($M218,Assumptions!$A$15:$B$20,2,FALSE()),0)</f>
        <v>5</v>
      </c>
      <c r="Q218" s="31" t="n">
        <f aca="false">IFERROR(VLOOKUP($N218,Assumptions!$A$15:$B$20,2,FALSE()),0)</f>
        <v>5</v>
      </c>
      <c r="R218" s="31" t="n">
        <f aca="false">ROUND((P218+Q218)*Assumptions!$B$8,1)</f>
        <v>1.2</v>
      </c>
      <c r="S218" s="31" t="n">
        <f aca="false">IF($O218="Y",ROUND(Q218*Assumptions!$B$9,1),0)</f>
        <v>2</v>
      </c>
      <c r="T218" s="31" t="n">
        <f aca="false">ROUND((P218+Q218)*Assumptions!$B$10,1)</f>
        <v>3.5</v>
      </c>
      <c r="U218" s="9" t="n">
        <f aca="false">SUM(P218:T218)</f>
        <v>16.7</v>
      </c>
      <c r="V218" s="34" t="s">
        <v>320</v>
      </c>
      <c r="W218" s="28"/>
    </row>
    <row r="219" customFormat="false" ht="23.85" hidden="false" customHeight="false" outlineLevel="0" collapsed="false">
      <c r="A219" s="7" t="s">
        <v>1645</v>
      </c>
      <c r="B219" s="14" t="s">
        <v>1584</v>
      </c>
      <c r="C219" s="6" t="s">
        <v>1585</v>
      </c>
      <c r="D219" s="6" t="s">
        <v>1646</v>
      </c>
      <c r="E219" s="6" t="s">
        <v>1647</v>
      </c>
      <c r="F219" s="28" t="s">
        <v>1595</v>
      </c>
      <c r="G219" s="32" t="s">
        <v>265</v>
      </c>
      <c r="H219" s="32" t="s">
        <v>272</v>
      </c>
      <c r="I219" s="28" t="s">
        <v>1648</v>
      </c>
      <c r="J219" s="28" t="s">
        <v>1649</v>
      </c>
      <c r="K219" s="28" t="s">
        <v>1650</v>
      </c>
      <c r="L219" s="6" t="s">
        <v>256</v>
      </c>
      <c r="M219" s="22" t="s">
        <v>71</v>
      </c>
      <c r="N219" s="22" t="s">
        <v>73</v>
      </c>
      <c r="O219" s="22" t="s">
        <v>169</v>
      </c>
      <c r="P219" s="31" t="n">
        <f aca="false">IFERROR(VLOOKUP($M219,Assumptions!$A$15:$B$20,2,FALSE()),0)</f>
        <v>3</v>
      </c>
      <c r="Q219" s="31" t="n">
        <f aca="false">IFERROR(VLOOKUP($N219,Assumptions!$A$15:$B$20,2,FALSE()),0)</f>
        <v>5</v>
      </c>
      <c r="R219" s="31" t="n">
        <f aca="false">ROUND((P219+Q219)*Assumptions!$B$8,1)</f>
        <v>1</v>
      </c>
      <c r="S219" s="31" t="n">
        <f aca="false">IF($O219="Y",ROUND(Q219*Assumptions!$B$9,1),0)</f>
        <v>2</v>
      </c>
      <c r="T219" s="31" t="n">
        <f aca="false">ROUND((P219+Q219)*Assumptions!$B$10,1)</f>
        <v>2.8</v>
      </c>
      <c r="U219" s="9" t="n">
        <f aca="false">SUM(P219:T219)</f>
        <v>13.8</v>
      </c>
      <c r="V219" s="34" t="s">
        <v>320</v>
      </c>
      <c r="W219" s="28"/>
    </row>
    <row r="220" customFormat="false" ht="23.85" hidden="false" customHeight="false" outlineLevel="0" collapsed="false">
      <c r="A220" s="7" t="s">
        <v>1651</v>
      </c>
      <c r="B220" s="14" t="s">
        <v>1584</v>
      </c>
      <c r="C220" s="6" t="s">
        <v>1585</v>
      </c>
      <c r="D220" s="6" t="s">
        <v>1652</v>
      </c>
      <c r="E220" s="6" t="s">
        <v>1653</v>
      </c>
      <c r="F220" s="28" t="s">
        <v>1618</v>
      </c>
      <c r="G220" s="32" t="s">
        <v>265</v>
      </c>
      <c r="H220" s="32" t="s">
        <v>272</v>
      </c>
      <c r="I220" s="28" t="s">
        <v>1654</v>
      </c>
      <c r="J220" s="28" t="s">
        <v>1655</v>
      </c>
      <c r="K220" s="28" t="s">
        <v>1656</v>
      </c>
      <c r="L220" s="6" t="s">
        <v>1031</v>
      </c>
      <c r="M220" s="22" t="s">
        <v>71</v>
      </c>
      <c r="N220" s="22" t="s">
        <v>71</v>
      </c>
      <c r="O220" s="22" t="s">
        <v>149</v>
      </c>
      <c r="P220" s="31" t="n">
        <f aca="false">IFERROR(VLOOKUP($M220,Assumptions!$A$15:$B$20,2,FALSE()),0)</f>
        <v>3</v>
      </c>
      <c r="Q220" s="31" t="n">
        <f aca="false">IFERROR(VLOOKUP($N220,Assumptions!$A$15:$B$20,2,FALSE()),0)</f>
        <v>3</v>
      </c>
      <c r="R220" s="31" t="n">
        <f aca="false">ROUND((P220+Q220)*Assumptions!$B$8,1)</f>
        <v>0.7</v>
      </c>
      <c r="S220" s="31" t="n">
        <f aca="false">IF($O220="Y",ROUND(Q220*Assumptions!$B$9,1),0)</f>
        <v>0</v>
      </c>
      <c r="T220" s="31" t="n">
        <f aca="false">ROUND((P220+Q220)*Assumptions!$B$10,1)</f>
        <v>2.1</v>
      </c>
      <c r="U220" s="9" t="n">
        <f aca="false">SUM(P220:T220)</f>
        <v>8.8</v>
      </c>
      <c r="V220" s="35" t="s">
        <v>386</v>
      </c>
      <c r="W220" s="28"/>
    </row>
    <row r="221" customFormat="false" ht="23.85" hidden="false" customHeight="false" outlineLevel="0" collapsed="false">
      <c r="A221" s="7" t="s">
        <v>1657</v>
      </c>
      <c r="B221" s="14" t="s">
        <v>1584</v>
      </c>
      <c r="C221" s="6" t="s">
        <v>1585</v>
      </c>
      <c r="D221" s="6" t="s">
        <v>1658</v>
      </c>
      <c r="E221" s="6" t="s">
        <v>1659</v>
      </c>
      <c r="F221" s="28" t="s">
        <v>1618</v>
      </c>
      <c r="G221" s="32" t="s">
        <v>265</v>
      </c>
      <c r="H221" s="32" t="s">
        <v>272</v>
      </c>
      <c r="I221" s="28" t="s">
        <v>1660</v>
      </c>
      <c r="J221" s="28" t="s">
        <v>1661</v>
      </c>
      <c r="K221" s="28" t="s">
        <v>1662</v>
      </c>
      <c r="L221" s="6" t="s">
        <v>210</v>
      </c>
      <c r="M221" s="22" t="s">
        <v>71</v>
      </c>
      <c r="N221" s="22" t="s">
        <v>69</v>
      </c>
      <c r="O221" s="22" t="s">
        <v>149</v>
      </c>
      <c r="P221" s="31" t="n">
        <f aca="false">IFERROR(VLOOKUP($M221,Assumptions!$A$15:$B$20,2,FALSE()),0)</f>
        <v>3</v>
      </c>
      <c r="Q221" s="31" t="n">
        <f aca="false">IFERROR(VLOOKUP($N221,Assumptions!$A$15:$B$20,2,FALSE()),0)</f>
        <v>1</v>
      </c>
      <c r="R221" s="31" t="n">
        <f aca="false">ROUND((P221+Q221)*Assumptions!$B$8,1)</f>
        <v>0.5</v>
      </c>
      <c r="S221" s="31" t="n">
        <f aca="false">IF($O221="Y",ROUND(Q221*Assumptions!$B$9,1),0)</f>
        <v>0</v>
      </c>
      <c r="T221" s="31" t="n">
        <f aca="false">ROUND((P221+Q221)*Assumptions!$B$10,1)</f>
        <v>1.4</v>
      </c>
      <c r="U221" s="9" t="n">
        <f aca="false">SUM(P221:T221)</f>
        <v>5.9</v>
      </c>
      <c r="V221" s="34" t="s">
        <v>320</v>
      </c>
      <c r="W221" s="28"/>
    </row>
    <row r="222" customFormat="false" ht="23.85" hidden="false" customHeight="false" outlineLevel="0" collapsed="false">
      <c r="A222" s="7" t="s">
        <v>1437</v>
      </c>
      <c r="B222" s="14" t="s">
        <v>1584</v>
      </c>
      <c r="C222" s="6" t="s">
        <v>1585</v>
      </c>
      <c r="D222" s="6" t="s">
        <v>1432</v>
      </c>
      <c r="E222" s="6" t="s">
        <v>1663</v>
      </c>
      <c r="F222" s="28" t="s">
        <v>1595</v>
      </c>
      <c r="G222" s="32" t="s">
        <v>265</v>
      </c>
      <c r="H222" s="32" t="s">
        <v>272</v>
      </c>
      <c r="I222" s="28" t="s">
        <v>1664</v>
      </c>
      <c r="J222" s="28" t="s">
        <v>1665</v>
      </c>
      <c r="K222" s="28" t="s">
        <v>1666</v>
      </c>
      <c r="L222" s="6" t="s">
        <v>1606</v>
      </c>
      <c r="M222" s="22" t="s">
        <v>73</v>
      </c>
      <c r="N222" s="22" t="s">
        <v>71</v>
      </c>
      <c r="O222" s="22" t="s">
        <v>149</v>
      </c>
      <c r="P222" s="31" t="n">
        <f aca="false">IFERROR(VLOOKUP($M222,Assumptions!$A$15:$B$20,2,FALSE()),0)</f>
        <v>5</v>
      </c>
      <c r="Q222" s="31" t="n">
        <f aca="false">IFERROR(VLOOKUP($N222,Assumptions!$A$15:$B$20,2,FALSE()),0)</f>
        <v>3</v>
      </c>
      <c r="R222" s="31" t="n">
        <f aca="false">ROUND((P222+Q222)*Assumptions!$B$8,1)</f>
        <v>1</v>
      </c>
      <c r="S222" s="31" t="n">
        <f aca="false">IF($O222="Y",ROUND(Q222*Assumptions!$B$9,1),0)</f>
        <v>0</v>
      </c>
      <c r="T222" s="31" t="n">
        <f aca="false">ROUND((P222+Q222)*Assumptions!$B$10,1)</f>
        <v>2.8</v>
      </c>
      <c r="U222" s="9" t="n">
        <f aca="false">SUM(P222:T222)</f>
        <v>11.8</v>
      </c>
      <c r="V222" s="35" t="s">
        <v>386</v>
      </c>
      <c r="W222" s="28"/>
    </row>
    <row r="223" customFormat="false" ht="23.85" hidden="false" customHeight="false" outlineLevel="0" collapsed="false">
      <c r="A223" s="7" t="s">
        <v>1667</v>
      </c>
      <c r="B223" s="14" t="s">
        <v>1584</v>
      </c>
      <c r="C223" s="6" t="s">
        <v>1585</v>
      </c>
      <c r="D223" s="6" t="s">
        <v>1668</v>
      </c>
      <c r="E223" s="6" t="s">
        <v>1669</v>
      </c>
      <c r="F223" s="28" t="s">
        <v>1595</v>
      </c>
      <c r="G223" s="32" t="s">
        <v>265</v>
      </c>
      <c r="H223" s="32" t="s">
        <v>272</v>
      </c>
      <c r="I223" s="28" t="s">
        <v>1670</v>
      </c>
      <c r="J223" s="28" t="s">
        <v>1671</v>
      </c>
      <c r="K223" s="28" t="s">
        <v>1672</v>
      </c>
      <c r="L223" s="6" t="s">
        <v>241</v>
      </c>
      <c r="M223" s="22" t="s">
        <v>71</v>
      </c>
      <c r="N223" s="22" t="s">
        <v>71</v>
      </c>
      <c r="O223" s="22" t="s">
        <v>149</v>
      </c>
      <c r="P223" s="31" t="n">
        <f aca="false">IFERROR(VLOOKUP($M223,Assumptions!$A$15:$B$20,2,FALSE()),0)</f>
        <v>3</v>
      </c>
      <c r="Q223" s="31" t="n">
        <f aca="false">IFERROR(VLOOKUP($N223,Assumptions!$A$15:$B$20,2,FALSE()),0)</f>
        <v>3</v>
      </c>
      <c r="R223" s="31" t="n">
        <f aca="false">ROUND((P223+Q223)*Assumptions!$B$8,1)</f>
        <v>0.7</v>
      </c>
      <c r="S223" s="31" t="n">
        <f aca="false">IF($O223="Y",ROUND(Q223*Assumptions!$B$9,1),0)</f>
        <v>0</v>
      </c>
      <c r="T223" s="31" t="n">
        <f aca="false">ROUND((P223+Q223)*Assumptions!$B$10,1)</f>
        <v>2.1</v>
      </c>
      <c r="U223" s="9" t="n">
        <f aca="false">SUM(P223:T223)</f>
        <v>8.8</v>
      </c>
      <c r="V223" s="34" t="s">
        <v>320</v>
      </c>
      <c r="W223" s="28"/>
    </row>
    <row r="224" customFormat="false" ht="23.85" hidden="false" customHeight="false" outlineLevel="0" collapsed="false">
      <c r="A224" s="7" t="s">
        <v>1673</v>
      </c>
      <c r="B224" s="14" t="s">
        <v>1674</v>
      </c>
      <c r="C224" s="6" t="s">
        <v>1675</v>
      </c>
      <c r="D224" s="6" t="s">
        <v>1676</v>
      </c>
      <c r="E224" s="6" t="s">
        <v>1677</v>
      </c>
      <c r="F224" s="28" t="s">
        <v>1678</v>
      </c>
      <c r="G224" s="29" t="s">
        <v>143</v>
      </c>
      <c r="H224" s="37" t="s">
        <v>962</v>
      </c>
      <c r="I224" s="28" t="s">
        <v>1679</v>
      </c>
      <c r="J224" s="28" t="s">
        <v>1680</v>
      </c>
      <c r="K224" s="28" t="s">
        <v>1681</v>
      </c>
      <c r="L224" s="6" t="s">
        <v>472</v>
      </c>
      <c r="M224" s="22" t="s">
        <v>73</v>
      </c>
      <c r="N224" s="22" t="s">
        <v>73</v>
      </c>
      <c r="O224" s="22" t="s">
        <v>169</v>
      </c>
      <c r="P224" s="31" t="n">
        <f aca="false">IFERROR(VLOOKUP($M224,Assumptions!$A$15:$B$20,2,FALSE()),0)</f>
        <v>5</v>
      </c>
      <c r="Q224" s="31" t="n">
        <f aca="false">IFERROR(VLOOKUP($N224,Assumptions!$A$15:$B$20,2,FALSE()),0)</f>
        <v>5</v>
      </c>
      <c r="R224" s="31" t="n">
        <f aca="false">ROUND((P224+Q224)*Assumptions!$B$8,1)</f>
        <v>1.2</v>
      </c>
      <c r="S224" s="31" t="n">
        <f aca="false">IF($O224="Y",ROUND(Q224*Assumptions!$B$9,1),0)</f>
        <v>2</v>
      </c>
      <c r="T224" s="31" t="n">
        <f aca="false">ROUND((P224+Q224)*Assumptions!$B$10,1)</f>
        <v>3.5</v>
      </c>
      <c r="U224" s="9" t="n">
        <f aca="false">SUM(P224:T224)</f>
        <v>16.7</v>
      </c>
      <c r="V224" s="34" t="s">
        <v>320</v>
      </c>
      <c r="W224" s="28"/>
    </row>
    <row r="225" customFormat="false" ht="23.85" hidden="false" customHeight="false" outlineLevel="0" collapsed="false">
      <c r="A225" s="7" t="s">
        <v>1682</v>
      </c>
      <c r="B225" s="14" t="s">
        <v>1674</v>
      </c>
      <c r="C225" s="6" t="s">
        <v>1675</v>
      </c>
      <c r="D225" s="6" t="s">
        <v>1683</v>
      </c>
      <c r="E225" s="6" t="s">
        <v>1684</v>
      </c>
      <c r="F225" s="28" t="s">
        <v>1685</v>
      </c>
      <c r="G225" s="29" t="s">
        <v>143</v>
      </c>
      <c r="H225" s="37" t="s">
        <v>962</v>
      </c>
      <c r="I225" s="28" t="s">
        <v>1686</v>
      </c>
      <c r="J225" s="28" t="s">
        <v>1687</v>
      </c>
      <c r="K225" s="28" t="s">
        <v>1688</v>
      </c>
      <c r="L225" s="6" t="s">
        <v>1501</v>
      </c>
      <c r="M225" s="22" t="s">
        <v>71</v>
      </c>
      <c r="N225" s="22" t="s">
        <v>71</v>
      </c>
      <c r="O225" s="22" t="s">
        <v>149</v>
      </c>
      <c r="P225" s="31" t="n">
        <f aca="false">IFERROR(VLOOKUP($M225,Assumptions!$A$15:$B$20,2,FALSE()),0)</f>
        <v>3</v>
      </c>
      <c r="Q225" s="31" t="n">
        <f aca="false">IFERROR(VLOOKUP($N225,Assumptions!$A$15:$B$20,2,FALSE()),0)</f>
        <v>3</v>
      </c>
      <c r="R225" s="31" t="n">
        <f aca="false">ROUND((P225+Q225)*Assumptions!$B$8,1)</f>
        <v>0.7</v>
      </c>
      <c r="S225" s="31" t="n">
        <f aca="false">IF($O225="Y",ROUND(Q225*Assumptions!$B$9,1),0)</f>
        <v>0</v>
      </c>
      <c r="T225" s="31" t="n">
        <f aca="false">ROUND((P225+Q225)*Assumptions!$B$10,1)</f>
        <v>2.1</v>
      </c>
      <c r="U225" s="9" t="n">
        <f aca="false">SUM(P225:T225)</f>
        <v>8.8</v>
      </c>
      <c r="V225" s="34" t="s">
        <v>320</v>
      </c>
      <c r="W225" s="28"/>
    </row>
    <row r="226" customFormat="false" ht="23.85" hidden="false" customHeight="false" outlineLevel="0" collapsed="false">
      <c r="A226" s="7" t="s">
        <v>1689</v>
      </c>
      <c r="B226" s="14" t="s">
        <v>1674</v>
      </c>
      <c r="C226" s="6" t="s">
        <v>1675</v>
      </c>
      <c r="D226" s="6" t="s">
        <v>1690</v>
      </c>
      <c r="E226" s="6" t="s">
        <v>1691</v>
      </c>
      <c r="F226" s="28" t="s">
        <v>1692</v>
      </c>
      <c r="G226" s="29" t="s">
        <v>143</v>
      </c>
      <c r="H226" s="37" t="s">
        <v>962</v>
      </c>
      <c r="I226" s="28" t="s">
        <v>1693</v>
      </c>
      <c r="J226" s="28" t="s">
        <v>1694</v>
      </c>
      <c r="K226" s="28" t="s">
        <v>1695</v>
      </c>
      <c r="L226" s="6" t="s">
        <v>1479</v>
      </c>
      <c r="M226" s="22" t="s">
        <v>71</v>
      </c>
      <c r="N226" s="22" t="s">
        <v>71</v>
      </c>
      <c r="O226" s="22" t="s">
        <v>149</v>
      </c>
      <c r="P226" s="31" t="n">
        <f aca="false">IFERROR(VLOOKUP($M226,Assumptions!$A$15:$B$20,2,FALSE()),0)</f>
        <v>3</v>
      </c>
      <c r="Q226" s="31" t="n">
        <f aca="false">IFERROR(VLOOKUP($N226,Assumptions!$A$15:$B$20,2,FALSE()),0)</f>
        <v>3</v>
      </c>
      <c r="R226" s="31" t="n">
        <f aca="false">ROUND((P226+Q226)*Assumptions!$B$8,1)</f>
        <v>0.7</v>
      </c>
      <c r="S226" s="31" t="n">
        <f aca="false">IF($O226="Y",ROUND(Q226*Assumptions!$B$9,1),0)</f>
        <v>0</v>
      </c>
      <c r="T226" s="31" t="n">
        <f aca="false">ROUND((P226+Q226)*Assumptions!$B$10,1)</f>
        <v>2.1</v>
      </c>
      <c r="U226" s="9" t="n">
        <f aca="false">SUM(P226:T226)</f>
        <v>8.8</v>
      </c>
      <c r="V226" s="34" t="s">
        <v>320</v>
      </c>
      <c r="W226" s="28"/>
    </row>
    <row r="227" customFormat="false" ht="23.85" hidden="false" customHeight="false" outlineLevel="0" collapsed="false">
      <c r="A227" s="7" t="s">
        <v>1696</v>
      </c>
      <c r="B227" s="14" t="s">
        <v>1674</v>
      </c>
      <c r="C227" s="6" t="s">
        <v>1675</v>
      </c>
      <c r="D227" s="6" t="s">
        <v>1697</v>
      </c>
      <c r="E227" s="6" t="s">
        <v>1698</v>
      </c>
      <c r="F227" s="28" t="s">
        <v>1699</v>
      </c>
      <c r="G227" s="29" t="s">
        <v>143</v>
      </c>
      <c r="H227" s="37" t="s">
        <v>962</v>
      </c>
      <c r="I227" s="28" t="s">
        <v>1700</v>
      </c>
      <c r="J227" s="28" t="s">
        <v>1701</v>
      </c>
      <c r="K227" s="28" t="s">
        <v>1702</v>
      </c>
      <c r="L227" s="6" t="s">
        <v>1703</v>
      </c>
      <c r="M227" s="22" t="s">
        <v>73</v>
      </c>
      <c r="N227" s="22" t="s">
        <v>73</v>
      </c>
      <c r="O227" s="22" t="s">
        <v>169</v>
      </c>
      <c r="P227" s="31" t="n">
        <f aca="false">IFERROR(VLOOKUP($M227,Assumptions!$A$15:$B$20,2,FALSE()),0)</f>
        <v>5</v>
      </c>
      <c r="Q227" s="31" t="n">
        <f aca="false">IFERROR(VLOOKUP($N227,Assumptions!$A$15:$B$20,2,FALSE()),0)</f>
        <v>5</v>
      </c>
      <c r="R227" s="31" t="n">
        <f aca="false">ROUND((P227+Q227)*Assumptions!$B$8,1)</f>
        <v>1.2</v>
      </c>
      <c r="S227" s="31" t="n">
        <f aca="false">IF($O227="Y",ROUND(Q227*Assumptions!$B$9,1),0)</f>
        <v>2</v>
      </c>
      <c r="T227" s="31" t="n">
        <f aca="false">ROUND((P227+Q227)*Assumptions!$B$10,1)</f>
        <v>3.5</v>
      </c>
      <c r="U227" s="9" t="n">
        <f aca="false">SUM(P227:T227)</f>
        <v>16.7</v>
      </c>
      <c r="V227" s="34" t="s">
        <v>320</v>
      </c>
      <c r="W227" s="28"/>
    </row>
    <row r="228" customFormat="false" ht="23.85" hidden="false" customHeight="false" outlineLevel="0" collapsed="false">
      <c r="A228" s="7" t="s">
        <v>1704</v>
      </c>
      <c r="B228" s="14" t="s">
        <v>1674</v>
      </c>
      <c r="C228" s="6" t="s">
        <v>1675</v>
      </c>
      <c r="D228" s="6" t="s">
        <v>1705</v>
      </c>
      <c r="E228" s="6" t="s">
        <v>1706</v>
      </c>
      <c r="F228" s="28" t="s">
        <v>1699</v>
      </c>
      <c r="G228" s="29" t="s">
        <v>143</v>
      </c>
      <c r="H228" s="37" t="s">
        <v>962</v>
      </c>
      <c r="I228" s="28" t="s">
        <v>1707</v>
      </c>
      <c r="J228" s="28" t="s">
        <v>1708</v>
      </c>
      <c r="K228" s="28" t="s">
        <v>1709</v>
      </c>
      <c r="L228" s="6" t="s">
        <v>1710</v>
      </c>
      <c r="M228" s="22" t="s">
        <v>73</v>
      </c>
      <c r="N228" s="22" t="s">
        <v>71</v>
      </c>
      <c r="O228" s="22" t="s">
        <v>149</v>
      </c>
      <c r="P228" s="31" t="n">
        <f aca="false">IFERROR(VLOOKUP($M228,Assumptions!$A$15:$B$20,2,FALSE()),0)</f>
        <v>5</v>
      </c>
      <c r="Q228" s="31" t="n">
        <f aca="false">IFERROR(VLOOKUP($N228,Assumptions!$A$15:$B$20,2,FALSE()),0)</f>
        <v>3</v>
      </c>
      <c r="R228" s="31" t="n">
        <f aca="false">ROUND((P228+Q228)*Assumptions!$B$8,1)</f>
        <v>1</v>
      </c>
      <c r="S228" s="31" t="n">
        <f aca="false">IF($O228="Y",ROUND(Q228*Assumptions!$B$9,1),0)</f>
        <v>0</v>
      </c>
      <c r="T228" s="31" t="n">
        <f aca="false">ROUND((P228+Q228)*Assumptions!$B$10,1)</f>
        <v>2.8</v>
      </c>
      <c r="U228" s="9" t="n">
        <f aca="false">SUM(P228:T228)</f>
        <v>11.8</v>
      </c>
      <c r="V228" s="34" t="s">
        <v>320</v>
      </c>
      <c r="W228" s="28"/>
    </row>
    <row r="229" customFormat="false" ht="23.85" hidden="false" customHeight="false" outlineLevel="0" collapsed="false">
      <c r="A229" s="7" t="s">
        <v>1711</v>
      </c>
      <c r="B229" s="14" t="s">
        <v>1674</v>
      </c>
      <c r="C229" s="6" t="s">
        <v>1675</v>
      </c>
      <c r="D229" s="6" t="s">
        <v>1712</v>
      </c>
      <c r="E229" s="6" t="s">
        <v>1713</v>
      </c>
      <c r="F229" s="28" t="s">
        <v>1699</v>
      </c>
      <c r="G229" s="29" t="s">
        <v>143</v>
      </c>
      <c r="H229" s="37" t="s">
        <v>962</v>
      </c>
      <c r="I229" s="28" t="s">
        <v>1714</v>
      </c>
      <c r="J229" s="28" t="s">
        <v>1715</v>
      </c>
      <c r="K229" s="28" t="s">
        <v>1716</v>
      </c>
      <c r="L229" s="6" t="s">
        <v>192</v>
      </c>
      <c r="M229" s="22" t="s">
        <v>71</v>
      </c>
      <c r="N229" s="22" t="s">
        <v>71</v>
      </c>
      <c r="O229" s="22" t="s">
        <v>149</v>
      </c>
      <c r="P229" s="31" t="n">
        <f aca="false">IFERROR(VLOOKUP($M229,Assumptions!$A$15:$B$20,2,FALSE()),0)</f>
        <v>3</v>
      </c>
      <c r="Q229" s="31" t="n">
        <f aca="false">IFERROR(VLOOKUP($N229,Assumptions!$A$15:$B$20,2,FALSE()),0)</f>
        <v>3</v>
      </c>
      <c r="R229" s="31" t="n">
        <f aca="false">ROUND((P229+Q229)*Assumptions!$B$8,1)</f>
        <v>0.7</v>
      </c>
      <c r="S229" s="31" t="n">
        <f aca="false">IF($O229="Y",ROUND(Q229*Assumptions!$B$9,1),0)</f>
        <v>0</v>
      </c>
      <c r="T229" s="31" t="n">
        <f aca="false">ROUND((P229+Q229)*Assumptions!$B$10,1)</f>
        <v>2.1</v>
      </c>
      <c r="U229" s="9" t="n">
        <f aca="false">SUM(P229:T229)</f>
        <v>8.8</v>
      </c>
      <c r="V229" s="34" t="s">
        <v>320</v>
      </c>
      <c r="W229" s="28"/>
    </row>
    <row r="230" customFormat="false" ht="23.85" hidden="false" customHeight="false" outlineLevel="0" collapsed="false">
      <c r="A230" s="7" t="s">
        <v>1717</v>
      </c>
      <c r="B230" s="14" t="s">
        <v>1674</v>
      </c>
      <c r="C230" s="6" t="s">
        <v>1675</v>
      </c>
      <c r="D230" s="6" t="s">
        <v>1718</v>
      </c>
      <c r="E230" s="6" t="s">
        <v>1719</v>
      </c>
      <c r="F230" s="28" t="s">
        <v>1678</v>
      </c>
      <c r="G230" s="29" t="s">
        <v>143</v>
      </c>
      <c r="H230" s="37" t="s">
        <v>962</v>
      </c>
      <c r="I230" s="28" t="s">
        <v>1720</v>
      </c>
      <c r="J230" s="28" t="s">
        <v>1721</v>
      </c>
      <c r="K230" s="28" t="s">
        <v>1722</v>
      </c>
      <c r="L230" s="6" t="s">
        <v>1723</v>
      </c>
      <c r="M230" s="22" t="s">
        <v>71</v>
      </c>
      <c r="N230" s="22" t="s">
        <v>71</v>
      </c>
      <c r="O230" s="22" t="s">
        <v>149</v>
      </c>
      <c r="P230" s="31" t="n">
        <f aca="false">IFERROR(VLOOKUP($M230,Assumptions!$A$15:$B$20,2,FALSE()),0)</f>
        <v>3</v>
      </c>
      <c r="Q230" s="31" t="n">
        <f aca="false">IFERROR(VLOOKUP($N230,Assumptions!$A$15:$B$20,2,FALSE()),0)</f>
        <v>3</v>
      </c>
      <c r="R230" s="31" t="n">
        <f aca="false">ROUND((P230+Q230)*Assumptions!$B$8,1)</f>
        <v>0.7</v>
      </c>
      <c r="S230" s="31" t="n">
        <f aca="false">IF($O230="Y",ROUND(Q230*Assumptions!$B$9,1),0)</f>
        <v>0</v>
      </c>
      <c r="T230" s="31" t="n">
        <f aca="false">ROUND((P230+Q230)*Assumptions!$B$10,1)</f>
        <v>2.1</v>
      </c>
      <c r="U230" s="9" t="n">
        <f aca="false">SUM(P230:T230)</f>
        <v>8.8</v>
      </c>
      <c r="V230" s="34" t="s">
        <v>320</v>
      </c>
      <c r="W230" s="28"/>
    </row>
    <row r="231" customFormat="false" ht="23.85" hidden="false" customHeight="false" outlineLevel="0" collapsed="false">
      <c r="A231" s="7" t="s">
        <v>1724</v>
      </c>
      <c r="B231" s="14" t="s">
        <v>1674</v>
      </c>
      <c r="C231" s="6" t="s">
        <v>1675</v>
      </c>
      <c r="D231" s="6" t="s">
        <v>1725</v>
      </c>
      <c r="E231" s="6" t="s">
        <v>1726</v>
      </c>
      <c r="F231" s="28" t="s">
        <v>1678</v>
      </c>
      <c r="G231" s="32" t="s">
        <v>265</v>
      </c>
      <c r="H231" s="32" t="s">
        <v>272</v>
      </c>
      <c r="I231" s="28" t="s">
        <v>1727</v>
      </c>
      <c r="J231" s="28" t="s">
        <v>1728</v>
      </c>
      <c r="K231" s="28" t="s">
        <v>1729</v>
      </c>
      <c r="L231" s="6" t="s">
        <v>1673</v>
      </c>
      <c r="M231" s="22" t="s">
        <v>71</v>
      </c>
      <c r="N231" s="22" t="s">
        <v>71</v>
      </c>
      <c r="O231" s="22" t="s">
        <v>149</v>
      </c>
      <c r="P231" s="31" t="n">
        <f aca="false">IFERROR(VLOOKUP($M231,Assumptions!$A$15:$B$20,2,FALSE()),0)</f>
        <v>3</v>
      </c>
      <c r="Q231" s="31" t="n">
        <f aca="false">IFERROR(VLOOKUP($N231,Assumptions!$A$15:$B$20,2,FALSE()),0)</f>
        <v>3</v>
      </c>
      <c r="R231" s="31" t="n">
        <f aca="false">ROUND((P231+Q231)*Assumptions!$B$8,1)</f>
        <v>0.7</v>
      </c>
      <c r="S231" s="31" t="n">
        <f aca="false">IF($O231="Y",ROUND(Q231*Assumptions!$B$9,1),0)</f>
        <v>0</v>
      </c>
      <c r="T231" s="31" t="n">
        <f aca="false">ROUND((P231+Q231)*Assumptions!$B$10,1)</f>
        <v>2.1</v>
      </c>
      <c r="U231" s="9" t="n">
        <f aca="false">SUM(P231:T231)</f>
        <v>8.8</v>
      </c>
      <c r="V231" s="35" t="s">
        <v>386</v>
      </c>
      <c r="W231" s="28"/>
    </row>
    <row r="232" customFormat="false" ht="23.85" hidden="false" customHeight="false" outlineLevel="0" collapsed="false">
      <c r="A232" s="7" t="s">
        <v>1730</v>
      </c>
      <c r="B232" s="14" t="s">
        <v>1674</v>
      </c>
      <c r="C232" s="6" t="s">
        <v>1675</v>
      </c>
      <c r="D232" s="6" t="s">
        <v>1731</v>
      </c>
      <c r="E232" s="6" t="s">
        <v>1732</v>
      </c>
      <c r="F232" s="28" t="s">
        <v>1699</v>
      </c>
      <c r="G232" s="32" t="s">
        <v>265</v>
      </c>
      <c r="H232" s="32" t="s">
        <v>272</v>
      </c>
      <c r="I232" s="28" t="s">
        <v>1733</v>
      </c>
      <c r="J232" s="28" t="s">
        <v>1734</v>
      </c>
      <c r="K232" s="28" t="s">
        <v>1735</v>
      </c>
      <c r="L232" s="6" t="s">
        <v>1673</v>
      </c>
      <c r="M232" s="22" t="s">
        <v>71</v>
      </c>
      <c r="N232" s="22" t="s">
        <v>71</v>
      </c>
      <c r="O232" s="22" t="s">
        <v>149</v>
      </c>
      <c r="P232" s="31" t="n">
        <f aca="false">IFERROR(VLOOKUP($M232,Assumptions!$A$15:$B$20,2,FALSE()),0)</f>
        <v>3</v>
      </c>
      <c r="Q232" s="31" t="n">
        <f aca="false">IFERROR(VLOOKUP($N232,Assumptions!$A$15:$B$20,2,FALSE()),0)</f>
        <v>3</v>
      </c>
      <c r="R232" s="31" t="n">
        <f aca="false">ROUND((P232+Q232)*Assumptions!$B$8,1)</f>
        <v>0.7</v>
      </c>
      <c r="S232" s="31" t="n">
        <f aca="false">IF($O232="Y",ROUND(Q232*Assumptions!$B$9,1),0)</f>
        <v>0</v>
      </c>
      <c r="T232" s="31" t="n">
        <f aca="false">ROUND((P232+Q232)*Assumptions!$B$10,1)</f>
        <v>2.1</v>
      </c>
      <c r="U232" s="9" t="n">
        <f aca="false">SUM(P232:T232)</f>
        <v>8.8</v>
      </c>
      <c r="V232" s="35" t="s">
        <v>386</v>
      </c>
      <c r="W232" s="28"/>
    </row>
    <row r="233" customFormat="false" ht="23.85" hidden="false" customHeight="false" outlineLevel="0" collapsed="false">
      <c r="A233" s="7" t="s">
        <v>1736</v>
      </c>
      <c r="B233" s="14" t="s">
        <v>1674</v>
      </c>
      <c r="C233" s="6" t="s">
        <v>1675</v>
      </c>
      <c r="D233" s="6" t="s">
        <v>1737</v>
      </c>
      <c r="E233" s="6" t="s">
        <v>1738</v>
      </c>
      <c r="F233" s="28" t="s">
        <v>1699</v>
      </c>
      <c r="G233" s="32" t="s">
        <v>265</v>
      </c>
      <c r="H233" s="32" t="s">
        <v>272</v>
      </c>
      <c r="I233" s="28" t="s">
        <v>1739</v>
      </c>
      <c r="J233" s="28" t="s">
        <v>1740</v>
      </c>
      <c r="K233" s="28" t="s">
        <v>1741</v>
      </c>
      <c r="L233" s="6" t="s">
        <v>352</v>
      </c>
      <c r="M233" s="22" t="s">
        <v>71</v>
      </c>
      <c r="N233" s="22" t="s">
        <v>71</v>
      </c>
      <c r="O233" s="22" t="s">
        <v>149</v>
      </c>
      <c r="P233" s="31" t="n">
        <f aca="false">IFERROR(VLOOKUP($M233,Assumptions!$A$15:$B$20,2,FALSE()),0)</f>
        <v>3</v>
      </c>
      <c r="Q233" s="31" t="n">
        <f aca="false">IFERROR(VLOOKUP($N233,Assumptions!$A$15:$B$20,2,FALSE()),0)</f>
        <v>3</v>
      </c>
      <c r="R233" s="31" t="n">
        <f aca="false">ROUND((P233+Q233)*Assumptions!$B$8,1)</f>
        <v>0.7</v>
      </c>
      <c r="S233" s="31" t="n">
        <f aca="false">IF($O233="Y",ROUND(Q233*Assumptions!$B$9,1),0)</f>
        <v>0</v>
      </c>
      <c r="T233" s="31" t="n">
        <f aca="false">ROUND((P233+Q233)*Assumptions!$B$10,1)</f>
        <v>2.1</v>
      </c>
      <c r="U233" s="9" t="n">
        <f aca="false">SUM(P233:T233)</f>
        <v>8.8</v>
      </c>
      <c r="V233" s="34" t="s">
        <v>320</v>
      </c>
      <c r="W233" s="28"/>
    </row>
    <row r="234" customFormat="false" ht="23.85" hidden="false" customHeight="false" outlineLevel="0" collapsed="false">
      <c r="A234" s="7" t="s">
        <v>1742</v>
      </c>
      <c r="B234" s="14" t="s">
        <v>1674</v>
      </c>
      <c r="C234" s="6" t="s">
        <v>1675</v>
      </c>
      <c r="D234" s="6" t="s">
        <v>1743</v>
      </c>
      <c r="E234" s="6" t="s">
        <v>1744</v>
      </c>
      <c r="F234" s="28" t="s">
        <v>1745</v>
      </c>
      <c r="G234" s="32" t="s">
        <v>265</v>
      </c>
      <c r="H234" s="32" t="s">
        <v>272</v>
      </c>
      <c r="I234" s="28" t="s">
        <v>1746</v>
      </c>
      <c r="J234" s="28" t="s">
        <v>1747</v>
      </c>
      <c r="K234" s="28" t="s">
        <v>1748</v>
      </c>
      <c r="L234" s="6" t="s">
        <v>1682</v>
      </c>
      <c r="M234" s="22" t="s">
        <v>71</v>
      </c>
      <c r="N234" s="22" t="s">
        <v>69</v>
      </c>
      <c r="O234" s="22" t="s">
        <v>149</v>
      </c>
      <c r="P234" s="31" t="n">
        <f aca="false">IFERROR(VLOOKUP($M234,Assumptions!$A$15:$B$20,2,FALSE()),0)</f>
        <v>3</v>
      </c>
      <c r="Q234" s="31" t="n">
        <f aca="false">IFERROR(VLOOKUP($N234,Assumptions!$A$15:$B$20,2,FALSE()),0)</f>
        <v>1</v>
      </c>
      <c r="R234" s="31" t="n">
        <f aca="false">ROUND((P234+Q234)*Assumptions!$B$8,1)</f>
        <v>0.5</v>
      </c>
      <c r="S234" s="31" t="n">
        <f aca="false">IF($O234="Y",ROUND(Q234*Assumptions!$B$9,1),0)</f>
        <v>0</v>
      </c>
      <c r="T234" s="31" t="n">
        <f aca="false">ROUND((P234+Q234)*Assumptions!$B$10,1)</f>
        <v>1.4</v>
      </c>
      <c r="U234" s="9" t="n">
        <f aca="false">SUM(P234:T234)</f>
        <v>5.9</v>
      </c>
      <c r="V234" s="34" t="s">
        <v>320</v>
      </c>
      <c r="W234" s="28"/>
    </row>
    <row r="235" customFormat="false" ht="23.85" hidden="false" customHeight="false" outlineLevel="0" collapsed="false">
      <c r="A235" s="7" t="s">
        <v>1749</v>
      </c>
      <c r="B235" s="14" t="s">
        <v>1674</v>
      </c>
      <c r="C235" s="6" t="s">
        <v>1675</v>
      </c>
      <c r="D235" s="6" t="s">
        <v>1750</v>
      </c>
      <c r="E235" s="6" t="s">
        <v>1751</v>
      </c>
      <c r="F235" s="28" t="s">
        <v>1752</v>
      </c>
      <c r="G235" s="32" t="s">
        <v>265</v>
      </c>
      <c r="H235" s="32" t="s">
        <v>272</v>
      </c>
      <c r="I235" s="28" t="s">
        <v>1753</v>
      </c>
      <c r="J235" s="28" t="s">
        <v>1754</v>
      </c>
      <c r="K235" s="28" t="s">
        <v>1755</v>
      </c>
      <c r="L235" s="6" t="s">
        <v>1272</v>
      </c>
      <c r="M235" s="22" t="s">
        <v>71</v>
      </c>
      <c r="N235" s="22" t="s">
        <v>69</v>
      </c>
      <c r="O235" s="22" t="s">
        <v>149</v>
      </c>
      <c r="P235" s="31" t="n">
        <f aca="false">IFERROR(VLOOKUP($M235,Assumptions!$A$15:$B$20,2,FALSE()),0)</f>
        <v>3</v>
      </c>
      <c r="Q235" s="31" t="n">
        <f aca="false">IFERROR(VLOOKUP($N235,Assumptions!$A$15:$B$20,2,FALSE()),0)</f>
        <v>1</v>
      </c>
      <c r="R235" s="31" t="n">
        <f aca="false">ROUND((P235+Q235)*Assumptions!$B$8,1)</f>
        <v>0.5</v>
      </c>
      <c r="S235" s="31" t="n">
        <f aca="false">IF($O235="Y",ROUND(Q235*Assumptions!$B$9,1),0)</f>
        <v>0</v>
      </c>
      <c r="T235" s="31" t="n">
        <f aca="false">ROUND((P235+Q235)*Assumptions!$B$10,1)</f>
        <v>1.4</v>
      </c>
      <c r="U235" s="9" t="n">
        <f aca="false">SUM(P235:T235)</f>
        <v>5.9</v>
      </c>
      <c r="V235" s="34" t="s">
        <v>320</v>
      </c>
      <c r="W235" s="28"/>
    </row>
    <row r="236" customFormat="false" ht="23.85" hidden="false" customHeight="false" outlineLevel="0" collapsed="false">
      <c r="A236" s="7" t="s">
        <v>1756</v>
      </c>
      <c r="B236" s="14" t="s">
        <v>1674</v>
      </c>
      <c r="C236" s="6" t="s">
        <v>1675</v>
      </c>
      <c r="D236" s="6" t="s">
        <v>1757</v>
      </c>
      <c r="E236" s="6" t="s">
        <v>1758</v>
      </c>
      <c r="F236" s="28" t="s">
        <v>1699</v>
      </c>
      <c r="G236" s="32" t="s">
        <v>265</v>
      </c>
      <c r="H236" s="32" t="s">
        <v>272</v>
      </c>
      <c r="I236" s="28" t="s">
        <v>1759</v>
      </c>
      <c r="J236" s="28" t="s">
        <v>1760</v>
      </c>
      <c r="K236" s="28" t="s">
        <v>1761</v>
      </c>
      <c r="L236" s="6" t="s">
        <v>256</v>
      </c>
      <c r="M236" s="22" t="s">
        <v>71</v>
      </c>
      <c r="N236" s="22" t="s">
        <v>73</v>
      </c>
      <c r="O236" s="22" t="s">
        <v>149</v>
      </c>
      <c r="P236" s="31" t="n">
        <f aca="false">IFERROR(VLOOKUP($M236,Assumptions!$A$15:$B$20,2,FALSE()),0)</f>
        <v>3</v>
      </c>
      <c r="Q236" s="31" t="n">
        <f aca="false">IFERROR(VLOOKUP($N236,Assumptions!$A$15:$B$20,2,FALSE()),0)</f>
        <v>5</v>
      </c>
      <c r="R236" s="31" t="n">
        <f aca="false">ROUND((P236+Q236)*Assumptions!$B$8,1)</f>
        <v>1</v>
      </c>
      <c r="S236" s="31" t="n">
        <f aca="false">IF($O236="Y",ROUND(Q236*Assumptions!$B$9,1),0)</f>
        <v>0</v>
      </c>
      <c r="T236" s="31" t="n">
        <f aca="false">ROUND((P236+Q236)*Assumptions!$B$10,1)</f>
        <v>2.8</v>
      </c>
      <c r="U236" s="9" t="n">
        <f aca="false">SUM(P236:T236)</f>
        <v>11.8</v>
      </c>
      <c r="V236" s="34" t="s">
        <v>320</v>
      </c>
      <c r="W236" s="28"/>
    </row>
    <row r="237" customFormat="false" ht="23.85" hidden="false" customHeight="false" outlineLevel="0" collapsed="false">
      <c r="A237" s="7" t="s">
        <v>1762</v>
      </c>
      <c r="B237" s="14" t="s">
        <v>1674</v>
      </c>
      <c r="C237" s="6" t="s">
        <v>1675</v>
      </c>
      <c r="D237" s="6" t="s">
        <v>1763</v>
      </c>
      <c r="E237" s="6" t="s">
        <v>1764</v>
      </c>
      <c r="F237" s="28" t="s">
        <v>1765</v>
      </c>
      <c r="G237" s="32" t="s">
        <v>265</v>
      </c>
      <c r="H237" s="32" t="s">
        <v>272</v>
      </c>
      <c r="I237" s="28" t="s">
        <v>1766</v>
      </c>
      <c r="J237" s="28" t="s">
        <v>1767</v>
      </c>
      <c r="K237" s="28" t="s">
        <v>1768</v>
      </c>
      <c r="L237" s="6" t="s">
        <v>1673</v>
      </c>
      <c r="M237" s="22" t="s">
        <v>71</v>
      </c>
      <c r="N237" s="22" t="s">
        <v>71</v>
      </c>
      <c r="O237" s="22" t="s">
        <v>149</v>
      </c>
      <c r="P237" s="31" t="n">
        <f aca="false">IFERROR(VLOOKUP($M237,Assumptions!$A$15:$B$20,2,FALSE()),0)</f>
        <v>3</v>
      </c>
      <c r="Q237" s="31" t="n">
        <f aca="false">IFERROR(VLOOKUP($N237,Assumptions!$A$15:$B$20,2,FALSE()),0)</f>
        <v>3</v>
      </c>
      <c r="R237" s="31" t="n">
        <f aca="false">ROUND((P237+Q237)*Assumptions!$B$8,1)</f>
        <v>0.7</v>
      </c>
      <c r="S237" s="31" t="n">
        <f aca="false">IF($O237="Y",ROUND(Q237*Assumptions!$B$9,1),0)</f>
        <v>0</v>
      </c>
      <c r="T237" s="31" t="n">
        <f aca="false">ROUND((P237+Q237)*Assumptions!$B$10,1)</f>
        <v>2.1</v>
      </c>
      <c r="U237" s="9" t="n">
        <f aca="false">SUM(P237:T237)</f>
        <v>8.8</v>
      </c>
      <c r="V237" s="35" t="s">
        <v>386</v>
      </c>
      <c r="W237" s="28"/>
    </row>
    <row r="238" customFormat="false" ht="23.85" hidden="false" customHeight="false" outlineLevel="0" collapsed="false">
      <c r="A238" s="7" t="s">
        <v>1769</v>
      </c>
      <c r="B238" s="14" t="s">
        <v>1674</v>
      </c>
      <c r="C238" s="6" t="s">
        <v>1675</v>
      </c>
      <c r="D238" s="6" t="s">
        <v>1770</v>
      </c>
      <c r="E238" s="6" t="s">
        <v>1771</v>
      </c>
      <c r="F238" s="28" t="s">
        <v>1772</v>
      </c>
      <c r="G238" s="33" t="s">
        <v>286</v>
      </c>
      <c r="H238" s="33" t="s">
        <v>287</v>
      </c>
      <c r="I238" s="28" t="s">
        <v>1773</v>
      </c>
      <c r="J238" s="28" t="s">
        <v>1774</v>
      </c>
      <c r="K238" s="28" t="s">
        <v>1775</v>
      </c>
      <c r="L238" s="6" t="s">
        <v>284</v>
      </c>
      <c r="M238" s="22" t="s">
        <v>73</v>
      </c>
      <c r="N238" s="22" t="s">
        <v>71</v>
      </c>
      <c r="O238" s="22" t="s">
        <v>149</v>
      </c>
      <c r="P238" s="31" t="n">
        <f aca="false">IFERROR(VLOOKUP($M238,Assumptions!$A$15:$B$20,2,FALSE()),0)</f>
        <v>5</v>
      </c>
      <c r="Q238" s="31" t="n">
        <f aca="false">IFERROR(VLOOKUP($N238,Assumptions!$A$15:$B$20,2,FALSE()),0)</f>
        <v>3</v>
      </c>
      <c r="R238" s="31" t="n">
        <f aca="false">ROUND((P238+Q238)*Assumptions!$B$8,1)</f>
        <v>1</v>
      </c>
      <c r="S238" s="31" t="n">
        <f aca="false">IF($O238="Y",ROUND(Q238*Assumptions!$B$9,1),0)</f>
        <v>0</v>
      </c>
      <c r="T238" s="31" t="n">
        <f aca="false">ROUND((P238+Q238)*Assumptions!$B$10,1)</f>
        <v>2.8</v>
      </c>
      <c r="U238" s="9" t="n">
        <f aca="false">SUM(P238:T238)</f>
        <v>11.8</v>
      </c>
      <c r="V238" s="34" t="s">
        <v>320</v>
      </c>
      <c r="W238" s="28"/>
    </row>
    <row r="239" customFormat="false" ht="23.85" hidden="false" customHeight="false" outlineLevel="0" collapsed="false">
      <c r="A239" s="7" t="s">
        <v>1776</v>
      </c>
      <c r="B239" s="14" t="s">
        <v>1777</v>
      </c>
      <c r="C239" s="6" t="s">
        <v>1778</v>
      </c>
      <c r="D239" s="6" t="s">
        <v>1779</v>
      </c>
      <c r="E239" s="6" t="s">
        <v>1780</v>
      </c>
      <c r="F239" s="28" t="s">
        <v>1781</v>
      </c>
      <c r="G239" s="29" t="s">
        <v>143</v>
      </c>
      <c r="H239" s="37" t="s">
        <v>962</v>
      </c>
      <c r="I239" s="28" t="s">
        <v>1782</v>
      </c>
      <c r="J239" s="28" t="s">
        <v>1783</v>
      </c>
      <c r="K239" s="28" t="s">
        <v>1784</v>
      </c>
      <c r="L239" s="6" t="s">
        <v>1785</v>
      </c>
      <c r="M239" s="22" t="s">
        <v>71</v>
      </c>
      <c r="N239" s="22" t="s">
        <v>71</v>
      </c>
      <c r="O239" s="22" t="s">
        <v>149</v>
      </c>
      <c r="P239" s="31" t="n">
        <f aca="false">IFERROR(VLOOKUP($M239,Assumptions!$A$15:$B$20,2,FALSE()),0)</f>
        <v>3</v>
      </c>
      <c r="Q239" s="31" t="n">
        <f aca="false">IFERROR(VLOOKUP($N239,Assumptions!$A$15:$B$20,2,FALSE()),0)</f>
        <v>3</v>
      </c>
      <c r="R239" s="31" t="n">
        <f aca="false">ROUND((P239+Q239)*Assumptions!$B$8,1)</f>
        <v>0.7</v>
      </c>
      <c r="S239" s="31" t="n">
        <f aca="false">IF($O239="Y",ROUND(Q239*Assumptions!$B$9,1),0)</f>
        <v>0</v>
      </c>
      <c r="T239" s="31" t="n">
        <f aca="false">ROUND((P239+Q239)*Assumptions!$B$10,1)</f>
        <v>2.1</v>
      </c>
      <c r="U239" s="9" t="n">
        <f aca="false">SUM(P239:T239)</f>
        <v>8.8</v>
      </c>
      <c r="V239" s="36" t="s">
        <v>396</v>
      </c>
      <c r="W239" s="28" t="s">
        <v>1786</v>
      </c>
    </row>
    <row r="240" customFormat="false" ht="32.8" hidden="false" customHeight="false" outlineLevel="0" collapsed="false">
      <c r="A240" s="7" t="s">
        <v>1787</v>
      </c>
      <c r="B240" s="14" t="s">
        <v>1777</v>
      </c>
      <c r="C240" s="6" t="s">
        <v>1778</v>
      </c>
      <c r="D240" s="6" t="s">
        <v>1788</v>
      </c>
      <c r="E240" s="6" t="s">
        <v>1789</v>
      </c>
      <c r="F240" s="28" t="s">
        <v>1781</v>
      </c>
      <c r="G240" s="29" t="s">
        <v>143</v>
      </c>
      <c r="H240" s="37" t="s">
        <v>962</v>
      </c>
      <c r="I240" s="28" t="s">
        <v>1790</v>
      </c>
      <c r="J240" s="28" t="s">
        <v>1791</v>
      </c>
      <c r="K240" s="28" t="s">
        <v>1792</v>
      </c>
      <c r="L240" s="6" t="s">
        <v>1793</v>
      </c>
      <c r="M240" s="22" t="s">
        <v>75</v>
      </c>
      <c r="N240" s="22" t="s">
        <v>73</v>
      </c>
      <c r="O240" s="22" t="s">
        <v>169</v>
      </c>
      <c r="P240" s="31" t="n">
        <f aca="false">IFERROR(VLOOKUP($M240,Assumptions!$A$15:$B$20,2,FALSE()),0)</f>
        <v>10</v>
      </c>
      <c r="Q240" s="31" t="n">
        <f aca="false">IFERROR(VLOOKUP($N240,Assumptions!$A$15:$B$20,2,FALSE()),0)</f>
        <v>5</v>
      </c>
      <c r="R240" s="31" t="n">
        <f aca="false">ROUND((P240+Q240)*Assumptions!$B$8,1)</f>
        <v>1.8</v>
      </c>
      <c r="S240" s="31" t="n">
        <f aca="false">IF($O240="Y",ROUND(Q240*Assumptions!$B$9,1),0)</f>
        <v>2</v>
      </c>
      <c r="T240" s="31" t="n">
        <f aca="false">ROUND((P240+Q240)*Assumptions!$B$10,1)</f>
        <v>5.3</v>
      </c>
      <c r="U240" s="9" t="n">
        <f aca="false">SUM(P240:T240)</f>
        <v>24.1</v>
      </c>
      <c r="V240" s="36" t="s">
        <v>396</v>
      </c>
      <c r="W240" s="28" t="s">
        <v>1794</v>
      </c>
    </row>
    <row r="241" customFormat="false" ht="23.85" hidden="false" customHeight="false" outlineLevel="0" collapsed="false">
      <c r="A241" s="7" t="s">
        <v>1795</v>
      </c>
      <c r="B241" s="14" t="s">
        <v>1777</v>
      </c>
      <c r="C241" s="6" t="s">
        <v>1778</v>
      </c>
      <c r="D241" s="6" t="s">
        <v>1796</v>
      </c>
      <c r="E241" s="6" t="s">
        <v>1797</v>
      </c>
      <c r="F241" s="28" t="s">
        <v>1798</v>
      </c>
      <c r="G241" s="29" t="s">
        <v>143</v>
      </c>
      <c r="H241" s="37" t="s">
        <v>962</v>
      </c>
      <c r="I241" s="28" t="s">
        <v>1799</v>
      </c>
      <c r="J241" s="28" t="s">
        <v>1800</v>
      </c>
      <c r="K241" s="28" t="s">
        <v>1801</v>
      </c>
      <c r="L241" s="6" t="s">
        <v>1787</v>
      </c>
      <c r="M241" s="22" t="s">
        <v>71</v>
      </c>
      <c r="N241" s="22" t="s">
        <v>71</v>
      </c>
      <c r="O241" s="22" t="s">
        <v>149</v>
      </c>
      <c r="P241" s="31" t="n">
        <f aca="false">IFERROR(VLOOKUP($M241,Assumptions!$A$15:$B$20,2,FALSE()),0)</f>
        <v>3</v>
      </c>
      <c r="Q241" s="31" t="n">
        <f aca="false">IFERROR(VLOOKUP($N241,Assumptions!$A$15:$B$20,2,FALSE()),0)</f>
        <v>3</v>
      </c>
      <c r="R241" s="31" t="n">
        <f aca="false">ROUND((P241+Q241)*Assumptions!$B$8,1)</f>
        <v>0.7</v>
      </c>
      <c r="S241" s="31" t="n">
        <f aca="false">IF($O241="Y",ROUND(Q241*Assumptions!$B$9,1),0)</f>
        <v>0</v>
      </c>
      <c r="T241" s="31" t="n">
        <f aca="false">ROUND((P241+Q241)*Assumptions!$B$10,1)</f>
        <v>2.1</v>
      </c>
      <c r="U241" s="9" t="n">
        <f aca="false">SUM(P241:T241)</f>
        <v>8.8</v>
      </c>
      <c r="V241" s="35" t="s">
        <v>386</v>
      </c>
      <c r="W241" s="28"/>
    </row>
    <row r="242" customFormat="false" ht="23.85" hidden="false" customHeight="false" outlineLevel="0" collapsed="false">
      <c r="A242" s="7" t="s">
        <v>1802</v>
      </c>
      <c r="B242" s="14" t="s">
        <v>1777</v>
      </c>
      <c r="C242" s="6" t="s">
        <v>1778</v>
      </c>
      <c r="D242" s="6" t="s">
        <v>1803</v>
      </c>
      <c r="E242" s="6" t="s">
        <v>1804</v>
      </c>
      <c r="F242" s="28" t="s">
        <v>1781</v>
      </c>
      <c r="G242" s="29" t="s">
        <v>143</v>
      </c>
      <c r="H242" s="37" t="s">
        <v>962</v>
      </c>
      <c r="I242" s="28" t="s">
        <v>1805</v>
      </c>
      <c r="J242" s="28" t="s">
        <v>1806</v>
      </c>
      <c r="K242" s="28" t="s">
        <v>1807</v>
      </c>
      <c r="L242" s="6" t="s">
        <v>1787</v>
      </c>
      <c r="M242" s="22" t="s">
        <v>71</v>
      </c>
      <c r="N242" s="22" t="s">
        <v>71</v>
      </c>
      <c r="O242" s="22" t="s">
        <v>149</v>
      </c>
      <c r="P242" s="31" t="n">
        <f aca="false">IFERROR(VLOOKUP($M242,Assumptions!$A$15:$B$20,2,FALSE()),0)</f>
        <v>3</v>
      </c>
      <c r="Q242" s="31" t="n">
        <f aca="false">IFERROR(VLOOKUP($N242,Assumptions!$A$15:$B$20,2,FALSE()),0)</f>
        <v>3</v>
      </c>
      <c r="R242" s="31" t="n">
        <f aca="false">ROUND((P242+Q242)*Assumptions!$B$8,1)</f>
        <v>0.7</v>
      </c>
      <c r="S242" s="31" t="n">
        <f aca="false">IF($O242="Y",ROUND(Q242*Assumptions!$B$9,1),0)</f>
        <v>0</v>
      </c>
      <c r="T242" s="31" t="n">
        <f aca="false">ROUND((P242+Q242)*Assumptions!$B$10,1)</f>
        <v>2.1</v>
      </c>
      <c r="U242" s="9" t="n">
        <f aca="false">SUM(P242:T242)</f>
        <v>8.8</v>
      </c>
      <c r="V242" s="35" t="s">
        <v>386</v>
      </c>
      <c r="W242" s="28"/>
    </row>
    <row r="243" customFormat="false" ht="23.85" hidden="false" customHeight="false" outlineLevel="0" collapsed="false">
      <c r="A243" s="7" t="s">
        <v>1808</v>
      </c>
      <c r="B243" s="14" t="s">
        <v>1777</v>
      </c>
      <c r="C243" s="6" t="s">
        <v>1778</v>
      </c>
      <c r="D243" s="6" t="s">
        <v>1809</v>
      </c>
      <c r="E243" s="6" t="s">
        <v>1810</v>
      </c>
      <c r="F243" s="28" t="s">
        <v>1781</v>
      </c>
      <c r="G243" s="29" t="s">
        <v>143</v>
      </c>
      <c r="H243" s="37" t="s">
        <v>962</v>
      </c>
      <c r="I243" s="28" t="s">
        <v>1811</v>
      </c>
      <c r="J243" s="28" t="s">
        <v>1812</v>
      </c>
      <c r="K243" s="28" t="s">
        <v>1813</v>
      </c>
      <c r="L243" s="6" t="s">
        <v>1787</v>
      </c>
      <c r="M243" s="22" t="s">
        <v>71</v>
      </c>
      <c r="N243" s="22" t="s">
        <v>73</v>
      </c>
      <c r="O243" s="22" t="s">
        <v>149</v>
      </c>
      <c r="P243" s="31" t="n">
        <f aca="false">IFERROR(VLOOKUP($M243,Assumptions!$A$15:$B$20,2,FALSE()),0)</f>
        <v>3</v>
      </c>
      <c r="Q243" s="31" t="n">
        <f aca="false">IFERROR(VLOOKUP($N243,Assumptions!$A$15:$B$20,2,FALSE()),0)</f>
        <v>5</v>
      </c>
      <c r="R243" s="31" t="n">
        <f aca="false">ROUND((P243+Q243)*Assumptions!$B$8,1)</f>
        <v>1</v>
      </c>
      <c r="S243" s="31" t="n">
        <f aca="false">IF($O243="Y",ROUND(Q243*Assumptions!$B$9,1),0)</f>
        <v>0</v>
      </c>
      <c r="T243" s="31" t="n">
        <f aca="false">ROUND((P243+Q243)*Assumptions!$B$10,1)</f>
        <v>2.8</v>
      </c>
      <c r="U243" s="9" t="n">
        <f aca="false">SUM(P243:T243)</f>
        <v>11.8</v>
      </c>
      <c r="V243" s="34" t="s">
        <v>320</v>
      </c>
      <c r="W243" s="28"/>
    </row>
    <row r="244" customFormat="false" ht="23.85" hidden="false" customHeight="false" outlineLevel="0" collapsed="false">
      <c r="A244" s="7" t="s">
        <v>1814</v>
      </c>
      <c r="B244" s="14" t="s">
        <v>1777</v>
      </c>
      <c r="C244" s="6" t="s">
        <v>1778</v>
      </c>
      <c r="D244" s="6" t="s">
        <v>1815</v>
      </c>
      <c r="E244" s="6" t="s">
        <v>1816</v>
      </c>
      <c r="F244" s="28" t="s">
        <v>1781</v>
      </c>
      <c r="G244" s="29" t="s">
        <v>143</v>
      </c>
      <c r="H244" s="37" t="s">
        <v>962</v>
      </c>
      <c r="I244" s="28" t="s">
        <v>1817</v>
      </c>
      <c r="J244" s="28" t="s">
        <v>1818</v>
      </c>
      <c r="K244" s="28" t="s">
        <v>1819</v>
      </c>
      <c r="L244" s="6" t="s">
        <v>1673</v>
      </c>
      <c r="M244" s="22" t="s">
        <v>71</v>
      </c>
      <c r="N244" s="22" t="s">
        <v>71</v>
      </c>
      <c r="O244" s="22" t="s">
        <v>149</v>
      </c>
      <c r="P244" s="31" t="n">
        <f aca="false">IFERROR(VLOOKUP($M244,Assumptions!$A$15:$B$20,2,FALSE()),0)</f>
        <v>3</v>
      </c>
      <c r="Q244" s="31" t="n">
        <f aca="false">IFERROR(VLOOKUP($N244,Assumptions!$A$15:$B$20,2,FALSE()),0)</f>
        <v>3</v>
      </c>
      <c r="R244" s="31" t="n">
        <f aca="false">ROUND((P244+Q244)*Assumptions!$B$8,1)</f>
        <v>0.7</v>
      </c>
      <c r="S244" s="31" t="n">
        <f aca="false">IF($O244="Y",ROUND(Q244*Assumptions!$B$9,1),0)</f>
        <v>0</v>
      </c>
      <c r="T244" s="31" t="n">
        <f aca="false">ROUND((P244+Q244)*Assumptions!$B$10,1)</f>
        <v>2.1</v>
      </c>
      <c r="U244" s="9" t="n">
        <f aca="false">SUM(P244:T244)</f>
        <v>8.8</v>
      </c>
      <c r="V244" s="34" t="s">
        <v>320</v>
      </c>
      <c r="W244" s="28"/>
    </row>
    <row r="245" customFormat="false" ht="23.85" hidden="false" customHeight="false" outlineLevel="0" collapsed="false">
      <c r="A245" s="7" t="s">
        <v>1820</v>
      </c>
      <c r="B245" s="14" t="s">
        <v>1777</v>
      </c>
      <c r="C245" s="6" t="s">
        <v>1778</v>
      </c>
      <c r="D245" s="6" t="s">
        <v>1821</v>
      </c>
      <c r="E245" s="6" t="s">
        <v>1822</v>
      </c>
      <c r="F245" s="28" t="s">
        <v>1823</v>
      </c>
      <c r="G245" s="32" t="s">
        <v>265</v>
      </c>
      <c r="H245" s="32" t="s">
        <v>272</v>
      </c>
      <c r="I245" s="28" t="s">
        <v>1824</v>
      </c>
      <c r="J245" s="28" t="s">
        <v>1825</v>
      </c>
      <c r="K245" s="28" t="s">
        <v>1826</v>
      </c>
      <c r="L245" s="6" t="s">
        <v>1827</v>
      </c>
      <c r="M245" s="22" t="s">
        <v>71</v>
      </c>
      <c r="N245" s="22" t="s">
        <v>69</v>
      </c>
      <c r="O245" s="22" t="s">
        <v>149</v>
      </c>
      <c r="P245" s="31" t="n">
        <f aca="false">IFERROR(VLOOKUP($M245,Assumptions!$A$15:$B$20,2,FALSE()),0)</f>
        <v>3</v>
      </c>
      <c r="Q245" s="31" t="n">
        <f aca="false">IFERROR(VLOOKUP($N245,Assumptions!$A$15:$B$20,2,FALSE()),0)</f>
        <v>1</v>
      </c>
      <c r="R245" s="31" t="n">
        <f aca="false">ROUND((P245+Q245)*Assumptions!$B$8,1)</f>
        <v>0.5</v>
      </c>
      <c r="S245" s="31" t="n">
        <f aca="false">IF($O245="Y",ROUND(Q245*Assumptions!$B$9,1),0)</f>
        <v>0</v>
      </c>
      <c r="T245" s="31" t="n">
        <f aca="false">ROUND((P245+Q245)*Assumptions!$B$10,1)</f>
        <v>1.4</v>
      </c>
      <c r="U245" s="9" t="n">
        <f aca="false">SUM(P245:T245)</f>
        <v>5.9</v>
      </c>
      <c r="V245" s="35" t="s">
        <v>386</v>
      </c>
      <c r="W245" s="28"/>
    </row>
    <row r="246" customFormat="false" ht="23.85" hidden="false" customHeight="false" outlineLevel="0" collapsed="false">
      <c r="A246" s="7" t="s">
        <v>1828</v>
      </c>
      <c r="B246" s="14" t="s">
        <v>1777</v>
      </c>
      <c r="C246" s="6" t="s">
        <v>1778</v>
      </c>
      <c r="D246" s="6" t="s">
        <v>1829</v>
      </c>
      <c r="E246" s="6" t="s">
        <v>1830</v>
      </c>
      <c r="F246" s="28" t="s">
        <v>1831</v>
      </c>
      <c r="G246" s="32" t="s">
        <v>265</v>
      </c>
      <c r="H246" s="32" t="s">
        <v>272</v>
      </c>
      <c r="I246" s="28" t="s">
        <v>1832</v>
      </c>
      <c r="J246" s="28" t="s">
        <v>1833</v>
      </c>
      <c r="K246" s="28" t="s">
        <v>1834</v>
      </c>
      <c r="L246" s="6" t="s">
        <v>241</v>
      </c>
      <c r="M246" s="22" t="s">
        <v>71</v>
      </c>
      <c r="N246" s="22" t="s">
        <v>73</v>
      </c>
      <c r="O246" s="22" t="s">
        <v>149</v>
      </c>
      <c r="P246" s="31" t="n">
        <f aca="false">IFERROR(VLOOKUP($M246,Assumptions!$A$15:$B$20,2,FALSE()),0)</f>
        <v>3</v>
      </c>
      <c r="Q246" s="31" t="n">
        <f aca="false">IFERROR(VLOOKUP($N246,Assumptions!$A$15:$B$20,2,FALSE()),0)</f>
        <v>5</v>
      </c>
      <c r="R246" s="31" t="n">
        <f aca="false">ROUND((P246+Q246)*Assumptions!$B$8,1)</f>
        <v>1</v>
      </c>
      <c r="S246" s="31" t="n">
        <f aca="false">IF($O246="Y",ROUND(Q246*Assumptions!$B$9,1),0)</f>
        <v>0</v>
      </c>
      <c r="T246" s="31" t="n">
        <f aca="false">ROUND((P246+Q246)*Assumptions!$B$10,1)</f>
        <v>2.8</v>
      </c>
      <c r="U246" s="9" t="n">
        <f aca="false">SUM(P246:T246)</f>
        <v>11.8</v>
      </c>
      <c r="V246" s="36" t="s">
        <v>396</v>
      </c>
      <c r="W246" s="28"/>
    </row>
    <row r="247" customFormat="false" ht="23.85" hidden="false" customHeight="false" outlineLevel="0" collapsed="false">
      <c r="A247" s="7" t="s">
        <v>1835</v>
      </c>
      <c r="B247" s="14" t="s">
        <v>1777</v>
      </c>
      <c r="C247" s="6" t="s">
        <v>1778</v>
      </c>
      <c r="D247" s="6" t="s">
        <v>1836</v>
      </c>
      <c r="E247" s="6" t="s">
        <v>752</v>
      </c>
      <c r="F247" s="28" t="s">
        <v>1831</v>
      </c>
      <c r="G247" s="32" t="s">
        <v>265</v>
      </c>
      <c r="H247" s="32" t="s">
        <v>272</v>
      </c>
      <c r="I247" s="28" t="s">
        <v>1837</v>
      </c>
      <c r="J247" s="28" t="s">
        <v>1838</v>
      </c>
      <c r="K247" s="28" t="s">
        <v>1839</v>
      </c>
      <c r="L247" s="6" t="s">
        <v>192</v>
      </c>
      <c r="M247" s="22" t="s">
        <v>69</v>
      </c>
      <c r="N247" s="22" t="s">
        <v>71</v>
      </c>
      <c r="O247" s="22" t="s">
        <v>149</v>
      </c>
      <c r="P247" s="31" t="n">
        <f aca="false">IFERROR(VLOOKUP($M247,Assumptions!$A$15:$B$20,2,FALSE()),0)</f>
        <v>1</v>
      </c>
      <c r="Q247" s="31" t="n">
        <f aca="false">IFERROR(VLOOKUP($N247,Assumptions!$A$15:$B$20,2,FALSE()),0)</f>
        <v>3</v>
      </c>
      <c r="R247" s="31" t="n">
        <f aca="false">ROUND((P247+Q247)*Assumptions!$B$8,1)</f>
        <v>0.5</v>
      </c>
      <c r="S247" s="31" t="n">
        <f aca="false">IF($O247="Y",ROUND(Q247*Assumptions!$B$9,1),0)</f>
        <v>0</v>
      </c>
      <c r="T247" s="31" t="n">
        <f aca="false">ROUND((P247+Q247)*Assumptions!$B$10,1)</f>
        <v>1.4</v>
      </c>
      <c r="U247" s="9" t="n">
        <f aca="false">SUM(P247:T247)</f>
        <v>5.9</v>
      </c>
      <c r="V247" s="35" t="s">
        <v>386</v>
      </c>
      <c r="W247" s="28"/>
    </row>
    <row r="248" customFormat="false" ht="23.85" hidden="false" customHeight="false" outlineLevel="0" collapsed="false">
      <c r="A248" s="7" t="s">
        <v>1840</v>
      </c>
      <c r="B248" s="14" t="s">
        <v>1777</v>
      </c>
      <c r="C248" s="6" t="s">
        <v>1778</v>
      </c>
      <c r="D248" s="6" t="s">
        <v>1841</v>
      </c>
      <c r="E248" s="6" t="s">
        <v>1842</v>
      </c>
      <c r="F248" s="28" t="s">
        <v>1831</v>
      </c>
      <c r="G248" s="32" t="s">
        <v>265</v>
      </c>
      <c r="H248" s="32" t="s">
        <v>272</v>
      </c>
      <c r="I248" s="28" t="s">
        <v>1843</v>
      </c>
      <c r="J248" s="28" t="s">
        <v>1844</v>
      </c>
      <c r="K248" s="28" t="s">
        <v>1845</v>
      </c>
      <c r="L248" s="6" t="s">
        <v>192</v>
      </c>
      <c r="M248" s="22" t="s">
        <v>71</v>
      </c>
      <c r="N248" s="22" t="s">
        <v>71</v>
      </c>
      <c r="O248" s="22" t="s">
        <v>149</v>
      </c>
      <c r="P248" s="31" t="n">
        <f aca="false">IFERROR(VLOOKUP($M248,Assumptions!$A$15:$B$20,2,FALSE()),0)</f>
        <v>3</v>
      </c>
      <c r="Q248" s="31" t="n">
        <f aca="false">IFERROR(VLOOKUP($N248,Assumptions!$A$15:$B$20,2,FALSE()),0)</f>
        <v>3</v>
      </c>
      <c r="R248" s="31" t="n">
        <f aca="false">ROUND((P248+Q248)*Assumptions!$B$8,1)</f>
        <v>0.7</v>
      </c>
      <c r="S248" s="31" t="n">
        <f aca="false">IF($O248="Y",ROUND(Q248*Assumptions!$B$9,1),0)</f>
        <v>0</v>
      </c>
      <c r="T248" s="31" t="n">
        <f aca="false">ROUND((P248+Q248)*Assumptions!$B$10,1)</f>
        <v>2.1</v>
      </c>
      <c r="U248" s="9" t="n">
        <f aca="false">SUM(P248:T248)</f>
        <v>8.8</v>
      </c>
      <c r="V248" s="35" t="s">
        <v>386</v>
      </c>
      <c r="W248" s="28"/>
    </row>
    <row r="249" customFormat="false" ht="23.85" hidden="false" customHeight="false" outlineLevel="0" collapsed="false">
      <c r="A249" s="7" t="s">
        <v>1846</v>
      </c>
      <c r="B249" s="14" t="s">
        <v>1777</v>
      </c>
      <c r="C249" s="6" t="s">
        <v>1778</v>
      </c>
      <c r="D249" s="6" t="s">
        <v>1847</v>
      </c>
      <c r="E249" s="6" t="s">
        <v>1848</v>
      </c>
      <c r="F249" s="28" t="s">
        <v>1849</v>
      </c>
      <c r="G249" s="32" t="s">
        <v>265</v>
      </c>
      <c r="H249" s="32" t="s">
        <v>272</v>
      </c>
      <c r="I249" s="28" t="s">
        <v>1850</v>
      </c>
      <c r="J249" s="28" t="s">
        <v>1851</v>
      </c>
      <c r="K249" s="28" t="s">
        <v>1852</v>
      </c>
      <c r="L249" s="6" t="s">
        <v>1853</v>
      </c>
      <c r="M249" s="22" t="s">
        <v>73</v>
      </c>
      <c r="N249" s="22" t="s">
        <v>71</v>
      </c>
      <c r="O249" s="22" t="s">
        <v>149</v>
      </c>
      <c r="P249" s="31" t="n">
        <f aca="false">IFERROR(VLOOKUP($M249,Assumptions!$A$15:$B$20,2,FALSE()),0)</f>
        <v>5</v>
      </c>
      <c r="Q249" s="31" t="n">
        <f aca="false">IFERROR(VLOOKUP($N249,Assumptions!$A$15:$B$20,2,FALSE()),0)</f>
        <v>3</v>
      </c>
      <c r="R249" s="31" t="n">
        <f aca="false">ROUND((P249+Q249)*Assumptions!$B$8,1)</f>
        <v>1</v>
      </c>
      <c r="S249" s="31" t="n">
        <f aca="false">IF($O249="Y",ROUND(Q249*Assumptions!$B$9,1),0)</f>
        <v>0</v>
      </c>
      <c r="T249" s="31" t="n">
        <f aca="false">ROUND((P249+Q249)*Assumptions!$B$10,1)</f>
        <v>2.8</v>
      </c>
      <c r="U249" s="9" t="n">
        <f aca="false">SUM(P249:T249)</f>
        <v>11.8</v>
      </c>
      <c r="V249" s="36" t="s">
        <v>396</v>
      </c>
      <c r="W249" s="28" t="s">
        <v>1854</v>
      </c>
    </row>
    <row r="250" customFormat="false" ht="23.85" hidden="false" customHeight="false" outlineLevel="0" collapsed="false">
      <c r="A250" s="7" t="s">
        <v>1855</v>
      </c>
      <c r="B250" s="14" t="s">
        <v>1777</v>
      </c>
      <c r="C250" s="6" t="s">
        <v>1778</v>
      </c>
      <c r="D250" s="6" t="s">
        <v>1856</v>
      </c>
      <c r="E250" s="6" t="s">
        <v>1857</v>
      </c>
      <c r="F250" s="28" t="s">
        <v>1781</v>
      </c>
      <c r="G250" s="32" t="s">
        <v>265</v>
      </c>
      <c r="H250" s="32" t="s">
        <v>272</v>
      </c>
      <c r="I250" s="28" t="s">
        <v>1858</v>
      </c>
      <c r="J250" s="28" t="s">
        <v>1859</v>
      </c>
      <c r="K250" s="28" t="s">
        <v>1860</v>
      </c>
      <c r="L250" s="6" t="s">
        <v>1814</v>
      </c>
      <c r="M250" s="22" t="s">
        <v>71</v>
      </c>
      <c r="N250" s="22" t="s">
        <v>69</v>
      </c>
      <c r="O250" s="22" t="s">
        <v>149</v>
      </c>
      <c r="P250" s="31" t="n">
        <f aca="false">IFERROR(VLOOKUP($M250,Assumptions!$A$15:$B$20,2,FALSE()),0)</f>
        <v>3</v>
      </c>
      <c r="Q250" s="31" t="n">
        <f aca="false">IFERROR(VLOOKUP($N250,Assumptions!$A$15:$B$20,2,FALSE()),0)</f>
        <v>1</v>
      </c>
      <c r="R250" s="31" t="n">
        <f aca="false">ROUND((P250+Q250)*Assumptions!$B$8,1)</f>
        <v>0.5</v>
      </c>
      <c r="S250" s="31" t="n">
        <f aca="false">IF($O250="Y",ROUND(Q250*Assumptions!$B$9,1),0)</f>
        <v>0</v>
      </c>
      <c r="T250" s="31" t="n">
        <f aca="false">ROUND((P250+Q250)*Assumptions!$B$10,1)</f>
        <v>1.4</v>
      </c>
      <c r="U250" s="9" t="n">
        <f aca="false">SUM(P250:T250)</f>
        <v>5.9</v>
      </c>
      <c r="V250" s="35" t="s">
        <v>386</v>
      </c>
      <c r="W250" s="28"/>
    </row>
    <row r="251" customFormat="false" ht="23.85" hidden="false" customHeight="false" outlineLevel="0" collapsed="false">
      <c r="A251" s="7" t="s">
        <v>1861</v>
      </c>
      <c r="B251" s="14" t="s">
        <v>1777</v>
      </c>
      <c r="C251" s="6" t="s">
        <v>1778</v>
      </c>
      <c r="D251" s="6" t="s">
        <v>1862</v>
      </c>
      <c r="E251" s="6" t="s">
        <v>1863</v>
      </c>
      <c r="F251" s="28" t="s">
        <v>1864</v>
      </c>
      <c r="G251" s="32" t="s">
        <v>265</v>
      </c>
      <c r="H251" s="32" t="s">
        <v>272</v>
      </c>
      <c r="I251" s="28" t="s">
        <v>1865</v>
      </c>
      <c r="J251" s="28" t="s">
        <v>1866</v>
      </c>
      <c r="K251" s="28" t="s">
        <v>1867</v>
      </c>
      <c r="L251" s="6" t="s">
        <v>352</v>
      </c>
      <c r="M251" s="22" t="s">
        <v>71</v>
      </c>
      <c r="N251" s="22" t="s">
        <v>71</v>
      </c>
      <c r="O251" s="22" t="s">
        <v>149</v>
      </c>
      <c r="P251" s="31" t="n">
        <f aca="false">IFERROR(VLOOKUP($M251,Assumptions!$A$15:$B$20,2,FALSE()),0)</f>
        <v>3</v>
      </c>
      <c r="Q251" s="31" t="n">
        <f aca="false">IFERROR(VLOOKUP($N251,Assumptions!$A$15:$B$20,2,FALSE()),0)</f>
        <v>3</v>
      </c>
      <c r="R251" s="31" t="n">
        <f aca="false">ROUND((P251+Q251)*Assumptions!$B$8,1)</f>
        <v>0.7</v>
      </c>
      <c r="S251" s="31" t="n">
        <f aca="false">IF($O251="Y",ROUND(Q251*Assumptions!$B$9,1),0)</f>
        <v>0</v>
      </c>
      <c r="T251" s="31" t="n">
        <f aca="false">ROUND((P251+Q251)*Assumptions!$B$10,1)</f>
        <v>2.1</v>
      </c>
      <c r="U251" s="9" t="n">
        <f aca="false">SUM(P251:T251)</f>
        <v>8.8</v>
      </c>
      <c r="V251" s="35" t="s">
        <v>386</v>
      </c>
      <c r="W251" s="28"/>
    </row>
    <row r="252" customFormat="false" ht="23.85" hidden="false" customHeight="false" outlineLevel="0" collapsed="false">
      <c r="A252" s="7" t="s">
        <v>1868</v>
      </c>
      <c r="B252" s="14" t="s">
        <v>1777</v>
      </c>
      <c r="C252" s="6" t="s">
        <v>1778</v>
      </c>
      <c r="D252" s="6" t="s">
        <v>1869</v>
      </c>
      <c r="E252" s="6" t="s">
        <v>1870</v>
      </c>
      <c r="F252" s="28" t="s">
        <v>1781</v>
      </c>
      <c r="G252" s="33" t="s">
        <v>286</v>
      </c>
      <c r="H252" s="33" t="s">
        <v>287</v>
      </c>
      <c r="I252" s="28" t="s">
        <v>1871</v>
      </c>
      <c r="J252" s="28" t="s">
        <v>1872</v>
      </c>
      <c r="K252" s="28" t="s">
        <v>1873</v>
      </c>
      <c r="L252" s="6" t="s">
        <v>178</v>
      </c>
      <c r="M252" s="22" t="s">
        <v>71</v>
      </c>
      <c r="N252" s="22" t="s">
        <v>71</v>
      </c>
      <c r="O252" s="22" t="s">
        <v>149</v>
      </c>
      <c r="P252" s="31" t="n">
        <f aca="false">IFERROR(VLOOKUP($M252,Assumptions!$A$15:$B$20,2,FALSE()),0)</f>
        <v>3</v>
      </c>
      <c r="Q252" s="31" t="n">
        <f aca="false">IFERROR(VLOOKUP($N252,Assumptions!$A$15:$B$20,2,FALSE()),0)</f>
        <v>3</v>
      </c>
      <c r="R252" s="31" t="n">
        <f aca="false">ROUND((P252+Q252)*Assumptions!$B$8,1)</f>
        <v>0.7</v>
      </c>
      <c r="S252" s="31" t="n">
        <f aca="false">IF($O252="Y",ROUND(Q252*Assumptions!$B$9,1),0)</f>
        <v>0</v>
      </c>
      <c r="T252" s="31" t="n">
        <f aca="false">ROUND((P252+Q252)*Assumptions!$B$10,1)</f>
        <v>2.1</v>
      </c>
      <c r="U252" s="9" t="n">
        <f aca="false">SUM(P252:T252)</f>
        <v>8.8</v>
      </c>
      <c r="V252" s="35" t="s">
        <v>386</v>
      </c>
      <c r="W252" s="28"/>
    </row>
    <row r="253" customFormat="false" ht="23.85" hidden="false" customHeight="false" outlineLevel="0" collapsed="false">
      <c r="A253" s="7" t="s">
        <v>1874</v>
      </c>
      <c r="B253" s="14" t="s">
        <v>1875</v>
      </c>
      <c r="C253" s="6" t="s">
        <v>1876</v>
      </c>
      <c r="D253" s="6" t="s">
        <v>1877</v>
      </c>
      <c r="E253" s="6" t="s">
        <v>1878</v>
      </c>
      <c r="F253" s="28" t="s">
        <v>1879</v>
      </c>
      <c r="G253" s="29" t="s">
        <v>143</v>
      </c>
      <c r="H253" s="37" t="s">
        <v>962</v>
      </c>
      <c r="I253" s="28" t="s">
        <v>1880</v>
      </c>
      <c r="J253" s="28" t="s">
        <v>1881</v>
      </c>
      <c r="K253" s="28" t="s">
        <v>1882</v>
      </c>
      <c r="L253" s="6" t="s">
        <v>178</v>
      </c>
      <c r="M253" s="22" t="s">
        <v>71</v>
      </c>
      <c r="N253" s="22" t="s">
        <v>71</v>
      </c>
      <c r="O253" s="22" t="s">
        <v>149</v>
      </c>
      <c r="P253" s="31" t="n">
        <f aca="false">IFERROR(VLOOKUP($M253,Assumptions!$A$15:$B$20,2,FALSE()),0)</f>
        <v>3</v>
      </c>
      <c r="Q253" s="31" t="n">
        <f aca="false">IFERROR(VLOOKUP($N253,Assumptions!$A$15:$B$20,2,FALSE()),0)</f>
        <v>3</v>
      </c>
      <c r="R253" s="31" t="n">
        <f aca="false">ROUND((P253+Q253)*Assumptions!$B$8,1)</f>
        <v>0.7</v>
      </c>
      <c r="S253" s="31" t="n">
        <f aca="false">IF($O253="Y",ROUND(Q253*Assumptions!$B$9,1),0)</f>
        <v>0</v>
      </c>
      <c r="T253" s="31" t="n">
        <f aca="false">ROUND((P253+Q253)*Assumptions!$B$10,1)</f>
        <v>2.1</v>
      </c>
      <c r="U253" s="9" t="n">
        <f aca="false">SUM(P253:T253)</f>
        <v>8.8</v>
      </c>
      <c r="V253" s="36" t="s">
        <v>396</v>
      </c>
      <c r="W253" s="28" t="s">
        <v>1786</v>
      </c>
    </row>
    <row r="254" customFormat="false" ht="23.85" hidden="false" customHeight="false" outlineLevel="0" collapsed="false">
      <c r="A254" s="7" t="s">
        <v>1883</v>
      </c>
      <c r="B254" s="14" t="s">
        <v>1875</v>
      </c>
      <c r="C254" s="6" t="s">
        <v>1876</v>
      </c>
      <c r="D254" s="6" t="s">
        <v>1884</v>
      </c>
      <c r="E254" s="6" t="s">
        <v>1885</v>
      </c>
      <c r="F254" s="28" t="s">
        <v>1886</v>
      </c>
      <c r="G254" s="29" t="s">
        <v>143</v>
      </c>
      <c r="H254" s="37" t="s">
        <v>962</v>
      </c>
      <c r="I254" s="28" t="s">
        <v>1887</v>
      </c>
      <c r="J254" s="28" t="s">
        <v>1888</v>
      </c>
      <c r="K254" s="28" t="s">
        <v>1889</v>
      </c>
      <c r="L254" s="6" t="s">
        <v>472</v>
      </c>
      <c r="M254" s="22" t="s">
        <v>71</v>
      </c>
      <c r="N254" s="22" t="s">
        <v>71</v>
      </c>
      <c r="O254" s="22" t="s">
        <v>149</v>
      </c>
      <c r="P254" s="31" t="n">
        <f aca="false">IFERROR(VLOOKUP($M254,Assumptions!$A$15:$B$20,2,FALSE()),0)</f>
        <v>3</v>
      </c>
      <c r="Q254" s="31" t="n">
        <f aca="false">IFERROR(VLOOKUP($N254,Assumptions!$A$15:$B$20,2,FALSE()),0)</f>
        <v>3</v>
      </c>
      <c r="R254" s="31" t="n">
        <f aca="false">ROUND((P254+Q254)*Assumptions!$B$8,1)</f>
        <v>0.7</v>
      </c>
      <c r="S254" s="31" t="n">
        <f aca="false">IF($O254="Y",ROUND(Q254*Assumptions!$B$9,1),0)</f>
        <v>0</v>
      </c>
      <c r="T254" s="31" t="n">
        <f aca="false">ROUND((P254+Q254)*Assumptions!$B$10,1)</f>
        <v>2.1</v>
      </c>
      <c r="U254" s="9" t="n">
        <f aca="false">SUM(P254:T254)</f>
        <v>8.8</v>
      </c>
      <c r="V254" s="35" t="s">
        <v>386</v>
      </c>
      <c r="W254" s="28"/>
    </row>
    <row r="255" customFormat="false" ht="23.85" hidden="false" customHeight="false" outlineLevel="0" collapsed="false">
      <c r="A255" s="7" t="s">
        <v>1890</v>
      </c>
      <c r="B255" s="14" t="s">
        <v>1875</v>
      </c>
      <c r="C255" s="6" t="s">
        <v>1876</v>
      </c>
      <c r="D255" s="6" t="s">
        <v>1891</v>
      </c>
      <c r="E255" s="6" t="s">
        <v>1892</v>
      </c>
      <c r="F255" s="28" t="s">
        <v>1893</v>
      </c>
      <c r="G255" s="29" t="s">
        <v>143</v>
      </c>
      <c r="H255" s="37" t="s">
        <v>962</v>
      </c>
      <c r="I255" s="28" t="s">
        <v>1894</v>
      </c>
      <c r="J255" s="28" t="s">
        <v>1895</v>
      </c>
      <c r="K255" s="28" t="s">
        <v>1896</v>
      </c>
      <c r="L255" s="6" t="s">
        <v>1897</v>
      </c>
      <c r="M255" s="22" t="s">
        <v>71</v>
      </c>
      <c r="N255" s="22" t="s">
        <v>71</v>
      </c>
      <c r="O255" s="22" t="s">
        <v>149</v>
      </c>
      <c r="P255" s="31" t="n">
        <f aca="false">IFERROR(VLOOKUP($M255,Assumptions!$A$15:$B$20,2,FALSE()),0)</f>
        <v>3</v>
      </c>
      <c r="Q255" s="31" t="n">
        <f aca="false">IFERROR(VLOOKUP($N255,Assumptions!$A$15:$B$20,2,FALSE()),0)</f>
        <v>3</v>
      </c>
      <c r="R255" s="31" t="n">
        <f aca="false">ROUND((P255+Q255)*Assumptions!$B$8,1)</f>
        <v>0.7</v>
      </c>
      <c r="S255" s="31" t="n">
        <f aca="false">IF($O255="Y",ROUND(Q255*Assumptions!$B$9,1),0)</f>
        <v>0</v>
      </c>
      <c r="T255" s="31" t="n">
        <f aca="false">ROUND((P255+Q255)*Assumptions!$B$10,1)</f>
        <v>2.1</v>
      </c>
      <c r="U255" s="9" t="n">
        <f aca="false">SUM(P255:T255)</f>
        <v>8.8</v>
      </c>
      <c r="V255" s="36" t="s">
        <v>396</v>
      </c>
      <c r="W255" s="28"/>
    </row>
    <row r="256" customFormat="false" ht="23.85" hidden="false" customHeight="false" outlineLevel="0" collapsed="false">
      <c r="A256" s="7" t="s">
        <v>1898</v>
      </c>
      <c r="B256" s="14" t="s">
        <v>1875</v>
      </c>
      <c r="C256" s="6" t="s">
        <v>1876</v>
      </c>
      <c r="D256" s="6" t="s">
        <v>1899</v>
      </c>
      <c r="E256" s="6" t="s">
        <v>1900</v>
      </c>
      <c r="F256" s="28" t="s">
        <v>1901</v>
      </c>
      <c r="G256" s="29" t="s">
        <v>143</v>
      </c>
      <c r="H256" s="37" t="s">
        <v>962</v>
      </c>
      <c r="I256" s="28" t="s">
        <v>1902</v>
      </c>
      <c r="J256" s="28" t="s">
        <v>1903</v>
      </c>
      <c r="K256" s="28" t="s">
        <v>1904</v>
      </c>
      <c r="L256" s="6" t="s">
        <v>1787</v>
      </c>
      <c r="M256" s="22" t="s">
        <v>71</v>
      </c>
      <c r="N256" s="22" t="s">
        <v>71</v>
      </c>
      <c r="O256" s="22" t="s">
        <v>149</v>
      </c>
      <c r="P256" s="31" t="n">
        <f aca="false">IFERROR(VLOOKUP($M256,Assumptions!$A$15:$B$20,2,FALSE()),0)</f>
        <v>3</v>
      </c>
      <c r="Q256" s="31" t="n">
        <f aca="false">IFERROR(VLOOKUP($N256,Assumptions!$A$15:$B$20,2,FALSE()),0)</f>
        <v>3</v>
      </c>
      <c r="R256" s="31" t="n">
        <f aca="false">ROUND((P256+Q256)*Assumptions!$B$8,1)</f>
        <v>0.7</v>
      </c>
      <c r="S256" s="31" t="n">
        <f aca="false">IF($O256="Y",ROUND(Q256*Assumptions!$B$9,1),0)</f>
        <v>0</v>
      </c>
      <c r="T256" s="31" t="n">
        <f aca="false">ROUND((P256+Q256)*Assumptions!$B$10,1)</f>
        <v>2.1</v>
      </c>
      <c r="U256" s="9" t="n">
        <f aca="false">SUM(P256:T256)</f>
        <v>8.8</v>
      </c>
      <c r="V256" s="36" t="s">
        <v>396</v>
      </c>
      <c r="W256" s="28"/>
    </row>
    <row r="257" customFormat="false" ht="23.85" hidden="false" customHeight="false" outlineLevel="0" collapsed="false">
      <c r="A257" s="7" t="s">
        <v>1905</v>
      </c>
      <c r="B257" s="14" t="s">
        <v>1875</v>
      </c>
      <c r="C257" s="6" t="s">
        <v>1876</v>
      </c>
      <c r="D257" s="6" t="s">
        <v>1796</v>
      </c>
      <c r="E257" s="6" t="s">
        <v>1797</v>
      </c>
      <c r="F257" s="28" t="s">
        <v>1906</v>
      </c>
      <c r="G257" s="29" t="s">
        <v>143</v>
      </c>
      <c r="H257" s="37" t="s">
        <v>962</v>
      </c>
      <c r="I257" s="28" t="s">
        <v>1907</v>
      </c>
      <c r="J257" s="28" t="s">
        <v>1908</v>
      </c>
      <c r="K257" s="28" t="s">
        <v>1909</v>
      </c>
      <c r="L257" s="6" t="s">
        <v>1890</v>
      </c>
      <c r="M257" s="22" t="s">
        <v>71</v>
      </c>
      <c r="N257" s="22" t="s">
        <v>69</v>
      </c>
      <c r="O257" s="22" t="s">
        <v>149</v>
      </c>
      <c r="P257" s="31" t="n">
        <f aca="false">IFERROR(VLOOKUP($M257,Assumptions!$A$15:$B$20,2,FALSE()),0)</f>
        <v>3</v>
      </c>
      <c r="Q257" s="31" t="n">
        <f aca="false">IFERROR(VLOOKUP($N257,Assumptions!$A$15:$B$20,2,FALSE()),0)</f>
        <v>1</v>
      </c>
      <c r="R257" s="31" t="n">
        <f aca="false">ROUND((P257+Q257)*Assumptions!$B$8,1)</f>
        <v>0.5</v>
      </c>
      <c r="S257" s="31" t="n">
        <f aca="false">IF($O257="Y",ROUND(Q257*Assumptions!$B$9,1),0)</f>
        <v>0</v>
      </c>
      <c r="T257" s="31" t="n">
        <f aca="false">ROUND((P257+Q257)*Assumptions!$B$10,1)</f>
        <v>1.4</v>
      </c>
      <c r="U257" s="9" t="n">
        <f aca="false">SUM(P257:T257)</f>
        <v>5.9</v>
      </c>
      <c r="V257" s="36" t="s">
        <v>396</v>
      </c>
      <c r="W257" s="28"/>
    </row>
    <row r="258" customFormat="false" ht="23.85" hidden="false" customHeight="false" outlineLevel="0" collapsed="false">
      <c r="A258" s="7" t="s">
        <v>1910</v>
      </c>
      <c r="B258" s="14" t="s">
        <v>1875</v>
      </c>
      <c r="C258" s="6" t="s">
        <v>1876</v>
      </c>
      <c r="D258" s="6" t="s">
        <v>1911</v>
      </c>
      <c r="E258" s="6" t="s">
        <v>1912</v>
      </c>
      <c r="F258" s="28" t="s">
        <v>1913</v>
      </c>
      <c r="G258" s="29" t="s">
        <v>143</v>
      </c>
      <c r="H258" s="37" t="s">
        <v>962</v>
      </c>
      <c r="I258" s="28" t="s">
        <v>1914</v>
      </c>
      <c r="J258" s="28" t="s">
        <v>1915</v>
      </c>
      <c r="K258" s="28" t="s">
        <v>1916</v>
      </c>
      <c r="L258" s="6" t="s">
        <v>1808</v>
      </c>
      <c r="M258" s="22" t="s">
        <v>69</v>
      </c>
      <c r="N258" s="22" t="s">
        <v>71</v>
      </c>
      <c r="O258" s="22" t="s">
        <v>149</v>
      </c>
      <c r="P258" s="31" t="n">
        <f aca="false">IFERROR(VLOOKUP($M258,Assumptions!$A$15:$B$20,2,FALSE()),0)</f>
        <v>1</v>
      </c>
      <c r="Q258" s="31" t="n">
        <f aca="false">IFERROR(VLOOKUP($N258,Assumptions!$A$15:$B$20,2,FALSE()),0)</f>
        <v>3</v>
      </c>
      <c r="R258" s="31" t="n">
        <f aca="false">ROUND((P258+Q258)*Assumptions!$B$8,1)</f>
        <v>0.5</v>
      </c>
      <c r="S258" s="31" t="n">
        <f aca="false">IF($O258="Y",ROUND(Q258*Assumptions!$B$9,1),0)</f>
        <v>0</v>
      </c>
      <c r="T258" s="31" t="n">
        <f aca="false">ROUND((P258+Q258)*Assumptions!$B$10,1)</f>
        <v>1.4</v>
      </c>
      <c r="U258" s="9" t="n">
        <f aca="false">SUM(P258:T258)</f>
        <v>5.9</v>
      </c>
      <c r="V258" s="35" t="s">
        <v>386</v>
      </c>
      <c r="W258" s="28"/>
    </row>
    <row r="259" customFormat="false" ht="23.85" hidden="false" customHeight="false" outlineLevel="0" collapsed="false">
      <c r="A259" s="7" t="s">
        <v>1917</v>
      </c>
      <c r="B259" s="14" t="s">
        <v>1875</v>
      </c>
      <c r="C259" s="6" t="s">
        <v>1876</v>
      </c>
      <c r="D259" s="6" t="s">
        <v>1918</v>
      </c>
      <c r="E259" s="6" t="s">
        <v>1919</v>
      </c>
      <c r="F259" s="28" t="s">
        <v>1920</v>
      </c>
      <c r="G259" s="32" t="s">
        <v>265</v>
      </c>
      <c r="H259" s="32" t="s">
        <v>272</v>
      </c>
      <c r="I259" s="28" t="s">
        <v>1921</v>
      </c>
      <c r="J259" s="28" t="s">
        <v>1922</v>
      </c>
      <c r="K259" s="28" t="s">
        <v>1923</v>
      </c>
      <c r="L259" s="6" t="s">
        <v>241</v>
      </c>
      <c r="M259" s="22" t="s">
        <v>71</v>
      </c>
      <c r="N259" s="22" t="s">
        <v>73</v>
      </c>
      <c r="O259" s="22" t="s">
        <v>149</v>
      </c>
      <c r="P259" s="31" t="n">
        <f aca="false">IFERROR(VLOOKUP($M259,Assumptions!$A$15:$B$20,2,FALSE()),0)</f>
        <v>3</v>
      </c>
      <c r="Q259" s="31" t="n">
        <f aca="false">IFERROR(VLOOKUP($N259,Assumptions!$A$15:$B$20,2,FALSE()),0)</f>
        <v>5</v>
      </c>
      <c r="R259" s="31" t="n">
        <f aca="false">ROUND((P259+Q259)*Assumptions!$B$8,1)</f>
        <v>1</v>
      </c>
      <c r="S259" s="31" t="n">
        <f aca="false">IF($O259="Y",ROUND(Q259*Assumptions!$B$9,1),0)</f>
        <v>0</v>
      </c>
      <c r="T259" s="31" t="n">
        <f aca="false">ROUND((P259+Q259)*Assumptions!$B$10,1)</f>
        <v>2.8</v>
      </c>
      <c r="U259" s="9" t="n">
        <f aca="false">SUM(P259:T259)</f>
        <v>11.8</v>
      </c>
      <c r="V259" s="36" t="s">
        <v>396</v>
      </c>
      <c r="W259" s="28"/>
    </row>
    <row r="260" customFormat="false" ht="23.85" hidden="false" customHeight="false" outlineLevel="0" collapsed="false">
      <c r="A260" s="7" t="s">
        <v>1924</v>
      </c>
      <c r="B260" s="14" t="s">
        <v>1875</v>
      </c>
      <c r="C260" s="6" t="s">
        <v>1876</v>
      </c>
      <c r="D260" s="6" t="s">
        <v>1925</v>
      </c>
      <c r="E260" s="6" t="s">
        <v>1926</v>
      </c>
      <c r="F260" s="28" t="s">
        <v>1920</v>
      </c>
      <c r="G260" s="32" t="s">
        <v>265</v>
      </c>
      <c r="H260" s="32" t="s">
        <v>272</v>
      </c>
      <c r="I260" s="28" t="s">
        <v>1927</v>
      </c>
      <c r="J260" s="28" t="s">
        <v>1806</v>
      </c>
      <c r="K260" s="28" t="s">
        <v>1928</v>
      </c>
      <c r="L260" s="6" t="s">
        <v>1929</v>
      </c>
      <c r="M260" s="22" t="s">
        <v>71</v>
      </c>
      <c r="N260" s="22" t="s">
        <v>71</v>
      </c>
      <c r="O260" s="22" t="s">
        <v>149</v>
      </c>
      <c r="P260" s="31" t="n">
        <f aca="false">IFERROR(VLOOKUP($M260,Assumptions!$A$15:$B$20,2,FALSE()),0)</f>
        <v>3</v>
      </c>
      <c r="Q260" s="31" t="n">
        <f aca="false">IFERROR(VLOOKUP($N260,Assumptions!$A$15:$B$20,2,FALSE()),0)</f>
        <v>3</v>
      </c>
      <c r="R260" s="31" t="n">
        <f aca="false">ROUND((P260+Q260)*Assumptions!$B$8,1)</f>
        <v>0.7</v>
      </c>
      <c r="S260" s="31" t="n">
        <f aca="false">IF($O260="Y",ROUND(Q260*Assumptions!$B$9,1),0)</f>
        <v>0</v>
      </c>
      <c r="T260" s="31" t="n">
        <f aca="false">ROUND((P260+Q260)*Assumptions!$B$10,1)</f>
        <v>2.1</v>
      </c>
      <c r="U260" s="9" t="n">
        <f aca="false">SUM(P260:T260)</f>
        <v>8.8</v>
      </c>
      <c r="V260" s="36" t="s">
        <v>396</v>
      </c>
      <c r="W260" s="28"/>
    </row>
    <row r="261" customFormat="false" ht="23.85" hidden="false" customHeight="false" outlineLevel="0" collapsed="false">
      <c r="A261" s="7" t="s">
        <v>1930</v>
      </c>
      <c r="B261" s="14" t="s">
        <v>1875</v>
      </c>
      <c r="C261" s="6" t="s">
        <v>1876</v>
      </c>
      <c r="D261" s="6" t="s">
        <v>1836</v>
      </c>
      <c r="E261" s="6" t="s">
        <v>752</v>
      </c>
      <c r="F261" s="28" t="s">
        <v>1920</v>
      </c>
      <c r="G261" s="32" t="s">
        <v>265</v>
      </c>
      <c r="H261" s="32" t="s">
        <v>272</v>
      </c>
      <c r="I261" s="28" t="s">
        <v>1931</v>
      </c>
      <c r="J261" s="28" t="s">
        <v>1932</v>
      </c>
      <c r="K261" s="28" t="s">
        <v>1839</v>
      </c>
      <c r="L261" s="6" t="s">
        <v>1835</v>
      </c>
      <c r="M261" s="22" t="s">
        <v>69</v>
      </c>
      <c r="N261" s="22" t="s">
        <v>69</v>
      </c>
      <c r="O261" s="22" t="s">
        <v>149</v>
      </c>
      <c r="P261" s="31" t="n">
        <f aca="false">IFERROR(VLOOKUP($M261,Assumptions!$A$15:$B$20,2,FALSE()),0)</f>
        <v>1</v>
      </c>
      <c r="Q261" s="31" t="n">
        <f aca="false">IFERROR(VLOOKUP($N261,Assumptions!$A$15:$B$20,2,FALSE()),0)</f>
        <v>1</v>
      </c>
      <c r="R261" s="31" t="n">
        <f aca="false">ROUND((P261+Q261)*Assumptions!$B$8,1)</f>
        <v>0.2</v>
      </c>
      <c r="S261" s="31" t="n">
        <f aca="false">IF($O261="Y",ROUND(Q261*Assumptions!$B$9,1),0)</f>
        <v>0</v>
      </c>
      <c r="T261" s="31" t="n">
        <f aca="false">ROUND((P261+Q261)*Assumptions!$B$10,1)</f>
        <v>0.7</v>
      </c>
      <c r="U261" s="9" t="n">
        <f aca="false">SUM(P261:T261)</f>
        <v>2.9</v>
      </c>
      <c r="V261" s="35" t="s">
        <v>386</v>
      </c>
      <c r="W261" s="28"/>
    </row>
    <row r="262" customFormat="false" ht="23.85" hidden="false" customHeight="false" outlineLevel="0" collapsed="false">
      <c r="A262" s="7" t="s">
        <v>1933</v>
      </c>
      <c r="B262" s="14" t="s">
        <v>1875</v>
      </c>
      <c r="C262" s="6" t="s">
        <v>1876</v>
      </c>
      <c r="D262" s="6" t="s">
        <v>1934</v>
      </c>
      <c r="E262" s="6" t="s">
        <v>1935</v>
      </c>
      <c r="F262" s="28" t="s">
        <v>1920</v>
      </c>
      <c r="G262" s="32" t="s">
        <v>265</v>
      </c>
      <c r="H262" s="32" t="s">
        <v>272</v>
      </c>
      <c r="I262" s="28" t="s">
        <v>1936</v>
      </c>
      <c r="J262" s="28" t="s">
        <v>1937</v>
      </c>
      <c r="K262" s="28" t="s">
        <v>1938</v>
      </c>
      <c r="L262" s="6" t="s">
        <v>1840</v>
      </c>
      <c r="M262" s="22" t="s">
        <v>69</v>
      </c>
      <c r="N262" s="22" t="s">
        <v>69</v>
      </c>
      <c r="O262" s="22" t="s">
        <v>149</v>
      </c>
      <c r="P262" s="31" t="n">
        <f aca="false">IFERROR(VLOOKUP($M262,Assumptions!$A$15:$B$20,2,FALSE()),0)</f>
        <v>1</v>
      </c>
      <c r="Q262" s="31" t="n">
        <f aca="false">IFERROR(VLOOKUP($N262,Assumptions!$A$15:$B$20,2,FALSE()),0)</f>
        <v>1</v>
      </c>
      <c r="R262" s="31" t="n">
        <f aca="false">ROUND((P262+Q262)*Assumptions!$B$8,1)</f>
        <v>0.2</v>
      </c>
      <c r="S262" s="31" t="n">
        <f aca="false">IF($O262="Y",ROUND(Q262*Assumptions!$B$9,1),0)</f>
        <v>0</v>
      </c>
      <c r="T262" s="31" t="n">
        <f aca="false">ROUND((P262+Q262)*Assumptions!$B$10,1)</f>
        <v>0.7</v>
      </c>
      <c r="U262" s="9" t="n">
        <f aca="false">SUM(P262:T262)</f>
        <v>2.9</v>
      </c>
      <c r="V262" s="35" t="s">
        <v>386</v>
      </c>
      <c r="W262" s="28"/>
    </row>
    <row r="263" customFormat="false" ht="23.85" hidden="false" customHeight="false" outlineLevel="0" collapsed="false">
      <c r="A263" s="7" t="s">
        <v>1939</v>
      </c>
      <c r="B263" s="14" t="s">
        <v>1875</v>
      </c>
      <c r="C263" s="6" t="s">
        <v>1876</v>
      </c>
      <c r="D263" s="6" t="s">
        <v>1847</v>
      </c>
      <c r="E263" s="6" t="s">
        <v>1848</v>
      </c>
      <c r="F263" s="28" t="s">
        <v>1940</v>
      </c>
      <c r="G263" s="32" t="s">
        <v>265</v>
      </c>
      <c r="H263" s="32" t="s">
        <v>272</v>
      </c>
      <c r="I263" s="28" t="s">
        <v>1941</v>
      </c>
      <c r="J263" s="28" t="s">
        <v>1942</v>
      </c>
      <c r="K263" s="28" t="s">
        <v>1943</v>
      </c>
      <c r="L263" s="6" t="s">
        <v>1846</v>
      </c>
      <c r="M263" s="22" t="s">
        <v>69</v>
      </c>
      <c r="N263" s="22" t="s">
        <v>69</v>
      </c>
      <c r="O263" s="22" t="s">
        <v>149</v>
      </c>
      <c r="P263" s="31" t="n">
        <f aca="false">IFERROR(VLOOKUP($M263,Assumptions!$A$15:$B$20,2,FALSE()),0)</f>
        <v>1</v>
      </c>
      <c r="Q263" s="31" t="n">
        <f aca="false">IFERROR(VLOOKUP($N263,Assumptions!$A$15:$B$20,2,FALSE()),0)</f>
        <v>1</v>
      </c>
      <c r="R263" s="31" t="n">
        <f aca="false">ROUND((P263+Q263)*Assumptions!$B$8,1)</f>
        <v>0.2</v>
      </c>
      <c r="S263" s="31" t="n">
        <f aca="false">IF($O263="Y",ROUND(Q263*Assumptions!$B$9,1),0)</f>
        <v>0</v>
      </c>
      <c r="T263" s="31" t="n">
        <f aca="false">ROUND((P263+Q263)*Assumptions!$B$10,1)</f>
        <v>0.7</v>
      </c>
      <c r="U263" s="9" t="n">
        <f aca="false">SUM(P263:T263)</f>
        <v>2.9</v>
      </c>
      <c r="V263" s="36" t="s">
        <v>396</v>
      </c>
      <c r="W263" s="28"/>
    </row>
    <row r="264" customFormat="false" ht="23.85" hidden="false" customHeight="false" outlineLevel="0" collapsed="false">
      <c r="A264" s="7" t="s">
        <v>1944</v>
      </c>
      <c r="B264" s="14" t="s">
        <v>1875</v>
      </c>
      <c r="C264" s="6" t="s">
        <v>1876</v>
      </c>
      <c r="D264" s="6" t="s">
        <v>1945</v>
      </c>
      <c r="E264" s="6" t="s">
        <v>1946</v>
      </c>
      <c r="F264" s="28" t="s">
        <v>1901</v>
      </c>
      <c r="G264" s="32" t="s">
        <v>265</v>
      </c>
      <c r="H264" s="32" t="s">
        <v>272</v>
      </c>
      <c r="I264" s="28" t="s">
        <v>1947</v>
      </c>
      <c r="J264" s="28" t="s">
        <v>1948</v>
      </c>
      <c r="K264" s="28" t="s">
        <v>1949</v>
      </c>
      <c r="L264" s="6" t="s">
        <v>1054</v>
      </c>
      <c r="M264" s="22" t="s">
        <v>71</v>
      </c>
      <c r="N264" s="22" t="s">
        <v>71</v>
      </c>
      <c r="O264" s="22" t="s">
        <v>149</v>
      </c>
      <c r="P264" s="31" t="n">
        <f aca="false">IFERROR(VLOOKUP($M264,Assumptions!$A$15:$B$20,2,FALSE()),0)</f>
        <v>3</v>
      </c>
      <c r="Q264" s="31" t="n">
        <f aca="false">IFERROR(VLOOKUP($N264,Assumptions!$A$15:$B$20,2,FALSE()),0)</f>
        <v>3</v>
      </c>
      <c r="R264" s="31" t="n">
        <f aca="false">ROUND((P264+Q264)*Assumptions!$B$8,1)</f>
        <v>0.7</v>
      </c>
      <c r="S264" s="31" t="n">
        <f aca="false">IF($O264="Y",ROUND(Q264*Assumptions!$B$9,1),0)</f>
        <v>0</v>
      </c>
      <c r="T264" s="31" t="n">
        <f aca="false">ROUND((P264+Q264)*Assumptions!$B$10,1)</f>
        <v>2.1</v>
      </c>
      <c r="U264" s="9" t="n">
        <f aca="false">SUM(P264:T264)</f>
        <v>8.8</v>
      </c>
      <c r="V264" s="35" t="s">
        <v>386</v>
      </c>
      <c r="W264" s="28"/>
    </row>
    <row r="265" customFormat="false" ht="23.85" hidden="false" customHeight="false" outlineLevel="0" collapsed="false">
      <c r="A265" s="7" t="s">
        <v>1950</v>
      </c>
      <c r="B265" s="14" t="s">
        <v>1875</v>
      </c>
      <c r="C265" s="6" t="s">
        <v>1876</v>
      </c>
      <c r="D265" s="6" t="s">
        <v>1951</v>
      </c>
      <c r="E265" s="6" t="s">
        <v>1952</v>
      </c>
      <c r="F265" s="28" t="s">
        <v>1953</v>
      </c>
      <c r="G265" s="33" t="s">
        <v>286</v>
      </c>
      <c r="H265" s="33" t="s">
        <v>287</v>
      </c>
      <c r="I265" s="28" t="s">
        <v>1954</v>
      </c>
      <c r="J265" s="28" t="s">
        <v>1955</v>
      </c>
      <c r="K265" s="28" t="s">
        <v>1956</v>
      </c>
      <c r="L265" s="6" t="s">
        <v>1910</v>
      </c>
      <c r="M265" s="22" t="s">
        <v>73</v>
      </c>
      <c r="N265" s="22" t="s">
        <v>71</v>
      </c>
      <c r="O265" s="22" t="s">
        <v>149</v>
      </c>
      <c r="P265" s="31" t="n">
        <f aca="false">IFERROR(VLOOKUP($M265,Assumptions!$A$15:$B$20,2,FALSE()),0)</f>
        <v>5</v>
      </c>
      <c r="Q265" s="31" t="n">
        <f aca="false">IFERROR(VLOOKUP($N265,Assumptions!$A$15:$B$20,2,FALSE()),0)</f>
        <v>3</v>
      </c>
      <c r="R265" s="31" t="n">
        <f aca="false">ROUND((P265+Q265)*Assumptions!$B$8,1)</f>
        <v>1</v>
      </c>
      <c r="S265" s="31" t="n">
        <f aca="false">IF($O265="Y",ROUND(Q265*Assumptions!$B$9,1),0)</f>
        <v>0</v>
      </c>
      <c r="T265" s="31" t="n">
        <f aca="false">ROUND((P265+Q265)*Assumptions!$B$10,1)</f>
        <v>2.8</v>
      </c>
      <c r="U265" s="9" t="n">
        <f aca="false">SUM(P265:T265)</f>
        <v>11.8</v>
      </c>
      <c r="V265" s="35" t="s">
        <v>386</v>
      </c>
      <c r="W265" s="28"/>
    </row>
    <row r="266" customFormat="false" ht="32.8" hidden="false" customHeight="false" outlineLevel="0" collapsed="false">
      <c r="A266" s="7" t="s">
        <v>1957</v>
      </c>
      <c r="B266" s="14" t="s">
        <v>1875</v>
      </c>
      <c r="C266" s="6" t="s">
        <v>1876</v>
      </c>
      <c r="D266" s="6" t="s">
        <v>1958</v>
      </c>
      <c r="E266" s="6" t="s">
        <v>1959</v>
      </c>
      <c r="F266" s="28" t="s">
        <v>1960</v>
      </c>
      <c r="G266" s="33" t="s">
        <v>286</v>
      </c>
      <c r="H266" s="33" t="s">
        <v>287</v>
      </c>
      <c r="I266" s="28" t="s">
        <v>1961</v>
      </c>
      <c r="J266" s="28" t="s">
        <v>1962</v>
      </c>
      <c r="K266" s="28" t="s">
        <v>1963</v>
      </c>
      <c r="L266" s="6" t="s">
        <v>1890</v>
      </c>
      <c r="M266" s="22" t="s">
        <v>71</v>
      </c>
      <c r="N266" s="22" t="s">
        <v>71</v>
      </c>
      <c r="O266" s="22" t="s">
        <v>149</v>
      </c>
      <c r="P266" s="31" t="n">
        <f aca="false">IFERROR(VLOOKUP($M266,Assumptions!$A$15:$B$20,2,FALSE()),0)</f>
        <v>3</v>
      </c>
      <c r="Q266" s="31" t="n">
        <f aca="false">IFERROR(VLOOKUP($N266,Assumptions!$A$15:$B$20,2,FALSE()),0)</f>
        <v>3</v>
      </c>
      <c r="R266" s="31" t="n">
        <f aca="false">ROUND((P266+Q266)*Assumptions!$B$8,1)</f>
        <v>0.7</v>
      </c>
      <c r="S266" s="31" t="n">
        <f aca="false">IF($O266="Y",ROUND(Q266*Assumptions!$B$9,1),0)</f>
        <v>0</v>
      </c>
      <c r="T266" s="31" t="n">
        <f aca="false">ROUND((P266+Q266)*Assumptions!$B$10,1)</f>
        <v>2.1</v>
      </c>
      <c r="U266" s="9" t="n">
        <f aca="false">SUM(P266:T266)</f>
        <v>8.8</v>
      </c>
      <c r="V266" s="36" t="s">
        <v>396</v>
      </c>
      <c r="W266" s="28"/>
    </row>
    <row r="267" customFormat="false" ht="32.8" hidden="false" customHeight="false" outlineLevel="0" collapsed="false">
      <c r="A267" s="7" t="s">
        <v>1219</v>
      </c>
      <c r="B267" s="14" t="s">
        <v>1964</v>
      </c>
      <c r="C267" s="6" t="s">
        <v>1965</v>
      </c>
      <c r="D267" s="6" t="s">
        <v>1966</v>
      </c>
      <c r="E267" s="6" t="s">
        <v>1967</v>
      </c>
      <c r="F267" s="28" t="s">
        <v>1968</v>
      </c>
      <c r="G267" s="29" t="s">
        <v>143</v>
      </c>
      <c r="H267" s="37" t="s">
        <v>962</v>
      </c>
      <c r="I267" s="28" t="s">
        <v>1969</v>
      </c>
      <c r="J267" s="28" t="s">
        <v>1970</v>
      </c>
      <c r="K267" s="28" t="s">
        <v>1971</v>
      </c>
      <c r="L267" s="6" t="s">
        <v>1972</v>
      </c>
      <c r="M267" s="22" t="s">
        <v>75</v>
      </c>
      <c r="N267" s="22" t="s">
        <v>73</v>
      </c>
      <c r="O267" s="22" t="s">
        <v>169</v>
      </c>
      <c r="P267" s="31" t="n">
        <f aca="false">IFERROR(VLOOKUP($M267,Assumptions!$A$15:$B$20,2,FALSE()),0)</f>
        <v>10</v>
      </c>
      <c r="Q267" s="31" t="n">
        <f aca="false">IFERROR(VLOOKUP($N267,Assumptions!$A$15:$B$20,2,FALSE()),0)</f>
        <v>5</v>
      </c>
      <c r="R267" s="31" t="n">
        <f aca="false">ROUND((P267+Q267)*Assumptions!$B$8,1)</f>
        <v>1.8</v>
      </c>
      <c r="S267" s="31" t="n">
        <f aca="false">IF($O267="Y",ROUND(Q267*Assumptions!$B$9,1),0)</f>
        <v>2</v>
      </c>
      <c r="T267" s="31" t="n">
        <f aca="false">ROUND((P267+Q267)*Assumptions!$B$10,1)</f>
        <v>5.3</v>
      </c>
      <c r="U267" s="9" t="n">
        <f aca="false">SUM(P267:T267)</f>
        <v>24.1</v>
      </c>
      <c r="V267" s="35" t="s">
        <v>386</v>
      </c>
      <c r="W267" s="28"/>
    </row>
    <row r="268" customFormat="false" ht="32.8" hidden="false" customHeight="false" outlineLevel="0" collapsed="false">
      <c r="A268" s="7" t="s">
        <v>1827</v>
      </c>
      <c r="B268" s="14" t="s">
        <v>1964</v>
      </c>
      <c r="C268" s="6" t="s">
        <v>1965</v>
      </c>
      <c r="D268" s="6" t="s">
        <v>1973</v>
      </c>
      <c r="E268" s="6" t="s">
        <v>1974</v>
      </c>
      <c r="F268" s="28" t="s">
        <v>1975</v>
      </c>
      <c r="G268" s="29" t="s">
        <v>143</v>
      </c>
      <c r="H268" s="37" t="s">
        <v>962</v>
      </c>
      <c r="I268" s="28" t="s">
        <v>1976</v>
      </c>
      <c r="J268" s="28" t="s">
        <v>1977</v>
      </c>
      <c r="K268" s="28" t="s">
        <v>1978</v>
      </c>
      <c r="L268" s="6" t="s">
        <v>1979</v>
      </c>
      <c r="M268" s="22" t="s">
        <v>73</v>
      </c>
      <c r="N268" s="22" t="s">
        <v>71</v>
      </c>
      <c r="O268" s="22" t="s">
        <v>149</v>
      </c>
      <c r="P268" s="31" t="n">
        <f aca="false">IFERROR(VLOOKUP($M268,Assumptions!$A$15:$B$20,2,FALSE()),0)</f>
        <v>5</v>
      </c>
      <c r="Q268" s="31" t="n">
        <f aca="false">IFERROR(VLOOKUP($N268,Assumptions!$A$15:$B$20,2,FALSE()),0)</f>
        <v>3</v>
      </c>
      <c r="R268" s="31" t="n">
        <f aca="false">ROUND((P268+Q268)*Assumptions!$B$8,1)</f>
        <v>1</v>
      </c>
      <c r="S268" s="31" t="n">
        <f aca="false">IF($O268="Y",ROUND(Q268*Assumptions!$B$9,1),0)</f>
        <v>0</v>
      </c>
      <c r="T268" s="31" t="n">
        <f aca="false">ROUND((P268+Q268)*Assumptions!$B$10,1)</f>
        <v>2.8</v>
      </c>
      <c r="U268" s="9" t="n">
        <f aca="false">SUM(P268:T268)</f>
        <v>11.8</v>
      </c>
      <c r="V268" s="34" t="s">
        <v>320</v>
      </c>
      <c r="W268" s="28"/>
    </row>
    <row r="269" customFormat="false" ht="32.8" hidden="false" customHeight="false" outlineLevel="0" collapsed="false">
      <c r="A269" s="7" t="s">
        <v>1980</v>
      </c>
      <c r="B269" s="14" t="s">
        <v>1964</v>
      </c>
      <c r="C269" s="6" t="s">
        <v>1965</v>
      </c>
      <c r="D269" s="6" t="s">
        <v>1981</v>
      </c>
      <c r="E269" s="6" t="s">
        <v>1982</v>
      </c>
      <c r="F269" s="28" t="s">
        <v>1983</v>
      </c>
      <c r="G269" s="32" t="s">
        <v>265</v>
      </c>
      <c r="H269" s="32" t="s">
        <v>272</v>
      </c>
      <c r="I269" s="28" t="s">
        <v>1984</v>
      </c>
      <c r="J269" s="28" t="s">
        <v>1985</v>
      </c>
      <c r="K269" s="28" t="s">
        <v>1986</v>
      </c>
      <c r="L269" s="6" t="s">
        <v>178</v>
      </c>
      <c r="M269" s="22" t="s">
        <v>75</v>
      </c>
      <c r="N269" s="22" t="s">
        <v>75</v>
      </c>
      <c r="O269" s="22" t="s">
        <v>169</v>
      </c>
      <c r="P269" s="31" t="n">
        <f aca="false">IFERROR(VLOOKUP($M269,Assumptions!$A$15:$B$20,2,FALSE()),0)</f>
        <v>10</v>
      </c>
      <c r="Q269" s="31" t="n">
        <f aca="false">IFERROR(VLOOKUP($N269,Assumptions!$A$15:$B$20,2,FALSE()),0)</f>
        <v>10</v>
      </c>
      <c r="R269" s="31" t="n">
        <f aca="false">ROUND((P269+Q269)*Assumptions!$B$8,1)</f>
        <v>2.4</v>
      </c>
      <c r="S269" s="31" t="n">
        <f aca="false">IF($O269="Y",ROUND(Q269*Assumptions!$B$9,1),0)</f>
        <v>4</v>
      </c>
      <c r="T269" s="31" t="n">
        <f aca="false">ROUND((P269+Q269)*Assumptions!$B$10,1)</f>
        <v>7</v>
      </c>
      <c r="U269" s="9" t="n">
        <f aca="false">SUM(P269:T269)</f>
        <v>33.4</v>
      </c>
      <c r="V269" s="36" t="s">
        <v>396</v>
      </c>
      <c r="W269" s="28" t="s">
        <v>1987</v>
      </c>
    </row>
    <row r="270" customFormat="false" ht="23.85" hidden="false" customHeight="false" outlineLevel="0" collapsed="false">
      <c r="A270" s="7" t="s">
        <v>1988</v>
      </c>
      <c r="B270" s="14" t="s">
        <v>1964</v>
      </c>
      <c r="C270" s="6" t="s">
        <v>1965</v>
      </c>
      <c r="D270" s="6" t="s">
        <v>1989</v>
      </c>
      <c r="E270" s="6" t="s">
        <v>1990</v>
      </c>
      <c r="F270" s="28" t="s">
        <v>1991</v>
      </c>
      <c r="G270" s="32" t="s">
        <v>265</v>
      </c>
      <c r="H270" s="32" t="s">
        <v>272</v>
      </c>
      <c r="I270" s="28" t="s">
        <v>1992</v>
      </c>
      <c r="J270" s="28" t="s">
        <v>1993</v>
      </c>
      <c r="K270" s="28" t="s">
        <v>1994</v>
      </c>
      <c r="L270" s="6" t="s">
        <v>192</v>
      </c>
      <c r="M270" s="22" t="s">
        <v>71</v>
      </c>
      <c r="N270" s="22" t="s">
        <v>71</v>
      </c>
      <c r="O270" s="22" t="s">
        <v>149</v>
      </c>
      <c r="P270" s="31" t="n">
        <f aca="false">IFERROR(VLOOKUP($M270,Assumptions!$A$15:$B$20,2,FALSE()),0)</f>
        <v>3</v>
      </c>
      <c r="Q270" s="31" t="n">
        <f aca="false">IFERROR(VLOOKUP($N270,Assumptions!$A$15:$B$20,2,FALSE()),0)</f>
        <v>3</v>
      </c>
      <c r="R270" s="31" t="n">
        <f aca="false">ROUND((P270+Q270)*Assumptions!$B$8,1)</f>
        <v>0.7</v>
      </c>
      <c r="S270" s="31" t="n">
        <f aca="false">IF($O270="Y",ROUND(Q270*Assumptions!$B$9,1),0)</f>
        <v>0</v>
      </c>
      <c r="T270" s="31" t="n">
        <f aca="false">ROUND((P270+Q270)*Assumptions!$B$10,1)</f>
        <v>2.1</v>
      </c>
      <c r="U270" s="9" t="n">
        <f aca="false">SUM(P270:T270)</f>
        <v>8.8</v>
      </c>
      <c r="V270" s="35" t="s">
        <v>386</v>
      </c>
      <c r="W270" s="28"/>
    </row>
    <row r="271" customFormat="false" ht="23.85" hidden="false" customHeight="false" outlineLevel="0" collapsed="false">
      <c r="A271" s="7" t="s">
        <v>1995</v>
      </c>
      <c r="B271" s="14" t="s">
        <v>1964</v>
      </c>
      <c r="C271" s="6" t="s">
        <v>1965</v>
      </c>
      <c r="D271" s="6" t="s">
        <v>1996</v>
      </c>
      <c r="E271" s="6" t="s">
        <v>1997</v>
      </c>
      <c r="F271" s="28" t="s">
        <v>1998</v>
      </c>
      <c r="G271" s="32" t="s">
        <v>265</v>
      </c>
      <c r="H271" s="32" t="s">
        <v>272</v>
      </c>
      <c r="I271" s="28" t="s">
        <v>1999</v>
      </c>
      <c r="J271" s="28" t="s">
        <v>2000</v>
      </c>
      <c r="K271" s="28" t="s">
        <v>2001</v>
      </c>
      <c r="L271" s="6" t="s">
        <v>178</v>
      </c>
      <c r="M271" s="22" t="s">
        <v>73</v>
      </c>
      <c r="N271" s="22" t="s">
        <v>73</v>
      </c>
      <c r="O271" s="22" t="s">
        <v>169</v>
      </c>
      <c r="P271" s="31" t="n">
        <f aca="false">IFERROR(VLOOKUP($M271,Assumptions!$A$15:$B$20,2,FALSE()),0)</f>
        <v>5</v>
      </c>
      <c r="Q271" s="31" t="n">
        <f aca="false">IFERROR(VLOOKUP($N271,Assumptions!$A$15:$B$20,2,FALSE()),0)</f>
        <v>5</v>
      </c>
      <c r="R271" s="31" t="n">
        <f aca="false">ROUND((P271+Q271)*Assumptions!$B$8,1)</f>
        <v>1.2</v>
      </c>
      <c r="S271" s="31" t="n">
        <f aca="false">IF($O271="Y",ROUND(Q271*Assumptions!$B$9,1),0)</f>
        <v>2</v>
      </c>
      <c r="T271" s="31" t="n">
        <f aca="false">ROUND((P271+Q271)*Assumptions!$B$10,1)</f>
        <v>3.5</v>
      </c>
      <c r="U271" s="9" t="n">
        <f aca="false">SUM(P271:T271)</f>
        <v>16.7</v>
      </c>
      <c r="V271" s="34" t="s">
        <v>320</v>
      </c>
      <c r="W271" s="28"/>
    </row>
    <row r="272" customFormat="false" ht="23.85" hidden="false" customHeight="false" outlineLevel="0" collapsed="false">
      <c r="A272" s="7" t="s">
        <v>2002</v>
      </c>
      <c r="B272" s="14" t="s">
        <v>1964</v>
      </c>
      <c r="C272" s="6" t="s">
        <v>1965</v>
      </c>
      <c r="D272" s="6" t="s">
        <v>2003</v>
      </c>
      <c r="E272" s="6" t="s">
        <v>2004</v>
      </c>
      <c r="F272" s="28" t="s">
        <v>1991</v>
      </c>
      <c r="G272" s="32" t="s">
        <v>265</v>
      </c>
      <c r="H272" s="32" t="s">
        <v>272</v>
      </c>
      <c r="I272" s="28" t="s">
        <v>2005</v>
      </c>
      <c r="J272" s="28" t="s">
        <v>2006</v>
      </c>
      <c r="K272" s="28" t="s">
        <v>2007</v>
      </c>
      <c r="L272" s="6" t="s">
        <v>1411</v>
      </c>
      <c r="M272" s="22" t="s">
        <v>71</v>
      </c>
      <c r="N272" s="22" t="s">
        <v>71</v>
      </c>
      <c r="O272" s="22" t="s">
        <v>149</v>
      </c>
      <c r="P272" s="31" t="n">
        <f aca="false">IFERROR(VLOOKUP($M272,Assumptions!$A$15:$B$20,2,FALSE()),0)</f>
        <v>3</v>
      </c>
      <c r="Q272" s="31" t="n">
        <f aca="false">IFERROR(VLOOKUP($N272,Assumptions!$A$15:$B$20,2,FALSE()),0)</f>
        <v>3</v>
      </c>
      <c r="R272" s="31" t="n">
        <f aca="false">ROUND((P272+Q272)*Assumptions!$B$8,1)</f>
        <v>0.7</v>
      </c>
      <c r="S272" s="31" t="n">
        <f aca="false">IF($O272="Y",ROUND(Q272*Assumptions!$B$9,1),0)</f>
        <v>0</v>
      </c>
      <c r="T272" s="31" t="n">
        <f aca="false">ROUND((P272+Q272)*Assumptions!$B$10,1)</f>
        <v>2.1</v>
      </c>
      <c r="U272" s="9" t="n">
        <f aca="false">SUM(P272:T272)</f>
        <v>8.8</v>
      </c>
      <c r="V272" s="34" t="s">
        <v>320</v>
      </c>
      <c r="W272" s="28"/>
    </row>
    <row r="273" customFormat="false" ht="23.85" hidden="false" customHeight="false" outlineLevel="0" collapsed="false">
      <c r="A273" s="7" t="s">
        <v>2008</v>
      </c>
      <c r="B273" s="14" t="s">
        <v>1964</v>
      </c>
      <c r="C273" s="6" t="s">
        <v>1965</v>
      </c>
      <c r="D273" s="6" t="s">
        <v>2009</v>
      </c>
      <c r="E273" s="6" t="s">
        <v>2010</v>
      </c>
      <c r="F273" s="28" t="s">
        <v>2011</v>
      </c>
      <c r="G273" s="32" t="s">
        <v>265</v>
      </c>
      <c r="H273" s="32" t="s">
        <v>272</v>
      </c>
      <c r="I273" s="28" t="s">
        <v>2012</v>
      </c>
      <c r="J273" s="28" t="s">
        <v>2013</v>
      </c>
      <c r="K273" s="28" t="s">
        <v>2014</v>
      </c>
      <c r="L273" s="6" t="s">
        <v>185</v>
      </c>
      <c r="M273" s="22" t="s">
        <v>71</v>
      </c>
      <c r="N273" s="22" t="s">
        <v>71</v>
      </c>
      <c r="O273" s="22" t="s">
        <v>149</v>
      </c>
      <c r="P273" s="31" t="n">
        <f aca="false">IFERROR(VLOOKUP($M273,Assumptions!$A$15:$B$20,2,FALSE()),0)</f>
        <v>3</v>
      </c>
      <c r="Q273" s="31" t="n">
        <f aca="false">IFERROR(VLOOKUP($N273,Assumptions!$A$15:$B$20,2,FALSE()),0)</f>
        <v>3</v>
      </c>
      <c r="R273" s="31" t="n">
        <f aca="false">ROUND((P273+Q273)*Assumptions!$B$8,1)</f>
        <v>0.7</v>
      </c>
      <c r="S273" s="31" t="n">
        <f aca="false">IF($O273="Y",ROUND(Q273*Assumptions!$B$9,1),0)</f>
        <v>0</v>
      </c>
      <c r="T273" s="31" t="n">
        <f aca="false">ROUND((P273+Q273)*Assumptions!$B$10,1)</f>
        <v>2.1</v>
      </c>
      <c r="U273" s="9" t="n">
        <f aca="false">SUM(P273:T273)</f>
        <v>8.8</v>
      </c>
      <c r="V273" s="35" t="s">
        <v>386</v>
      </c>
      <c r="W273" s="28"/>
    </row>
    <row r="274" customFormat="false" ht="23.85" hidden="false" customHeight="false" outlineLevel="0" collapsed="false">
      <c r="A274" s="7" t="s">
        <v>2015</v>
      </c>
      <c r="B274" s="14" t="s">
        <v>1964</v>
      </c>
      <c r="C274" s="6" t="s">
        <v>1965</v>
      </c>
      <c r="D274" s="6" t="s">
        <v>2016</v>
      </c>
      <c r="E274" s="6" t="s">
        <v>2017</v>
      </c>
      <c r="F274" s="28" t="s">
        <v>1991</v>
      </c>
      <c r="G274" s="32" t="s">
        <v>265</v>
      </c>
      <c r="H274" s="32" t="s">
        <v>272</v>
      </c>
      <c r="I274" s="28" t="s">
        <v>2018</v>
      </c>
      <c r="J274" s="28" t="s">
        <v>2019</v>
      </c>
      <c r="K274" s="28" t="s">
        <v>2020</v>
      </c>
      <c r="L274" s="6" t="s">
        <v>270</v>
      </c>
      <c r="M274" s="22" t="s">
        <v>75</v>
      </c>
      <c r="N274" s="22" t="s">
        <v>71</v>
      </c>
      <c r="O274" s="22" t="s">
        <v>149</v>
      </c>
      <c r="P274" s="31" t="n">
        <f aca="false">IFERROR(VLOOKUP($M274,Assumptions!$A$15:$B$20,2,FALSE()),0)</f>
        <v>10</v>
      </c>
      <c r="Q274" s="31" t="n">
        <f aca="false">IFERROR(VLOOKUP($N274,Assumptions!$A$15:$B$20,2,FALSE()),0)</f>
        <v>3</v>
      </c>
      <c r="R274" s="31" t="n">
        <f aca="false">ROUND((P274+Q274)*Assumptions!$B$8,1)</f>
        <v>1.6</v>
      </c>
      <c r="S274" s="31" t="n">
        <f aca="false">IF($O274="Y",ROUND(Q274*Assumptions!$B$9,1),0)</f>
        <v>0</v>
      </c>
      <c r="T274" s="31" t="n">
        <f aca="false">ROUND((P274+Q274)*Assumptions!$B$10,1)</f>
        <v>4.6</v>
      </c>
      <c r="U274" s="9" t="n">
        <f aca="false">SUM(P274:T274)</f>
        <v>19.2</v>
      </c>
      <c r="V274" s="34" t="s">
        <v>320</v>
      </c>
      <c r="W274" s="28"/>
    </row>
    <row r="275" customFormat="false" ht="23.85" hidden="false" customHeight="false" outlineLevel="0" collapsed="false">
      <c r="A275" s="7" t="s">
        <v>2021</v>
      </c>
      <c r="B275" s="14" t="s">
        <v>1964</v>
      </c>
      <c r="C275" s="6" t="s">
        <v>1965</v>
      </c>
      <c r="D275" s="6" t="s">
        <v>2022</v>
      </c>
      <c r="E275" s="6" t="s">
        <v>2023</v>
      </c>
      <c r="F275" s="28" t="s">
        <v>2024</v>
      </c>
      <c r="G275" s="33" t="s">
        <v>286</v>
      </c>
      <c r="H275" s="33" t="s">
        <v>287</v>
      </c>
      <c r="I275" s="28" t="s">
        <v>2025</v>
      </c>
      <c r="J275" s="28" t="s">
        <v>2026</v>
      </c>
      <c r="K275" s="28" t="s">
        <v>2027</v>
      </c>
      <c r="L275" s="6" t="s">
        <v>222</v>
      </c>
      <c r="M275" s="22" t="s">
        <v>75</v>
      </c>
      <c r="N275" s="22" t="s">
        <v>71</v>
      </c>
      <c r="O275" s="22" t="s">
        <v>149</v>
      </c>
      <c r="P275" s="31" t="n">
        <f aca="false">IFERROR(VLOOKUP($M275,Assumptions!$A$15:$B$20,2,FALSE()),0)</f>
        <v>10</v>
      </c>
      <c r="Q275" s="31" t="n">
        <f aca="false">IFERROR(VLOOKUP($N275,Assumptions!$A$15:$B$20,2,FALSE()),0)</f>
        <v>3</v>
      </c>
      <c r="R275" s="31" t="n">
        <f aca="false">ROUND((P275+Q275)*Assumptions!$B$8,1)</f>
        <v>1.6</v>
      </c>
      <c r="S275" s="31" t="n">
        <f aca="false">IF($O275="Y",ROUND(Q275*Assumptions!$B$9,1),0)</f>
        <v>0</v>
      </c>
      <c r="T275" s="31" t="n">
        <f aca="false">ROUND((P275+Q275)*Assumptions!$B$10,1)</f>
        <v>4.6</v>
      </c>
      <c r="U275" s="9" t="n">
        <f aca="false">SUM(P275:T275)</f>
        <v>19.2</v>
      </c>
      <c r="V275" s="35" t="s">
        <v>386</v>
      </c>
      <c r="W275" s="28"/>
    </row>
    <row r="276" customFormat="false" ht="23.85" hidden="false" customHeight="false" outlineLevel="0" collapsed="false">
      <c r="A276" s="7" t="s">
        <v>2028</v>
      </c>
      <c r="B276" s="14" t="s">
        <v>1964</v>
      </c>
      <c r="C276" s="6" t="s">
        <v>1965</v>
      </c>
      <c r="D276" s="6" t="s">
        <v>2029</v>
      </c>
      <c r="E276" s="6" t="s">
        <v>2030</v>
      </c>
      <c r="F276" s="28" t="s">
        <v>1991</v>
      </c>
      <c r="G276" s="33" t="s">
        <v>286</v>
      </c>
      <c r="H276" s="33" t="s">
        <v>287</v>
      </c>
      <c r="I276" s="28" t="s">
        <v>2031</v>
      </c>
      <c r="J276" s="28" t="s">
        <v>2032</v>
      </c>
      <c r="K276" s="28" t="s">
        <v>2033</v>
      </c>
      <c r="L276" s="6" t="s">
        <v>777</v>
      </c>
      <c r="M276" s="22" t="s">
        <v>73</v>
      </c>
      <c r="N276" s="22" t="s">
        <v>71</v>
      </c>
      <c r="O276" s="22" t="s">
        <v>149</v>
      </c>
      <c r="P276" s="31" t="n">
        <f aca="false">IFERROR(VLOOKUP($M276,Assumptions!$A$15:$B$20,2,FALSE()),0)</f>
        <v>5</v>
      </c>
      <c r="Q276" s="31" t="n">
        <f aca="false">IFERROR(VLOOKUP($N276,Assumptions!$A$15:$B$20,2,FALSE()),0)</f>
        <v>3</v>
      </c>
      <c r="R276" s="31" t="n">
        <f aca="false">ROUND((P276+Q276)*Assumptions!$B$8,1)</f>
        <v>1</v>
      </c>
      <c r="S276" s="31" t="n">
        <f aca="false">IF($O276="Y",ROUND(Q276*Assumptions!$B$9,1),0)</f>
        <v>0</v>
      </c>
      <c r="T276" s="31" t="n">
        <f aca="false">ROUND((P276+Q276)*Assumptions!$B$10,1)</f>
        <v>2.8</v>
      </c>
      <c r="U276" s="9" t="n">
        <f aca="false">SUM(P276:T276)</f>
        <v>11.8</v>
      </c>
      <c r="V276" s="34" t="s">
        <v>320</v>
      </c>
      <c r="W276" s="28"/>
    </row>
    <row r="277" customFormat="false" ht="23.85" hidden="false" customHeight="false" outlineLevel="0" collapsed="false">
      <c r="A277" s="7" t="s">
        <v>2034</v>
      </c>
      <c r="B277" s="14" t="s">
        <v>1964</v>
      </c>
      <c r="C277" s="6" t="s">
        <v>1965</v>
      </c>
      <c r="D277" s="6" t="s">
        <v>2035</v>
      </c>
      <c r="E277" s="6" t="s">
        <v>2036</v>
      </c>
      <c r="F277" s="28" t="s">
        <v>2037</v>
      </c>
      <c r="G277" s="33" t="s">
        <v>286</v>
      </c>
      <c r="H277" s="33" t="s">
        <v>287</v>
      </c>
      <c r="I277" s="28" t="s">
        <v>2038</v>
      </c>
      <c r="J277" s="28" t="s">
        <v>2039</v>
      </c>
      <c r="K277" s="28" t="s">
        <v>2040</v>
      </c>
      <c r="L277" s="6" t="s">
        <v>178</v>
      </c>
      <c r="M277" s="22" t="s">
        <v>71</v>
      </c>
      <c r="N277" s="22" t="s">
        <v>71</v>
      </c>
      <c r="O277" s="22" t="s">
        <v>149</v>
      </c>
      <c r="P277" s="31" t="n">
        <f aca="false">IFERROR(VLOOKUP($M277,Assumptions!$A$15:$B$20,2,FALSE()),0)</f>
        <v>3</v>
      </c>
      <c r="Q277" s="31" t="n">
        <f aca="false">IFERROR(VLOOKUP($N277,Assumptions!$A$15:$B$20,2,FALSE()),0)</f>
        <v>3</v>
      </c>
      <c r="R277" s="31" t="n">
        <f aca="false">ROUND((P277+Q277)*Assumptions!$B$8,1)</f>
        <v>0.7</v>
      </c>
      <c r="S277" s="31" t="n">
        <f aca="false">IF($O277="Y",ROUND(Q277*Assumptions!$B$9,1),0)</f>
        <v>0</v>
      </c>
      <c r="T277" s="31" t="n">
        <f aca="false">ROUND((P277+Q277)*Assumptions!$B$10,1)</f>
        <v>2.1</v>
      </c>
      <c r="U277" s="9" t="n">
        <f aca="false">SUM(P277:T277)</f>
        <v>8.8</v>
      </c>
      <c r="V277" s="35" t="s">
        <v>386</v>
      </c>
      <c r="W277" s="28"/>
    </row>
    <row r="278" customFormat="false" ht="32.8" hidden="false" customHeight="false" outlineLevel="0" collapsed="false">
      <c r="A278" s="7" t="s">
        <v>2041</v>
      </c>
      <c r="B278" s="14" t="s">
        <v>1964</v>
      </c>
      <c r="C278" s="6" t="s">
        <v>1965</v>
      </c>
      <c r="D278" s="6" t="s">
        <v>2042</v>
      </c>
      <c r="E278" s="6" t="s">
        <v>2043</v>
      </c>
      <c r="F278" s="28" t="s">
        <v>2044</v>
      </c>
      <c r="G278" s="33" t="s">
        <v>286</v>
      </c>
      <c r="H278" s="33" t="s">
        <v>287</v>
      </c>
      <c r="I278" s="28" t="s">
        <v>2045</v>
      </c>
      <c r="J278" s="28" t="s">
        <v>2046</v>
      </c>
      <c r="K278" s="28" t="s">
        <v>2047</v>
      </c>
      <c r="L278" s="6" t="s">
        <v>284</v>
      </c>
      <c r="M278" s="22" t="s">
        <v>75</v>
      </c>
      <c r="N278" s="22" t="s">
        <v>73</v>
      </c>
      <c r="O278" s="22" t="s">
        <v>169</v>
      </c>
      <c r="P278" s="31" t="n">
        <f aca="false">IFERROR(VLOOKUP($M278,Assumptions!$A$15:$B$20,2,FALSE()),0)</f>
        <v>10</v>
      </c>
      <c r="Q278" s="31" t="n">
        <f aca="false">IFERROR(VLOOKUP($N278,Assumptions!$A$15:$B$20,2,FALSE()),0)</f>
        <v>5</v>
      </c>
      <c r="R278" s="31" t="n">
        <f aca="false">ROUND((P278+Q278)*Assumptions!$B$8,1)</f>
        <v>1.8</v>
      </c>
      <c r="S278" s="31" t="n">
        <f aca="false">IF($O278="Y",ROUND(Q278*Assumptions!$B$9,1),0)</f>
        <v>2</v>
      </c>
      <c r="T278" s="31" t="n">
        <f aca="false">ROUND((P278+Q278)*Assumptions!$B$10,1)</f>
        <v>5.3</v>
      </c>
      <c r="U278" s="9" t="n">
        <f aca="false">SUM(P278:T278)</f>
        <v>24.1</v>
      </c>
      <c r="V278" s="34" t="s">
        <v>320</v>
      </c>
      <c r="W278" s="28"/>
    </row>
    <row r="279" customFormat="false" ht="23.85" hidden="false" customHeight="false" outlineLevel="0" collapsed="false">
      <c r="A279" s="7" t="s">
        <v>1576</v>
      </c>
      <c r="B279" s="14" t="s">
        <v>1964</v>
      </c>
      <c r="C279" s="6" t="s">
        <v>1965</v>
      </c>
      <c r="D279" s="6" t="s">
        <v>2048</v>
      </c>
      <c r="E279" s="6" t="s">
        <v>2049</v>
      </c>
      <c r="F279" s="28" t="s">
        <v>2044</v>
      </c>
      <c r="G279" s="33" t="s">
        <v>286</v>
      </c>
      <c r="H279" s="33" t="s">
        <v>287</v>
      </c>
      <c r="I279" s="28" t="s">
        <v>2050</v>
      </c>
      <c r="J279" s="28" t="s">
        <v>2051</v>
      </c>
      <c r="K279" s="28" t="s">
        <v>2052</v>
      </c>
      <c r="L279" s="6" t="s">
        <v>178</v>
      </c>
      <c r="M279" s="22" t="s">
        <v>71</v>
      </c>
      <c r="N279" s="22" t="s">
        <v>71</v>
      </c>
      <c r="O279" s="22" t="s">
        <v>149</v>
      </c>
      <c r="P279" s="31" t="n">
        <f aca="false">IFERROR(VLOOKUP($M279,Assumptions!$A$15:$B$20,2,FALSE()),0)</f>
        <v>3</v>
      </c>
      <c r="Q279" s="31" t="n">
        <f aca="false">IFERROR(VLOOKUP($N279,Assumptions!$A$15:$B$20,2,FALSE()),0)</f>
        <v>3</v>
      </c>
      <c r="R279" s="31" t="n">
        <f aca="false">ROUND((P279+Q279)*Assumptions!$B$8,1)</f>
        <v>0.7</v>
      </c>
      <c r="S279" s="31" t="n">
        <f aca="false">IF($O279="Y",ROUND(Q279*Assumptions!$B$9,1),0)</f>
        <v>0</v>
      </c>
      <c r="T279" s="31" t="n">
        <f aca="false">ROUND((P279+Q279)*Assumptions!$B$10,1)</f>
        <v>2.1</v>
      </c>
      <c r="U279" s="9" t="n">
        <f aca="false">SUM(P279:T279)</f>
        <v>8.8</v>
      </c>
      <c r="V279" s="34" t="s">
        <v>320</v>
      </c>
      <c r="W279" s="28"/>
    </row>
    <row r="281" customFormat="false" ht="15" hidden="false" customHeight="false" outlineLevel="0" collapsed="false">
      <c r="D281" s="38" t="s">
        <v>2053</v>
      </c>
      <c r="P281" s="39" t="n">
        <f aca="false">SUM(P5:P279)</f>
        <v>1196</v>
      </c>
      <c r="Q281" s="39" t="n">
        <f aca="false">SUM(Q5:Q279)</f>
        <v>1058</v>
      </c>
      <c r="R281" s="39" t="n">
        <f aca="false">SUM(R5:R279)</f>
        <v>272.3</v>
      </c>
      <c r="S281" s="39" t="n">
        <f aca="false">SUM(S5:S279)</f>
        <v>178.4</v>
      </c>
      <c r="T281" s="39" t="n">
        <f aca="false">SUM(T5:T279)</f>
        <v>790.5</v>
      </c>
      <c r="U281" s="39" t="n">
        <f aca="false">SUM(U5:U279)</f>
        <v>3495.2</v>
      </c>
    </row>
  </sheetData>
  <autoFilter ref="A4:W279"/>
  <conditionalFormatting sqref="H5:H279">
    <cfRule type="cellIs" priority="2" operator="equal" aboveAverage="0" equalAverage="0" bottom="0" percent="0" rank="0" text="" dxfId="12">
      <formula>"P0"</formula>
    </cfRule>
    <cfRule type="cellIs" priority="3" operator="equal" aboveAverage="0" equalAverage="0" bottom="0" percent="0" rank="0" text="" dxfId="13">
      <formula>"P1"</formula>
    </cfRule>
    <cfRule type="cellIs" priority="4" operator="equal" aboveAverage="0" equalAverage="0" bottom="0" percent="0" rank="0" text="" dxfId="14">
      <formula>"P2"</formula>
    </cfRule>
    <cfRule type="cellIs" priority="5" operator="equal" aboveAverage="0" equalAverage="0" bottom="0" percent="0" rank="0" text="" dxfId="15">
      <formula>"P3"</formula>
    </cfRule>
    <cfRule type="cellIs" priority="6" operator="equal" aboveAverage="0" equalAverage="0" bottom="0" percent="0" rank="0" text="" dxfId="16">
      <formula>"P4"</formula>
    </cfRule>
  </conditionalFormatting>
  <conditionalFormatting sqref="G5:G279">
    <cfRule type="cellIs" priority="7" operator="equal" aboveAverage="0" equalAverage="0" bottom="0" percent="0" rank="0" text="" dxfId="13">
      <formula>"Must"</formula>
    </cfRule>
    <cfRule type="cellIs" priority="8" operator="equal" aboveAverage="0" equalAverage="0" bottom="0" percent="0" rank="0" text="" dxfId="15">
      <formula>"Should"</formula>
    </cfRule>
    <cfRule type="cellIs" priority="9" operator="equal" aboveAverage="0" equalAverage="0" bottom="0" percent="0" rank="0" text="" dxfId="16">
      <formula>"Nice-to-have"</formula>
    </cfRule>
  </conditionalFormatting>
  <dataValidations count="4">
    <dataValidation allowBlank="false" errorStyle="stop" operator="between" showDropDown="false" showErrorMessage="false" showInputMessage="false" sqref="M5:N279" type="list">
      <formula1>"XS,S,M,L,XL,-"</formula1>
      <formula2>0</formula2>
    </dataValidation>
    <dataValidation allowBlank="false" errorStyle="stop" operator="between" showDropDown="false" showErrorMessage="false" showInputMessage="false" sqref="O5:O279" type="list">
      <formula1>"Y,N"</formula1>
      <formula2>0</formula2>
    </dataValidation>
    <dataValidation allowBlank="false" errorStyle="stop" operator="between" showDropDown="false" showErrorMessage="false" showInputMessage="false" sqref="G5:G279" type="list">
      <formula1>"Must,Should,Nice-to-have"</formula1>
      <formula2>0</formula2>
    </dataValidation>
    <dataValidation allowBlank="false" errorStyle="stop" operator="between" showDropDown="false" showErrorMessage="false" showInputMessage="false" sqref="H5:H279" type="list">
      <formula1>"P0,P1,P2,P3,P4"</formula1>
      <formula2>0</formula2>
    </dataValidation>
  </dataValidations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3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0"/>
    <col collapsed="false" customWidth="true" hidden="false" outlineLevel="0" max="3" min="3" style="0" width="7"/>
    <col collapsed="false" customWidth="true" hidden="false" outlineLevel="0" max="4" min="4" style="0" width="78"/>
    <col collapsed="false" customWidth="true" hidden="false" outlineLevel="0" max="5" min="5" style="0" width="8"/>
    <col collapsed="false" customWidth="true" hidden="false" outlineLevel="0" max="7" min="6" style="0" width="7"/>
    <col collapsed="false" customWidth="true" hidden="false" outlineLevel="0" max="8" min="8" style="0" width="11"/>
    <col collapsed="false" customWidth="true" hidden="false" outlineLevel="0" max="9" min="9" style="0" width="22"/>
    <col collapsed="false" customWidth="true" hidden="false" outlineLevel="0" max="10" min="10" style="0" width="8"/>
    <col collapsed="false" customWidth="true" hidden="false" outlineLevel="0" max="11" min="11" style="0" width="14"/>
    <col collapsed="false" customWidth="true" hidden="false" outlineLevel="0" max="12" min="12" style="0" width="11"/>
  </cols>
  <sheetData>
    <row r="1" customFormat="false" ht="17.9" hidden="false" customHeight="false" outlineLevel="0" collapsed="false">
      <c r="A1" s="27" t="s">
        <v>2054</v>
      </c>
    </row>
    <row r="2" customFormat="false" ht="15" hidden="false" customHeight="false" outlineLevel="0" collapsed="false">
      <c r="A2" s="2" t="s">
        <v>2055</v>
      </c>
    </row>
    <row r="4" customFormat="false" ht="31.5" hidden="false" customHeight="true" outlineLevel="0" collapsed="false">
      <c r="A4" s="3" t="s">
        <v>2056</v>
      </c>
      <c r="B4" s="3" t="s">
        <v>2057</v>
      </c>
      <c r="C4" s="3" t="s">
        <v>116</v>
      </c>
      <c r="D4" s="3" t="s">
        <v>2058</v>
      </c>
      <c r="E4" s="3" t="s">
        <v>81</v>
      </c>
      <c r="F4" s="3" t="s">
        <v>2059</v>
      </c>
      <c r="G4" s="3" t="s">
        <v>22</v>
      </c>
      <c r="H4" s="3" t="s">
        <v>121</v>
      </c>
      <c r="I4" s="3" t="s">
        <v>125</v>
      </c>
      <c r="J4" s="3" t="s">
        <v>2060</v>
      </c>
      <c r="K4" s="3" t="s">
        <v>2061</v>
      </c>
      <c r="L4" s="3" t="s">
        <v>2062</v>
      </c>
    </row>
    <row r="5" customFormat="false" ht="15" hidden="false" customHeight="false" outlineLevel="0" collapsed="false">
      <c r="A5" s="14" t="s">
        <v>2063</v>
      </c>
      <c r="B5" s="14" t="s">
        <v>137</v>
      </c>
      <c r="C5" s="14" t="s">
        <v>138</v>
      </c>
      <c r="D5" s="28" t="s">
        <v>2064</v>
      </c>
      <c r="E5" s="40" t="s">
        <v>91</v>
      </c>
      <c r="F5" s="31" t="n">
        <f aca="false">WBS!R5</f>
        <v>1.8</v>
      </c>
      <c r="G5" s="14" t="str">
        <f aca="false">WBS!H5</f>
        <v>P0</v>
      </c>
      <c r="H5" s="14" t="str">
        <f aca="false">WBS!G5</f>
        <v>Must</v>
      </c>
      <c r="I5" s="6" t="s">
        <v>148</v>
      </c>
      <c r="J5" s="14"/>
      <c r="K5" s="6"/>
      <c r="L5" s="41" t="s">
        <v>2065</v>
      </c>
    </row>
    <row r="6" customFormat="false" ht="32.8" hidden="false" customHeight="false" outlineLevel="0" collapsed="false">
      <c r="A6" s="14" t="s">
        <v>2066</v>
      </c>
      <c r="B6" s="14" t="s">
        <v>137</v>
      </c>
      <c r="C6" s="14" t="s">
        <v>138</v>
      </c>
      <c r="D6" s="28" t="s">
        <v>2067</v>
      </c>
      <c r="E6" s="42" t="s">
        <v>2068</v>
      </c>
      <c r="F6" s="31" t="n">
        <f aca="false">WBS!P5</f>
        <v>10</v>
      </c>
      <c r="G6" s="14" t="str">
        <f aca="false">WBS!H5</f>
        <v>P0</v>
      </c>
      <c r="H6" s="14" t="str">
        <f aca="false">WBS!G5</f>
        <v>Must</v>
      </c>
      <c r="I6" s="6" t="s">
        <v>2063</v>
      </c>
      <c r="J6" s="14"/>
      <c r="K6" s="6"/>
      <c r="L6" s="41" t="s">
        <v>2065</v>
      </c>
    </row>
    <row r="7" customFormat="false" ht="22.35" hidden="false" customHeight="false" outlineLevel="0" collapsed="false">
      <c r="A7" s="14" t="s">
        <v>2069</v>
      </c>
      <c r="B7" s="14" t="s">
        <v>137</v>
      </c>
      <c r="C7" s="14" t="s">
        <v>138</v>
      </c>
      <c r="D7" s="28" t="s">
        <v>2070</v>
      </c>
      <c r="E7" s="22" t="s">
        <v>2071</v>
      </c>
      <c r="F7" s="31" t="n">
        <f aca="false">WBS!Q5</f>
        <v>5</v>
      </c>
      <c r="G7" s="14" t="str">
        <f aca="false">WBS!H5</f>
        <v>P0</v>
      </c>
      <c r="H7" s="14" t="str">
        <f aca="false">WBS!G5</f>
        <v>Must</v>
      </c>
      <c r="I7" s="6" t="s">
        <v>2063</v>
      </c>
      <c r="J7" s="14"/>
      <c r="K7" s="6"/>
      <c r="L7" s="41" t="s">
        <v>2065</v>
      </c>
    </row>
    <row r="8" customFormat="false" ht="22.35" hidden="false" customHeight="false" outlineLevel="0" collapsed="false">
      <c r="A8" s="14" t="s">
        <v>2072</v>
      </c>
      <c r="B8" s="14" t="s">
        <v>137</v>
      </c>
      <c r="C8" s="14" t="s">
        <v>138</v>
      </c>
      <c r="D8" s="28" t="s">
        <v>2073</v>
      </c>
      <c r="E8" s="43" t="s">
        <v>96</v>
      </c>
      <c r="F8" s="31" t="n">
        <f aca="false">WBS!T5</f>
        <v>5.3</v>
      </c>
      <c r="G8" s="14" t="str">
        <f aca="false">WBS!H5</f>
        <v>P0</v>
      </c>
      <c r="H8" s="14" t="str">
        <f aca="false">WBS!G5</f>
        <v>Must</v>
      </c>
      <c r="I8" s="6" t="s">
        <v>2074</v>
      </c>
      <c r="J8" s="14"/>
      <c r="K8" s="6"/>
      <c r="L8" s="41" t="s">
        <v>2065</v>
      </c>
    </row>
    <row r="9" customFormat="false" ht="15" hidden="false" customHeight="false" outlineLevel="0" collapsed="false">
      <c r="A9" s="14" t="s">
        <v>2075</v>
      </c>
      <c r="B9" s="14" t="s">
        <v>150</v>
      </c>
      <c r="C9" s="14" t="s">
        <v>138</v>
      </c>
      <c r="D9" s="28" t="s">
        <v>2076</v>
      </c>
      <c r="E9" s="40" t="s">
        <v>91</v>
      </c>
      <c r="F9" s="31" t="n">
        <f aca="false">WBS!R6</f>
        <v>1.6</v>
      </c>
      <c r="G9" s="14" t="str">
        <f aca="false">WBS!H6</f>
        <v>P0</v>
      </c>
      <c r="H9" s="14" t="str">
        <f aca="false">WBS!G6</f>
        <v>Must</v>
      </c>
      <c r="I9" s="6" t="s">
        <v>137</v>
      </c>
      <c r="J9" s="14"/>
      <c r="K9" s="6"/>
      <c r="L9" s="41" t="s">
        <v>2065</v>
      </c>
    </row>
    <row r="10" customFormat="false" ht="22.35" hidden="false" customHeight="false" outlineLevel="0" collapsed="false">
      <c r="A10" s="14" t="s">
        <v>2077</v>
      </c>
      <c r="B10" s="14" t="s">
        <v>150</v>
      </c>
      <c r="C10" s="14" t="s">
        <v>138</v>
      </c>
      <c r="D10" s="28" t="s">
        <v>2078</v>
      </c>
      <c r="E10" s="42" t="s">
        <v>2068</v>
      </c>
      <c r="F10" s="31" t="n">
        <f aca="false">WBS!P6</f>
        <v>10</v>
      </c>
      <c r="G10" s="14" t="str">
        <f aca="false">WBS!H6</f>
        <v>P0</v>
      </c>
      <c r="H10" s="14" t="str">
        <f aca="false">WBS!G6</f>
        <v>Must</v>
      </c>
      <c r="I10" s="6" t="s">
        <v>2075</v>
      </c>
      <c r="J10" s="14"/>
      <c r="K10" s="6"/>
      <c r="L10" s="41" t="s">
        <v>2065</v>
      </c>
    </row>
    <row r="11" customFormat="false" ht="15" hidden="false" customHeight="false" outlineLevel="0" collapsed="false">
      <c r="A11" s="14" t="s">
        <v>2079</v>
      </c>
      <c r="B11" s="14" t="s">
        <v>150</v>
      </c>
      <c r="C11" s="14" t="s">
        <v>138</v>
      </c>
      <c r="D11" s="28" t="s">
        <v>2080</v>
      </c>
      <c r="E11" s="22" t="s">
        <v>2071</v>
      </c>
      <c r="F11" s="31" t="n">
        <f aca="false">WBS!Q6</f>
        <v>3</v>
      </c>
      <c r="G11" s="14" t="str">
        <f aca="false">WBS!H6</f>
        <v>P0</v>
      </c>
      <c r="H11" s="14" t="str">
        <f aca="false">WBS!G6</f>
        <v>Must</v>
      </c>
      <c r="I11" s="6" t="s">
        <v>2075</v>
      </c>
      <c r="J11" s="14"/>
      <c r="K11" s="6"/>
      <c r="L11" s="41" t="s">
        <v>2065</v>
      </c>
    </row>
    <row r="12" customFormat="false" ht="22.35" hidden="false" customHeight="false" outlineLevel="0" collapsed="false">
      <c r="A12" s="14" t="s">
        <v>2081</v>
      </c>
      <c r="B12" s="14" t="s">
        <v>150</v>
      </c>
      <c r="C12" s="14" t="s">
        <v>138</v>
      </c>
      <c r="D12" s="28" t="s">
        <v>2082</v>
      </c>
      <c r="E12" s="43" t="s">
        <v>96</v>
      </c>
      <c r="F12" s="31" t="n">
        <f aca="false">WBS!T6</f>
        <v>4.6</v>
      </c>
      <c r="G12" s="14" t="str">
        <f aca="false">WBS!H6</f>
        <v>P0</v>
      </c>
      <c r="H12" s="14" t="str">
        <f aca="false">WBS!G6</f>
        <v>Must</v>
      </c>
      <c r="I12" s="6" t="s">
        <v>2083</v>
      </c>
      <c r="J12" s="14"/>
      <c r="K12" s="6"/>
      <c r="L12" s="41" t="s">
        <v>2065</v>
      </c>
    </row>
    <row r="13" customFormat="false" ht="15" hidden="false" customHeight="false" outlineLevel="0" collapsed="false">
      <c r="A13" s="14" t="s">
        <v>2084</v>
      </c>
      <c r="B13" s="14" t="s">
        <v>156</v>
      </c>
      <c r="C13" s="14" t="s">
        <v>138</v>
      </c>
      <c r="D13" s="28" t="s">
        <v>2085</v>
      </c>
      <c r="E13" s="40" t="s">
        <v>91</v>
      </c>
      <c r="F13" s="31" t="n">
        <f aca="false">WBS!R7</f>
        <v>1</v>
      </c>
      <c r="G13" s="14" t="str">
        <f aca="false">WBS!H7</f>
        <v>P0</v>
      </c>
      <c r="H13" s="14" t="str">
        <f aca="false">WBS!G7</f>
        <v>Must</v>
      </c>
      <c r="I13" s="6" t="s">
        <v>137</v>
      </c>
      <c r="J13" s="14"/>
      <c r="K13" s="6"/>
      <c r="L13" s="41" t="s">
        <v>2065</v>
      </c>
    </row>
    <row r="14" customFormat="false" ht="15" hidden="false" customHeight="false" outlineLevel="0" collapsed="false">
      <c r="A14" s="14" t="s">
        <v>2086</v>
      </c>
      <c r="B14" s="14" t="s">
        <v>156</v>
      </c>
      <c r="C14" s="14" t="s">
        <v>138</v>
      </c>
      <c r="D14" s="28" t="s">
        <v>2087</v>
      </c>
      <c r="E14" s="42" t="s">
        <v>2068</v>
      </c>
      <c r="F14" s="31" t="n">
        <f aca="false">WBS!P7</f>
        <v>3</v>
      </c>
      <c r="G14" s="14" t="str">
        <f aca="false">WBS!H7</f>
        <v>P0</v>
      </c>
      <c r="H14" s="14" t="str">
        <f aca="false">WBS!G7</f>
        <v>Must</v>
      </c>
      <c r="I14" s="6" t="s">
        <v>2084</v>
      </c>
      <c r="J14" s="14"/>
      <c r="K14" s="6"/>
      <c r="L14" s="41" t="s">
        <v>2065</v>
      </c>
    </row>
    <row r="15" customFormat="false" ht="15" hidden="false" customHeight="false" outlineLevel="0" collapsed="false">
      <c r="A15" s="14" t="s">
        <v>2088</v>
      </c>
      <c r="B15" s="14" t="s">
        <v>156</v>
      </c>
      <c r="C15" s="14" t="s">
        <v>138</v>
      </c>
      <c r="D15" s="28" t="s">
        <v>2089</v>
      </c>
      <c r="E15" s="22" t="s">
        <v>2071</v>
      </c>
      <c r="F15" s="31" t="n">
        <f aca="false">WBS!Q7</f>
        <v>5</v>
      </c>
      <c r="G15" s="14" t="str">
        <f aca="false">WBS!H7</f>
        <v>P0</v>
      </c>
      <c r="H15" s="14" t="str">
        <f aca="false">WBS!G7</f>
        <v>Must</v>
      </c>
      <c r="I15" s="6" t="s">
        <v>2084</v>
      </c>
      <c r="J15" s="14"/>
      <c r="K15" s="6"/>
      <c r="L15" s="41" t="s">
        <v>2065</v>
      </c>
    </row>
    <row r="16" customFormat="false" ht="15" hidden="false" customHeight="false" outlineLevel="0" collapsed="false">
      <c r="A16" s="14" t="s">
        <v>2090</v>
      </c>
      <c r="B16" s="14" t="s">
        <v>156</v>
      </c>
      <c r="C16" s="14" t="s">
        <v>138</v>
      </c>
      <c r="D16" s="28" t="s">
        <v>2091</v>
      </c>
      <c r="E16" s="43" t="s">
        <v>96</v>
      </c>
      <c r="F16" s="31" t="n">
        <f aca="false">WBS!T7</f>
        <v>2.8</v>
      </c>
      <c r="G16" s="14" t="str">
        <f aca="false">WBS!H7</f>
        <v>P0</v>
      </c>
      <c r="H16" s="14" t="str">
        <f aca="false">WBS!G7</f>
        <v>Must</v>
      </c>
      <c r="I16" s="6" t="s">
        <v>2092</v>
      </c>
      <c r="J16" s="14"/>
      <c r="K16" s="6"/>
      <c r="L16" s="41" t="s">
        <v>2065</v>
      </c>
    </row>
    <row r="17" customFormat="false" ht="15" hidden="false" customHeight="false" outlineLevel="0" collapsed="false">
      <c r="A17" s="14" t="s">
        <v>2093</v>
      </c>
      <c r="B17" s="14" t="s">
        <v>162</v>
      </c>
      <c r="C17" s="14" t="s">
        <v>138</v>
      </c>
      <c r="D17" s="28" t="s">
        <v>2094</v>
      </c>
      <c r="E17" s="40" t="s">
        <v>91</v>
      </c>
      <c r="F17" s="31" t="n">
        <f aca="false">WBS!R8</f>
        <v>1.8</v>
      </c>
      <c r="G17" s="14" t="str">
        <f aca="false">WBS!H8</f>
        <v>P0</v>
      </c>
      <c r="H17" s="14" t="str">
        <f aca="false">WBS!G8</f>
        <v>Must</v>
      </c>
      <c r="I17" s="6" t="s">
        <v>168</v>
      </c>
      <c r="J17" s="14"/>
      <c r="K17" s="6"/>
      <c r="L17" s="41" t="s">
        <v>2065</v>
      </c>
    </row>
    <row r="18" customFormat="false" ht="15" hidden="false" customHeight="false" outlineLevel="0" collapsed="false">
      <c r="A18" s="14" t="s">
        <v>2095</v>
      </c>
      <c r="B18" s="14" t="s">
        <v>162</v>
      </c>
      <c r="C18" s="14" t="s">
        <v>138</v>
      </c>
      <c r="D18" s="28" t="s">
        <v>2096</v>
      </c>
      <c r="E18" s="37" t="s">
        <v>128</v>
      </c>
      <c r="F18" s="31" t="n">
        <f aca="false">WBS!S8</f>
        <v>2</v>
      </c>
      <c r="G18" s="14" t="str">
        <f aca="false">WBS!H8</f>
        <v>P0</v>
      </c>
      <c r="H18" s="14" t="str">
        <f aca="false">WBS!G8</f>
        <v>Must</v>
      </c>
      <c r="I18" s="6" t="s">
        <v>2093</v>
      </c>
      <c r="J18" s="14"/>
      <c r="K18" s="6"/>
      <c r="L18" s="41" t="s">
        <v>2065</v>
      </c>
    </row>
    <row r="19" customFormat="false" ht="22.35" hidden="false" customHeight="false" outlineLevel="0" collapsed="false">
      <c r="A19" s="14" t="s">
        <v>2097</v>
      </c>
      <c r="B19" s="14" t="s">
        <v>162</v>
      </c>
      <c r="C19" s="14" t="s">
        <v>138</v>
      </c>
      <c r="D19" s="28" t="s">
        <v>2098</v>
      </c>
      <c r="E19" s="42" t="s">
        <v>2068</v>
      </c>
      <c r="F19" s="31" t="n">
        <f aca="false">WBS!P8</f>
        <v>10</v>
      </c>
      <c r="G19" s="14" t="str">
        <f aca="false">WBS!H8</f>
        <v>P0</v>
      </c>
      <c r="H19" s="14" t="str">
        <f aca="false">WBS!G8</f>
        <v>Must</v>
      </c>
      <c r="I19" s="6" t="s">
        <v>2093</v>
      </c>
      <c r="J19" s="14"/>
      <c r="K19" s="6"/>
      <c r="L19" s="41" t="s">
        <v>2065</v>
      </c>
    </row>
    <row r="20" customFormat="false" ht="15" hidden="false" customHeight="false" outlineLevel="0" collapsed="false">
      <c r="A20" s="14" t="s">
        <v>2099</v>
      </c>
      <c r="B20" s="14" t="s">
        <v>162</v>
      </c>
      <c r="C20" s="14" t="s">
        <v>138</v>
      </c>
      <c r="D20" s="28" t="s">
        <v>2100</v>
      </c>
      <c r="E20" s="22" t="s">
        <v>2071</v>
      </c>
      <c r="F20" s="31" t="n">
        <f aca="false">WBS!Q8</f>
        <v>5</v>
      </c>
      <c r="G20" s="14" t="str">
        <f aca="false">WBS!H8</f>
        <v>P0</v>
      </c>
      <c r="H20" s="14" t="str">
        <f aca="false">WBS!G8</f>
        <v>Must</v>
      </c>
      <c r="I20" s="6" t="s">
        <v>2095</v>
      </c>
      <c r="J20" s="14"/>
      <c r="K20" s="6"/>
      <c r="L20" s="41" t="s">
        <v>2065</v>
      </c>
    </row>
    <row r="21" customFormat="false" ht="15" hidden="false" customHeight="false" outlineLevel="0" collapsed="false">
      <c r="A21" s="14" t="s">
        <v>2101</v>
      </c>
      <c r="B21" s="14" t="s">
        <v>162</v>
      </c>
      <c r="C21" s="14" t="s">
        <v>138</v>
      </c>
      <c r="D21" s="28" t="s">
        <v>2102</v>
      </c>
      <c r="E21" s="43" t="s">
        <v>96</v>
      </c>
      <c r="F21" s="31" t="n">
        <f aca="false">WBS!T8</f>
        <v>5.3</v>
      </c>
      <c r="G21" s="14" t="str">
        <f aca="false">WBS!H8</f>
        <v>P0</v>
      </c>
      <c r="H21" s="14" t="str">
        <f aca="false">WBS!G8</f>
        <v>Must</v>
      </c>
      <c r="I21" s="6" t="s">
        <v>2103</v>
      </c>
      <c r="J21" s="14"/>
      <c r="K21" s="6"/>
      <c r="L21" s="41" t="s">
        <v>2065</v>
      </c>
    </row>
    <row r="22" customFormat="false" ht="15" hidden="false" customHeight="false" outlineLevel="0" collapsed="false">
      <c r="A22" s="14" t="s">
        <v>2104</v>
      </c>
      <c r="B22" s="14" t="s">
        <v>170</v>
      </c>
      <c r="C22" s="14" t="s">
        <v>138</v>
      </c>
      <c r="D22" s="28" t="s">
        <v>2105</v>
      </c>
      <c r="E22" s="40" t="s">
        <v>91</v>
      </c>
      <c r="F22" s="31" t="n">
        <f aca="false">WBS!R9</f>
        <v>3</v>
      </c>
      <c r="G22" s="14" t="str">
        <f aca="false">WBS!H9</f>
        <v>P0</v>
      </c>
      <c r="H22" s="14" t="str">
        <f aca="false">WBS!G9</f>
        <v>Must</v>
      </c>
      <c r="I22" s="6" t="s">
        <v>176</v>
      </c>
      <c r="J22" s="14"/>
      <c r="K22" s="6"/>
      <c r="L22" s="41" t="s">
        <v>2065</v>
      </c>
    </row>
    <row r="23" customFormat="false" ht="15" hidden="false" customHeight="false" outlineLevel="0" collapsed="false">
      <c r="A23" s="14" t="s">
        <v>2106</v>
      </c>
      <c r="B23" s="14" t="s">
        <v>170</v>
      </c>
      <c r="C23" s="14" t="s">
        <v>138</v>
      </c>
      <c r="D23" s="28" t="s">
        <v>2107</v>
      </c>
      <c r="E23" s="37" t="s">
        <v>128</v>
      </c>
      <c r="F23" s="31" t="n">
        <f aca="false">WBS!S9</f>
        <v>2</v>
      </c>
      <c r="G23" s="14" t="str">
        <f aca="false">WBS!H9</f>
        <v>P0</v>
      </c>
      <c r="H23" s="14" t="str">
        <f aca="false">WBS!G9</f>
        <v>Must</v>
      </c>
      <c r="I23" s="6" t="s">
        <v>2104</v>
      </c>
      <c r="J23" s="14"/>
      <c r="K23" s="6"/>
      <c r="L23" s="41" t="s">
        <v>2065</v>
      </c>
    </row>
    <row r="24" customFormat="false" ht="22.35" hidden="false" customHeight="false" outlineLevel="0" collapsed="false">
      <c r="A24" s="14" t="s">
        <v>2108</v>
      </c>
      <c r="B24" s="14" t="s">
        <v>170</v>
      </c>
      <c r="C24" s="14" t="s">
        <v>138</v>
      </c>
      <c r="D24" s="28" t="s">
        <v>2109</v>
      </c>
      <c r="E24" s="42" t="s">
        <v>2068</v>
      </c>
      <c r="F24" s="31" t="n">
        <f aca="false">WBS!P9</f>
        <v>20</v>
      </c>
      <c r="G24" s="14" t="str">
        <f aca="false">WBS!H9</f>
        <v>P0</v>
      </c>
      <c r="H24" s="14" t="str">
        <f aca="false">WBS!G9</f>
        <v>Must</v>
      </c>
      <c r="I24" s="6" t="s">
        <v>2104</v>
      </c>
      <c r="J24" s="14"/>
      <c r="K24" s="6"/>
      <c r="L24" s="41" t="s">
        <v>2065</v>
      </c>
    </row>
    <row r="25" customFormat="false" ht="15" hidden="false" customHeight="false" outlineLevel="0" collapsed="false">
      <c r="A25" s="14" t="s">
        <v>2110</v>
      </c>
      <c r="B25" s="14" t="s">
        <v>170</v>
      </c>
      <c r="C25" s="14" t="s">
        <v>138</v>
      </c>
      <c r="D25" s="28" t="s">
        <v>2111</v>
      </c>
      <c r="E25" s="22" t="s">
        <v>2071</v>
      </c>
      <c r="F25" s="31" t="n">
        <f aca="false">WBS!Q9</f>
        <v>5</v>
      </c>
      <c r="G25" s="14" t="str">
        <f aca="false">WBS!H9</f>
        <v>P0</v>
      </c>
      <c r="H25" s="14" t="str">
        <f aca="false">WBS!G9</f>
        <v>Must</v>
      </c>
      <c r="I25" s="6" t="s">
        <v>2106</v>
      </c>
      <c r="J25" s="14"/>
      <c r="K25" s="6"/>
      <c r="L25" s="41" t="s">
        <v>2065</v>
      </c>
    </row>
    <row r="26" customFormat="false" ht="22.35" hidden="false" customHeight="false" outlineLevel="0" collapsed="false">
      <c r="A26" s="14" t="s">
        <v>2112</v>
      </c>
      <c r="B26" s="14" t="s">
        <v>170</v>
      </c>
      <c r="C26" s="14" t="s">
        <v>138</v>
      </c>
      <c r="D26" s="28" t="s">
        <v>2113</v>
      </c>
      <c r="E26" s="43" t="s">
        <v>96</v>
      </c>
      <c r="F26" s="31" t="n">
        <f aca="false">WBS!T9</f>
        <v>8.8</v>
      </c>
      <c r="G26" s="14" t="str">
        <f aca="false">WBS!H9</f>
        <v>P0</v>
      </c>
      <c r="H26" s="14" t="str">
        <f aca="false">WBS!G9</f>
        <v>Must</v>
      </c>
      <c r="I26" s="6" t="s">
        <v>2114</v>
      </c>
      <c r="J26" s="14"/>
      <c r="K26" s="6"/>
      <c r="L26" s="41" t="s">
        <v>2065</v>
      </c>
    </row>
    <row r="27" customFormat="false" ht="15" hidden="false" customHeight="false" outlineLevel="0" collapsed="false">
      <c r="A27" s="14" t="s">
        <v>2115</v>
      </c>
      <c r="B27" s="14" t="s">
        <v>178</v>
      </c>
      <c r="C27" s="14" t="s">
        <v>138</v>
      </c>
      <c r="D27" s="28" t="s">
        <v>2116</v>
      </c>
      <c r="E27" s="40" t="s">
        <v>91</v>
      </c>
      <c r="F27" s="31" t="n">
        <f aca="false">WBS!R10</f>
        <v>3.6</v>
      </c>
      <c r="G27" s="14" t="str">
        <f aca="false">WBS!H10</f>
        <v>P0</v>
      </c>
      <c r="H27" s="14" t="str">
        <f aca="false">WBS!G10</f>
        <v>Must</v>
      </c>
      <c r="I27" s="6" t="s">
        <v>137</v>
      </c>
      <c r="J27" s="14"/>
      <c r="K27" s="6"/>
      <c r="L27" s="41" t="s">
        <v>2065</v>
      </c>
    </row>
    <row r="28" customFormat="false" ht="15" hidden="false" customHeight="false" outlineLevel="0" collapsed="false">
      <c r="A28" s="14" t="s">
        <v>2117</v>
      </c>
      <c r="B28" s="14" t="s">
        <v>178</v>
      </c>
      <c r="C28" s="14" t="s">
        <v>138</v>
      </c>
      <c r="D28" s="28" t="s">
        <v>2118</v>
      </c>
      <c r="E28" s="37" t="s">
        <v>128</v>
      </c>
      <c r="F28" s="31" t="n">
        <f aca="false">WBS!S10</f>
        <v>8</v>
      </c>
      <c r="G28" s="14" t="str">
        <f aca="false">WBS!H10</f>
        <v>P0</v>
      </c>
      <c r="H28" s="14" t="str">
        <f aca="false">WBS!G10</f>
        <v>Must</v>
      </c>
      <c r="I28" s="6" t="s">
        <v>2115</v>
      </c>
      <c r="J28" s="14"/>
      <c r="K28" s="6"/>
      <c r="L28" s="41" t="s">
        <v>2065</v>
      </c>
    </row>
    <row r="29" customFormat="false" ht="22.35" hidden="false" customHeight="false" outlineLevel="0" collapsed="false">
      <c r="A29" s="14" t="s">
        <v>2119</v>
      </c>
      <c r="B29" s="14" t="s">
        <v>178</v>
      </c>
      <c r="C29" s="14" t="s">
        <v>138</v>
      </c>
      <c r="D29" s="28" t="s">
        <v>2120</v>
      </c>
      <c r="E29" s="42" t="s">
        <v>2068</v>
      </c>
      <c r="F29" s="31" t="n">
        <f aca="false">WBS!P10</f>
        <v>10</v>
      </c>
      <c r="G29" s="14" t="str">
        <f aca="false">WBS!H10</f>
        <v>P0</v>
      </c>
      <c r="H29" s="14" t="str">
        <f aca="false">WBS!G10</f>
        <v>Must</v>
      </c>
      <c r="I29" s="6" t="s">
        <v>2115</v>
      </c>
      <c r="J29" s="14"/>
      <c r="K29" s="6"/>
      <c r="L29" s="41" t="s">
        <v>2065</v>
      </c>
    </row>
    <row r="30" customFormat="false" ht="22.35" hidden="false" customHeight="false" outlineLevel="0" collapsed="false">
      <c r="A30" s="14" t="s">
        <v>2121</v>
      </c>
      <c r="B30" s="14" t="s">
        <v>178</v>
      </c>
      <c r="C30" s="14" t="s">
        <v>138</v>
      </c>
      <c r="D30" s="28" t="s">
        <v>2122</v>
      </c>
      <c r="E30" s="22" t="s">
        <v>2071</v>
      </c>
      <c r="F30" s="31" t="n">
        <f aca="false">WBS!Q10</f>
        <v>20</v>
      </c>
      <c r="G30" s="14" t="str">
        <f aca="false">WBS!H10</f>
        <v>P0</v>
      </c>
      <c r="H30" s="14" t="str">
        <f aca="false">WBS!G10</f>
        <v>Must</v>
      </c>
      <c r="I30" s="6" t="s">
        <v>2117</v>
      </c>
      <c r="J30" s="14"/>
      <c r="K30" s="6"/>
      <c r="L30" s="41" t="s">
        <v>2065</v>
      </c>
    </row>
    <row r="31" customFormat="false" ht="22.35" hidden="false" customHeight="false" outlineLevel="0" collapsed="false">
      <c r="A31" s="14" t="s">
        <v>2123</v>
      </c>
      <c r="B31" s="14" t="s">
        <v>178</v>
      </c>
      <c r="C31" s="14" t="s">
        <v>138</v>
      </c>
      <c r="D31" s="28" t="s">
        <v>2124</v>
      </c>
      <c r="E31" s="43" t="s">
        <v>96</v>
      </c>
      <c r="F31" s="31" t="n">
        <f aca="false">WBS!T10</f>
        <v>10.5</v>
      </c>
      <c r="G31" s="14" t="str">
        <f aca="false">WBS!H10</f>
        <v>P0</v>
      </c>
      <c r="H31" s="14" t="str">
        <f aca="false">WBS!G10</f>
        <v>Must</v>
      </c>
      <c r="I31" s="6" t="s">
        <v>2125</v>
      </c>
      <c r="J31" s="14"/>
      <c r="K31" s="6"/>
      <c r="L31" s="41" t="s">
        <v>2065</v>
      </c>
    </row>
    <row r="32" customFormat="false" ht="15" hidden="false" customHeight="false" outlineLevel="0" collapsed="false">
      <c r="A32" s="14" t="s">
        <v>2126</v>
      </c>
      <c r="B32" s="14" t="s">
        <v>185</v>
      </c>
      <c r="C32" s="14" t="s">
        <v>138</v>
      </c>
      <c r="D32" s="28" t="s">
        <v>2127</v>
      </c>
      <c r="E32" s="40" t="s">
        <v>91</v>
      </c>
      <c r="F32" s="31" t="n">
        <f aca="false">WBS!R11</f>
        <v>1.2</v>
      </c>
      <c r="G32" s="14" t="str">
        <f aca="false">WBS!H11</f>
        <v>P0</v>
      </c>
      <c r="H32" s="14" t="str">
        <f aca="false">WBS!G11</f>
        <v>Must</v>
      </c>
      <c r="I32" s="6" t="s">
        <v>191</v>
      </c>
      <c r="J32" s="14"/>
      <c r="K32" s="6"/>
      <c r="L32" s="41" t="s">
        <v>2065</v>
      </c>
    </row>
    <row r="33" customFormat="false" ht="15" hidden="false" customHeight="false" outlineLevel="0" collapsed="false">
      <c r="A33" s="14" t="s">
        <v>2128</v>
      </c>
      <c r="B33" s="14" t="s">
        <v>185</v>
      </c>
      <c r="C33" s="14" t="s">
        <v>138</v>
      </c>
      <c r="D33" s="28" t="s">
        <v>2129</v>
      </c>
      <c r="E33" s="37" t="s">
        <v>128</v>
      </c>
      <c r="F33" s="31" t="n">
        <f aca="false">WBS!S11</f>
        <v>2</v>
      </c>
      <c r="G33" s="14" t="str">
        <f aca="false">WBS!H11</f>
        <v>P0</v>
      </c>
      <c r="H33" s="14" t="str">
        <f aca="false">WBS!G11</f>
        <v>Must</v>
      </c>
      <c r="I33" s="6" t="s">
        <v>2126</v>
      </c>
      <c r="J33" s="14"/>
      <c r="K33" s="6"/>
      <c r="L33" s="41" t="s">
        <v>2065</v>
      </c>
    </row>
    <row r="34" customFormat="false" ht="15" hidden="false" customHeight="false" outlineLevel="0" collapsed="false">
      <c r="A34" s="14" t="s">
        <v>2130</v>
      </c>
      <c r="B34" s="14" t="s">
        <v>185</v>
      </c>
      <c r="C34" s="14" t="s">
        <v>138</v>
      </c>
      <c r="D34" s="28" t="s">
        <v>2131</v>
      </c>
      <c r="E34" s="42" t="s">
        <v>2068</v>
      </c>
      <c r="F34" s="31" t="n">
        <f aca="false">WBS!P11</f>
        <v>5</v>
      </c>
      <c r="G34" s="14" t="str">
        <f aca="false">WBS!H11</f>
        <v>P0</v>
      </c>
      <c r="H34" s="14" t="str">
        <f aca="false">WBS!G11</f>
        <v>Must</v>
      </c>
      <c r="I34" s="6" t="s">
        <v>2126</v>
      </c>
      <c r="J34" s="14"/>
      <c r="K34" s="6"/>
      <c r="L34" s="41" t="s">
        <v>2065</v>
      </c>
    </row>
    <row r="35" customFormat="false" ht="15" hidden="false" customHeight="false" outlineLevel="0" collapsed="false">
      <c r="A35" s="14" t="s">
        <v>2132</v>
      </c>
      <c r="B35" s="14" t="s">
        <v>185</v>
      </c>
      <c r="C35" s="14" t="s">
        <v>138</v>
      </c>
      <c r="D35" s="28" t="s">
        <v>2133</v>
      </c>
      <c r="E35" s="22" t="s">
        <v>2071</v>
      </c>
      <c r="F35" s="31" t="n">
        <f aca="false">WBS!Q11</f>
        <v>5</v>
      </c>
      <c r="G35" s="14" t="str">
        <f aca="false">WBS!H11</f>
        <v>P0</v>
      </c>
      <c r="H35" s="14" t="str">
        <f aca="false">WBS!G11</f>
        <v>Must</v>
      </c>
      <c r="I35" s="6" t="s">
        <v>2128</v>
      </c>
      <c r="J35" s="14"/>
      <c r="K35" s="6"/>
      <c r="L35" s="41" t="s">
        <v>2065</v>
      </c>
    </row>
    <row r="36" customFormat="false" ht="15" hidden="false" customHeight="false" outlineLevel="0" collapsed="false">
      <c r="A36" s="14" t="s">
        <v>2134</v>
      </c>
      <c r="B36" s="14" t="s">
        <v>185</v>
      </c>
      <c r="C36" s="14" t="s">
        <v>138</v>
      </c>
      <c r="D36" s="28" t="s">
        <v>2135</v>
      </c>
      <c r="E36" s="43" t="s">
        <v>96</v>
      </c>
      <c r="F36" s="31" t="n">
        <f aca="false">WBS!T11</f>
        <v>3.5</v>
      </c>
      <c r="G36" s="14" t="str">
        <f aca="false">WBS!H11</f>
        <v>P0</v>
      </c>
      <c r="H36" s="14" t="str">
        <f aca="false">WBS!G11</f>
        <v>Must</v>
      </c>
      <c r="I36" s="6" t="s">
        <v>2136</v>
      </c>
      <c r="J36" s="14"/>
      <c r="K36" s="6"/>
      <c r="L36" s="41" t="s">
        <v>2065</v>
      </c>
    </row>
    <row r="37" customFormat="false" ht="15" hidden="false" customHeight="false" outlineLevel="0" collapsed="false">
      <c r="A37" s="14" t="s">
        <v>2137</v>
      </c>
      <c r="B37" s="14" t="s">
        <v>192</v>
      </c>
      <c r="C37" s="14" t="s">
        <v>138</v>
      </c>
      <c r="D37" s="28" t="s">
        <v>2138</v>
      </c>
      <c r="E37" s="40" t="s">
        <v>91</v>
      </c>
      <c r="F37" s="31" t="n">
        <f aca="false">WBS!R12</f>
        <v>1.2</v>
      </c>
      <c r="G37" s="14" t="str">
        <f aca="false">WBS!H12</f>
        <v>P0</v>
      </c>
      <c r="H37" s="14" t="str">
        <f aca="false">WBS!G12</f>
        <v>Must</v>
      </c>
      <c r="I37" s="6" t="s">
        <v>198</v>
      </c>
      <c r="J37" s="14"/>
      <c r="K37" s="6"/>
      <c r="L37" s="41" t="s">
        <v>2065</v>
      </c>
    </row>
    <row r="38" customFormat="false" ht="15" hidden="false" customHeight="false" outlineLevel="0" collapsed="false">
      <c r="A38" s="14" t="s">
        <v>2139</v>
      </c>
      <c r="B38" s="14" t="s">
        <v>192</v>
      </c>
      <c r="C38" s="14" t="s">
        <v>138</v>
      </c>
      <c r="D38" s="28" t="s">
        <v>2140</v>
      </c>
      <c r="E38" s="37" t="s">
        <v>128</v>
      </c>
      <c r="F38" s="31" t="n">
        <f aca="false">WBS!S12</f>
        <v>2</v>
      </c>
      <c r="G38" s="14" t="str">
        <f aca="false">WBS!H12</f>
        <v>P0</v>
      </c>
      <c r="H38" s="14" t="str">
        <f aca="false">WBS!G12</f>
        <v>Must</v>
      </c>
      <c r="I38" s="6" t="s">
        <v>2137</v>
      </c>
      <c r="J38" s="14"/>
      <c r="K38" s="6"/>
      <c r="L38" s="41" t="s">
        <v>2065</v>
      </c>
    </row>
    <row r="39" customFormat="false" ht="15" hidden="false" customHeight="false" outlineLevel="0" collapsed="false">
      <c r="A39" s="14" t="s">
        <v>2141</v>
      </c>
      <c r="B39" s="14" t="s">
        <v>192</v>
      </c>
      <c r="C39" s="14" t="s">
        <v>138</v>
      </c>
      <c r="D39" s="28" t="s">
        <v>2142</v>
      </c>
      <c r="E39" s="42" t="s">
        <v>2068</v>
      </c>
      <c r="F39" s="31" t="n">
        <f aca="false">WBS!P12</f>
        <v>5</v>
      </c>
      <c r="G39" s="14" t="str">
        <f aca="false">WBS!H12</f>
        <v>P0</v>
      </c>
      <c r="H39" s="14" t="str">
        <f aca="false">WBS!G12</f>
        <v>Must</v>
      </c>
      <c r="I39" s="6" t="s">
        <v>2137</v>
      </c>
      <c r="J39" s="14"/>
      <c r="K39" s="6"/>
      <c r="L39" s="41" t="s">
        <v>2065</v>
      </c>
    </row>
    <row r="40" customFormat="false" ht="15" hidden="false" customHeight="false" outlineLevel="0" collapsed="false">
      <c r="A40" s="14" t="s">
        <v>2143</v>
      </c>
      <c r="B40" s="14" t="s">
        <v>192</v>
      </c>
      <c r="C40" s="14" t="s">
        <v>138</v>
      </c>
      <c r="D40" s="28" t="s">
        <v>2144</v>
      </c>
      <c r="E40" s="22" t="s">
        <v>2071</v>
      </c>
      <c r="F40" s="31" t="n">
        <f aca="false">WBS!Q12</f>
        <v>5</v>
      </c>
      <c r="G40" s="14" t="str">
        <f aca="false">WBS!H12</f>
        <v>P0</v>
      </c>
      <c r="H40" s="14" t="str">
        <f aca="false">WBS!G12</f>
        <v>Must</v>
      </c>
      <c r="I40" s="6" t="s">
        <v>2139</v>
      </c>
      <c r="J40" s="14"/>
      <c r="K40" s="6"/>
      <c r="L40" s="41" t="s">
        <v>2065</v>
      </c>
    </row>
    <row r="41" customFormat="false" ht="15" hidden="false" customHeight="false" outlineLevel="0" collapsed="false">
      <c r="A41" s="14" t="s">
        <v>2145</v>
      </c>
      <c r="B41" s="14" t="s">
        <v>192</v>
      </c>
      <c r="C41" s="14" t="s">
        <v>138</v>
      </c>
      <c r="D41" s="28" t="s">
        <v>2146</v>
      </c>
      <c r="E41" s="43" t="s">
        <v>96</v>
      </c>
      <c r="F41" s="31" t="n">
        <f aca="false">WBS!T12</f>
        <v>3.5</v>
      </c>
      <c r="G41" s="14" t="str">
        <f aca="false">WBS!H12</f>
        <v>P0</v>
      </c>
      <c r="H41" s="14" t="str">
        <f aca="false">WBS!G12</f>
        <v>Must</v>
      </c>
      <c r="I41" s="6" t="s">
        <v>2147</v>
      </c>
      <c r="J41" s="14"/>
      <c r="K41" s="6"/>
      <c r="L41" s="41" t="s">
        <v>2065</v>
      </c>
    </row>
    <row r="42" customFormat="false" ht="15" hidden="false" customHeight="false" outlineLevel="0" collapsed="false">
      <c r="A42" s="14" t="s">
        <v>2148</v>
      </c>
      <c r="B42" s="14" t="s">
        <v>199</v>
      </c>
      <c r="C42" s="14" t="s">
        <v>138</v>
      </c>
      <c r="D42" s="28" t="s">
        <v>2149</v>
      </c>
      <c r="E42" s="40" t="s">
        <v>91</v>
      </c>
      <c r="F42" s="31" t="n">
        <f aca="false">WBS!R13</f>
        <v>1</v>
      </c>
      <c r="G42" s="14" t="str">
        <f aca="false">WBS!H13</f>
        <v>P0</v>
      </c>
      <c r="H42" s="14" t="str">
        <f aca="false">WBS!G13</f>
        <v>Must</v>
      </c>
      <c r="I42" s="6" t="s">
        <v>137</v>
      </c>
      <c r="J42" s="14"/>
      <c r="K42" s="6"/>
      <c r="L42" s="41" t="s">
        <v>2065</v>
      </c>
    </row>
    <row r="43" customFormat="false" ht="22.35" hidden="false" customHeight="false" outlineLevel="0" collapsed="false">
      <c r="A43" s="14" t="s">
        <v>2150</v>
      </c>
      <c r="B43" s="14" t="s">
        <v>199</v>
      </c>
      <c r="C43" s="14" t="s">
        <v>138</v>
      </c>
      <c r="D43" s="28" t="s">
        <v>2151</v>
      </c>
      <c r="E43" s="42" t="s">
        <v>2068</v>
      </c>
      <c r="F43" s="31" t="n">
        <f aca="false">WBS!P13</f>
        <v>5</v>
      </c>
      <c r="G43" s="14" t="str">
        <f aca="false">WBS!H13</f>
        <v>P0</v>
      </c>
      <c r="H43" s="14" t="str">
        <f aca="false">WBS!G13</f>
        <v>Must</v>
      </c>
      <c r="I43" s="6" t="s">
        <v>2148</v>
      </c>
      <c r="J43" s="14"/>
      <c r="K43" s="6"/>
      <c r="L43" s="41" t="s">
        <v>2065</v>
      </c>
    </row>
    <row r="44" customFormat="false" ht="15" hidden="false" customHeight="false" outlineLevel="0" collapsed="false">
      <c r="A44" s="14" t="s">
        <v>2152</v>
      </c>
      <c r="B44" s="14" t="s">
        <v>199</v>
      </c>
      <c r="C44" s="14" t="s">
        <v>138</v>
      </c>
      <c r="D44" s="28" t="s">
        <v>2153</v>
      </c>
      <c r="E44" s="22" t="s">
        <v>2071</v>
      </c>
      <c r="F44" s="31" t="n">
        <f aca="false">WBS!Q13</f>
        <v>3</v>
      </c>
      <c r="G44" s="14" t="str">
        <f aca="false">WBS!H13</f>
        <v>P0</v>
      </c>
      <c r="H44" s="14" t="str">
        <f aca="false">WBS!G13</f>
        <v>Must</v>
      </c>
      <c r="I44" s="6" t="s">
        <v>2148</v>
      </c>
      <c r="J44" s="14"/>
      <c r="K44" s="6"/>
      <c r="L44" s="41" t="s">
        <v>2065</v>
      </c>
    </row>
    <row r="45" customFormat="false" ht="15" hidden="false" customHeight="false" outlineLevel="0" collapsed="false">
      <c r="A45" s="14" t="s">
        <v>2154</v>
      </c>
      <c r="B45" s="14" t="s">
        <v>199</v>
      </c>
      <c r="C45" s="14" t="s">
        <v>138</v>
      </c>
      <c r="D45" s="28" t="s">
        <v>2155</v>
      </c>
      <c r="E45" s="43" t="s">
        <v>96</v>
      </c>
      <c r="F45" s="31" t="n">
        <f aca="false">WBS!T13</f>
        <v>2.8</v>
      </c>
      <c r="G45" s="14" t="str">
        <f aca="false">WBS!H13</f>
        <v>P0</v>
      </c>
      <c r="H45" s="14" t="str">
        <f aca="false">WBS!G13</f>
        <v>Must</v>
      </c>
      <c r="I45" s="6" t="s">
        <v>2156</v>
      </c>
      <c r="J45" s="14"/>
      <c r="K45" s="6"/>
      <c r="L45" s="41" t="s">
        <v>2065</v>
      </c>
    </row>
    <row r="46" customFormat="false" ht="15" hidden="false" customHeight="false" outlineLevel="0" collapsed="false">
      <c r="A46" s="14" t="s">
        <v>2157</v>
      </c>
      <c r="B46" s="14" t="s">
        <v>168</v>
      </c>
      <c r="C46" s="14" t="s">
        <v>138</v>
      </c>
      <c r="D46" s="28" t="s">
        <v>2158</v>
      </c>
      <c r="E46" s="40" t="s">
        <v>91</v>
      </c>
      <c r="F46" s="31" t="n">
        <f aca="false">WBS!R14</f>
        <v>1</v>
      </c>
      <c r="G46" s="14" t="str">
        <f aca="false">WBS!H14</f>
        <v>P0</v>
      </c>
      <c r="H46" s="14" t="str">
        <f aca="false">WBS!G14</f>
        <v>Must</v>
      </c>
      <c r="I46" s="6" t="s">
        <v>137</v>
      </c>
      <c r="J46" s="14"/>
      <c r="K46" s="6"/>
      <c r="L46" s="41" t="s">
        <v>2065</v>
      </c>
    </row>
    <row r="47" customFormat="false" ht="22.35" hidden="false" customHeight="false" outlineLevel="0" collapsed="false">
      <c r="A47" s="14" t="s">
        <v>2159</v>
      </c>
      <c r="B47" s="14" t="s">
        <v>168</v>
      </c>
      <c r="C47" s="14" t="s">
        <v>138</v>
      </c>
      <c r="D47" s="28" t="s">
        <v>2160</v>
      </c>
      <c r="E47" s="42" t="s">
        <v>2068</v>
      </c>
      <c r="F47" s="31" t="n">
        <f aca="false">WBS!P14</f>
        <v>5</v>
      </c>
      <c r="G47" s="14" t="str">
        <f aca="false">WBS!H14</f>
        <v>P0</v>
      </c>
      <c r="H47" s="14" t="str">
        <f aca="false">WBS!G14</f>
        <v>Must</v>
      </c>
      <c r="I47" s="6" t="s">
        <v>2157</v>
      </c>
      <c r="J47" s="14"/>
      <c r="K47" s="6"/>
      <c r="L47" s="41" t="s">
        <v>2065</v>
      </c>
    </row>
    <row r="48" customFormat="false" ht="15" hidden="false" customHeight="false" outlineLevel="0" collapsed="false">
      <c r="A48" s="14" t="s">
        <v>2161</v>
      </c>
      <c r="B48" s="14" t="s">
        <v>168</v>
      </c>
      <c r="C48" s="14" t="s">
        <v>138</v>
      </c>
      <c r="D48" s="28" t="s">
        <v>2162</v>
      </c>
      <c r="E48" s="22" t="s">
        <v>2071</v>
      </c>
      <c r="F48" s="31" t="n">
        <f aca="false">WBS!Q14</f>
        <v>3</v>
      </c>
      <c r="G48" s="14" t="str">
        <f aca="false">WBS!H14</f>
        <v>P0</v>
      </c>
      <c r="H48" s="14" t="str">
        <f aca="false">WBS!G14</f>
        <v>Must</v>
      </c>
      <c r="I48" s="6" t="s">
        <v>2157</v>
      </c>
      <c r="J48" s="14"/>
      <c r="K48" s="6"/>
      <c r="L48" s="41" t="s">
        <v>2065</v>
      </c>
    </row>
    <row r="49" customFormat="false" ht="15" hidden="false" customHeight="false" outlineLevel="0" collapsed="false">
      <c r="A49" s="14" t="s">
        <v>2163</v>
      </c>
      <c r="B49" s="14" t="s">
        <v>168</v>
      </c>
      <c r="C49" s="14" t="s">
        <v>138</v>
      </c>
      <c r="D49" s="28" t="s">
        <v>2164</v>
      </c>
      <c r="E49" s="43" t="s">
        <v>96</v>
      </c>
      <c r="F49" s="31" t="n">
        <f aca="false">WBS!T14</f>
        <v>2.8</v>
      </c>
      <c r="G49" s="14" t="str">
        <f aca="false">WBS!H14</f>
        <v>P0</v>
      </c>
      <c r="H49" s="14" t="str">
        <f aca="false">WBS!G14</f>
        <v>Must</v>
      </c>
      <c r="I49" s="6" t="s">
        <v>2165</v>
      </c>
      <c r="J49" s="14"/>
      <c r="K49" s="6"/>
      <c r="L49" s="41" t="s">
        <v>2065</v>
      </c>
    </row>
    <row r="50" customFormat="false" ht="15" hidden="false" customHeight="false" outlineLevel="0" collapsed="false">
      <c r="A50" s="14" t="s">
        <v>2166</v>
      </c>
      <c r="B50" s="14" t="s">
        <v>210</v>
      </c>
      <c r="C50" s="14" t="s">
        <v>138</v>
      </c>
      <c r="D50" s="28" t="s">
        <v>2167</v>
      </c>
      <c r="E50" s="40" t="s">
        <v>91</v>
      </c>
      <c r="F50" s="31" t="n">
        <f aca="false">WBS!R15</f>
        <v>0.6</v>
      </c>
      <c r="G50" s="14" t="str">
        <f aca="false">WBS!H15</f>
        <v>P0</v>
      </c>
      <c r="H50" s="14" t="str">
        <f aca="false">WBS!G15</f>
        <v>Must</v>
      </c>
      <c r="I50" s="6" t="s">
        <v>168</v>
      </c>
      <c r="J50" s="14"/>
      <c r="K50" s="6"/>
      <c r="L50" s="41" t="s">
        <v>2065</v>
      </c>
    </row>
    <row r="51" customFormat="false" ht="22.35" hidden="false" customHeight="false" outlineLevel="0" collapsed="false">
      <c r="A51" s="14" t="s">
        <v>2168</v>
      </c>
      <c r="B51" s="14" t="s">
        <v>210</v>
      </c>
      <c r="C51" s="14" t="s">
        <v>138</v>
      </c>
      <c r="D51" s="28" t="s">
        <v>2169</v>
      </c>
      <c r="E51" s="42" t="s">
        <v>2068</v>
      </c>
      <c r="F51" s="31" t="n">
        <f aca="false">WBS!P15</f>
        <v>5</v>
      </c>
      <c r="G51" s="14" t="str">
        <f aca="false">WBS!H15</f>
        <v>P0</v>
      </c>
      <c r="H51" s="14" t="str">
        <f aca="false">WBS!G15</f>
        <v>Must</v>
      </c>
      <c r="I51" s="6" t="s">
        <v>2166</v>
      </c>
      <c r="J51" s="14"/>
      <c r="K51" s="6"/>
      <c r="L51" s="41" t="s">
        <v>2065</v>
      </c>
    </row>
    <row r="52" customFormat="false" ht="15" hidden="false" customHeight="false" outlineLevel="0" collapsed="false">
      <c r="A52" s="14" t="s">
        <v>2170</v>
      </c>
      <c r="B52" s="14" t="s">
        <v>210</v>
      </c>
      <c r="C52" s="14" t="s">
        <v>138</v>
      </c>
      <c r="D52" s="28" t="s">
        <v>2171</v>
      </c>
      <c r="E52" s="43" t="s">
        <v>96</v>
      </c>
      <c r="F52" s="31" t="n">
        <f aca="false">WBS!T15</f>
        <v>1.8</v>
      </c>
      <c r="G52" s="14" t="str">
        <f aca="false">WBS!H15</f>
        <v>P0</v>
      </c>
      <c r="H52" s="14" t="str">
        <f aca="false">WBS!G15</f>
        <v>Must</v>
      </c>
      <c r="I52" s="6" t="s">
        <v>2168</v>
      </c>
      <c r="J52" s="14"/>
      <c r="K52" s="6"/>
      <c r="L52" s="41" t="s">
        <v>2065</v>
      </c>
    </row>
    <row r="53" customFormat="false" ht="15" hidden="false" customHeight="false" outlineLevel="0" collapsed="false">
      <c r="A53" s="14" t="s">
        <v>2172</v>
      </c>
      <c r="B53" s="14" t="s">
        <v>216</v>
      </c>
      <c r="C53" s="14" t="s">
        <v>138</v>
      </c>
      <c r="D53" s="28" t="s">
        <v>2173</v>
      </c>
      <c r="E53" s="40" t="s">
        <v>91</v>
      </c>
      <c r="F53" s="31" t="n">
        <f aca="false">WBS!R16</f>
        <v>0.6</v>
      </c>
      <c r="G53" s="14" t="str">
        <f aca="false">WBS!H16</f>
        <v>P0</v>
      </c>
      <c r="H53" s="14" t="str">
        <f aca="false">WBS!G16</f>
        <v>Must</v>
      </c>
      <c r="I53" s="6" t="s">
        <v>137</v>
      </c>
      <c r="J53" s="14"/>
      <c r="K53" s="6"/>
      <c r="L53" s="41" t="s">
        <v>2065</v>
      </c>
    </row>
    <row r="54" customFormat="false" ht="22.35" hidden="false" customHeight="false" outlineLevel="0" collapsed="false">
      <c r="A54" s="14" t="s">
        <v>2174</v>
      </c>
      <c r="B54" s="14" t="s">
        <v>216</v>
      </c>
      <c r="C54" s="14" t="s">
        <v>138</v>
      </c>
      <c r="D54" s="28" t="s">
        <v>2175</v>
      </c>
      <c r="E54" s="42" t="s">
        <v>2068</v>
      </c>
      <c r="F54" s="31" t="n">
        <f aca="false">WBS!P16</f>
        <v>5</v>
      </c>
      <c r="G54" s="14" t="str">
        <f aca="false">WBS!H16</f>
        <v>P0</v>
      </c>
      <c r="H54" s="14" t="str">
        <f aca="false">WBS!G16</f>
        <v>Must</v>
      </c>
      <c r="I54" s="6" t="s">
        <v>2172</v>
      </c>
      <c r="J54" s="14"/>
      <c r="K54" s="6"/>
      <c r="L54" s="41" t="s">
        <v>2065</v>
      </c>
    </row>
    <row r="55" customFormat="false" ht="15" hidden="false" customHeight="false" outlineLevel="0" collapsed="false">
      <c r="A55" s="14" t="s">
        <v>2176</v>
      </c>
      <c r="B55" s="14" t="s">
        <v>216</v>
      </c>
      <c r="C55" s="14" t="s">
        <v>138</v>
      </c>
      <c r="D55" s="28" t="s">
        <v>2177</v>
      </c>
      <c r="E55" s="43" t="s">
        <v>96</v>
      </c>
      <c r="F55" s="31" t="n">
        <f aca="false">WBS!T16</f>
        <v>1.8</v>
      </c>
      <c r="G55" s="14" t="str">
        <f aca="false">WBS!H16</f>
        <v>P0</v>
      </c>
      <c r="H55" s="14" t="str">
        <f aca="false">WBS!G16</f>
        <v>Must</v>
      </c>
      <c r="I55" s="6" t="s">
        <v>2174</v>
      </c>
      <c r="J55" s="14"/>
      <c r="K55" s="6"/>
      <c r="L55" s="41" t="s">
        <v>2065</v>
      </c>
    </row>
    <row r="56" customFormat="false" ht="15" hidden="false" customHeight="false" outlineLevel="0" collapsed="false">
      <c r="A56" s="14" t="s">
        <v>2178</v>
      </c>
      <c r="B56" s="14" t="s">
        <v>222</v>
      </c>
      <c r="C56" s="14" t="s">
        <v>138</v>
      </c>
      <c r="D56" s="28" t="s">
        <v>2179</v>
      </c>
      <c r="E56" s="40" t="s">
        <v>91</v>
      </c>
      <c r="F56" s="31" t="n">
        <f aca="false">WBS!R17</f>
        <v>0.6</v>
      </c>
      <c r="G56" s="14" t="str">
        <f aca="false">WBS!H17</f>
        <v>P0</v>
      </c>
      <c r="H56" s="14" t="str">
        <f aca="false">WBS!G17</f>
        <v>Must</v>
      </c>
      <c r="I56" s="6" t="s">
        <v>137</v>
      </c>
      <c r="J56" s="14"/>
      <c r="K56" s="6"/>
      <c r="L56" s="41" t="s">
        <v>2065</v>
      </c>
    </row>
    <row r="57" customFormat="false" ht="22.35" hidden="false" customHeight="false" outlineLevel="0" collapsed="false">
      <c r="A57" s="14" t="s">
        <v>2180</v>
      </c>
      <c r="B57" s="14" t="s">
        <v>222</v>
      </c>
      <c r="C57" s="14" t="s">
        <v>138</v>
      </c>
      <c r="D57" s="28" t="s">
        <v>2181</v>
      </c>
      <c r="E57" s="42" t="s">
        <v>2068</v>
      </c>
      <c r="F57" s="31" t="n">
        <f aca="false">WBS!P17</f>
        <v>5</v>
      </c>
      <c r="G57" s="14" t="str">
        <f aca="false">WBS!H17</f>
        <v>P0</v>
      </c>
      <c r="H57" s="14" t="str">
        <f aca="false">WBS!G17</f>
        <v>Must</v>
      </c>
      <c r="I57" s="6" t="s">
        <v>2178</v>
      </c>
      <c r="J57" s="14"/>
      <c r="K57" s="6"/>
      <c r="L57" s="41" t="s">
        <v>2065</v>
      </c>
    </row>
    <row r="58" customFormat="false" ht="15" hidden="false" customHeight="false" outlineLevel="0" collapsed="false">
      <c r="A58" s="14" t="s">
        <v>2182</v>
      </c>
      <c r="B58" s="14" t="s">
        <v>222</v>
      </c>
      <c r="C58" s="14" t="s">
        <v>138</v>
      </c>
      <c r="D58" s="28" t="s">
        <v>2183</v>
      </c>
      <c r="E58" s="43" t="s">
        <v>96</v>
      </c>
      <c r="F58" s="31" t="n">
        <f aca="false">WBS!T17</f>
        <v>1.8</v>
      </c>
      <c r="G58" s="14" t="str">
        <f aca="false">WBS!H17</f>
        <v>P0</v>
      </c>
      <c r="H58" s="14" t="str">
        <f aca="false">WBS!G17</f>
        <v>Must</v>
      </c>
      <c r="I58" s="6" t="s">
        <v>2180</v>
      </c>
      <c r="J58" s="14"/>
      <c r="K58" s="6"/>
      <c r="L58" s="41" t="s">
        <v>2065</v>
      </c>
    </row>
    <row r="59" customFormat="false" ht="15" hidden="false" customHeight="false" outlineLevel="0" collapsed="false">
      <c r="A59" s="14" t="s">
        <v>2184</v>
      </c>
      <c r="B59" s="14" t="s">
        <v>227</v>
      </c>
      <c r="C59" s="14" t="s">
        <v>138</v>
      </c>
      <c r="D59" s="28" t="s">
        <v>2185</v>
      </c>
      <c r="E59" s="40" t="s">
        <v>91</v>
      </c>
      <c r="F59" s="31" t="n">
        <f aca="false">WBS!R18</f>
        <v>1.2</v>
      </c>
      <c r="G59" s="14" t="str">
        <f aca="false">WBS!H18</f>
        <v>P0</v>
      </c>
      <c r="H59" s="14" t="str">
        <f aca="false">WBS!G18</f>
        <v>Must</v>
      </c>
      <c r="I59" s="6" t="s">
        <v>168</v>
      </c>
      <c r="J59" s="14"/>
      <c r="K59" s="6"/>
      <c r="L59" s="41" t="s">
        <v>2065</v>
      </c>
    </row>
    <row r="60" customFormat="false" ht="15" hidden="false" customHeight="false" outlineLevel="0" collapsed="false">
      <c r="A60" s="14" t="s">
        <v>2186</v>
      </c>
      <c r="B60" s="14" t="s">
        <v>227</v>
      </c>
      <c r="C60" s="14" t="s">
        <v>138</v>
      </c>
      <c r="D60" s="28" t="s">
        <v>2187</v>
      </c>
      <c r="E60" s="37" t="s">
        <v>128</v>
      </c>
      <c r="F60" s="31" t="n">
        <f aca="false">WBS!S18</f>
        <v>2</v>
      </c>
      <c r="G60" s="14" t="str">
        <f aca="false">WBS!H18</f>
        <v>P0</v>
      </c>
      <c r="H60" s="14" t="str">
        <f aca="false">WBS!G18</f>
        <v>Must</v>
      </c>
      <c r="I60" s="6" t="s">
        <v>2184</v>
      </c>
      <c r="J60" s="14"/>
      <c r="K60" s="6"/>
      <c r="L60" s="41" t="s">
        <v>2065</v>
      </c>
    </row>
    <row r="61" customFormat="false" ht="22.35" hidden="false" customHeight="false" outlineLevel="0" collapsed="false">
      <c r="A61" s="14" t="s">
        <v>2188</v>
      </c>
      <c r="B61" s="14" t="s">
        <v>227</v>
      </c>
      <c r="C61" s="14" t="s">
        <v>138</v>
      </c>
      <c r="D61" s="28" t="s">
        <v>2189</v>
      </c>
      <c r="E61" s="42" t="s">
        <v>2068</v>
      </c>
      <c r="F61" s="31" t="n">
        <f aca="false">WBS!P18</f>
        <v>5</v>
      </c>
      <c r="G61" s="14" t="str">
        <f aca="false">WBS!H18</f>
        <v>P0</v>
      </c>
      <c r="H61" s="14" t="str">
        <f aca="false">WBS!G18</f>
        <v>Must</v>
      </c>
      <c r="I61" s="6" t="s">
        <v>2184</v>
      </c>
      <c r="J61" s="14"/>
      <c r="K61" s="6"/>
      <c r="L61" s="41" t="s">
        <v>2065</v>
      </c>
    </row>
    <row r="62" customFormat="false" ht="15" hidden="false" customHeight="false" outlineLevel="0" collapsed="false">
      <c r="A62" s="14" t="s">
        <v>2190</v>
      </c>
      <c r="B62" s="14" t="s">
        <v>227</v>
      </c>
      <c r="C62" s="14" t="s">
        <v>138</v>
      </c>
      <c r="D62" s="28" t="s">
        <v>2191</v>
      </c>
      <c r="E62" s="22" t="s">
        <v>2071</v>
      </c>
      <c r="F62" s="31" t="n">
        <f aca="false">WBS!Q18</f>
        <v>5</v>
      </c>
      <c r="G62" s="14" t="str">
        <f aca="false">WBS!H18</f>
        <v>P0</v>
      </c>
      <c r="H62" s="14" t="str">
        <f aca="false">WBS!G18</f>
        <v>Must</v>
      </c>
      <c r="I62" s="6" t="s">
        <v>2186</v>
      </c>
      <c r="J62" s="14"/>
      <c r="K62" s="6"/>
      <c r="L62" s="41" t="s">
        <v>2065</v>
      </c>
    </row>
    <row r="63" customFormat="false" ht="15" hidden="false" customHeight="false" outlineLevel="0" collapsed="false">
      <c r="A63" s="14" t="s">
        <v>2192</v>
      </c>
      <c r="B63" s="14" t="s">
        <v>227</v>
      </c>
      <c r="C63" s="14" t="s">
        <v>138</v>
      </c>
      <c r="D63" s="28" t="s">
        <v>2193</v>
      </c>
      <c r="E63" s="43" t="s">
        <v>96</v>
      </c>
      <c r="F63" s="31" t="n">
        <f aca="false">WBS!T18</f>
        <v>3.5</v>
      </c>
      <c r="G63" s="14" t="str">
        <f aca="false">WBS!H18</f>
        <v>P0</v>
      </c>
      <c r="H63" s="14" t="str">
        <f aca="false">WBS!G18</f>
        <v>Must</v>
      </c>
      <c r="I63" s="6" t="s">
        <v>2194</v>
      </c>
      <c r="J63" s="14"/>
      <c r="K63" s="6"/>
      <c r="L63" s="41" t="s">
        <v>2065</v>
      </c>
    </row>
    <row r="64" customFormat="false" ht="15" hidden="false" customHeight="false" outlineLevel="0" collapsed="false">
      <c r="A64" s="14" t="s">
        <v>2195</v>
      </c>
      <c r="B64" s="14" t="s">
        <v>234</v>
      </c>
      <c r="C64" s="14" t="s">
        <v>138</v>
      </c>
      <c r="D64" s="28" t="s">
        <v>2196</v>
      </c>
      <c r="E64" s="40" t="s">
        <v>91</v>
      </c>
      <c r="F64" s="31" t="n">
        <f aca="false">WBS!R19</f>
        <v>1</v>
      </c>
      <c r="G64" s="14" t="str">
        <f aca="false">WBS!H19</f>
        <v>P0</v>
      </c>
      <c r="H64" s="14" t="str">
        <f aca="false">WBS!G19</f>
        <v>Must</v>
      </c>
      <c r="I64" s="6" t="s">
        <v>240</v>
      </c>
      <c r="J64" s="14"/>
      <c r="K64" s="6"/>
      <c r="L64" s="41" t="s">
        <v>2065</v>
      </c>
    </row>
    <row r="65" customFormat="false" ht="22.35" hidden="false" customHeight="false" outlineLevel="0" collapsed="false">
      <c r="A65" s="14" t="s">
        <v>2197</v>
      </c>
      <c r="B65" s="14" t="s">
        <v>234</v>
      </c>
      <c r="C65" s="14" t="s">
        <v>138</v>
      </c>
      <c r="D65" s="28" t="s">
        <v>2198</v>
      </c>
      <c r="E65" s="42" t="s">
        <v>2068</v>
      </c>
      <c r="F65" s="31" t="n">
        <f aca="false">WBS!P19</f>
        <v>5</v>
      </c>
      <c r="G65" s="14" t="str">
        <f aca="false">WBS!H19</f>
        <v>P0</v>
      </c>
      <c r="H65" s="14" t="str">
        <f aca="false">WBS!G19</f>
        <v>Must</v>
      </c>
      <c r="I65" s="6" t="s">
        <v>2195</v>
      </c>
      <c r="J65" s="14"/>
      <c r="K65" s="6"/>
      <c r="L65" s="41" t="s">
        <v>2065</v>
      </c>
    </row>
    <row r="66" customFormat="false" ht="15" hidden="false" customHeight="false" outlineLevel="0" collapsed="false">
      <c r="A66" s="14" t="s">
        <v>2199</v>
      </c>
      <c r="B66" s="14" t="s">
        <v>234</v>
      </c>
      <c r="C66" s="14" t="s">
        <v>138</v>
      </c>
      <c r="D66" s="28" t="s">
        <v>2200</v>
      </c>
      <c r="E66" s="22" t="s">
        <v>2071</v>
      </c>
      <c r="F66" s="31" t="n">
        <f aca="false">WBS!Q19</f>
        <v>3</v>
      </c>
      <c r="G66" s="14" t="str">
        <f aca="false">WBS!H19</f>
        <v>P0</v>
      </c>
      <c r="H66" s="14" t="str">
        <f aca="false">WBS!G19</f>
        <v>Must</v>
      </c>
      <c r="I66" s="6" t="s">
        <v>2195</v>
      </c>
      <c r="J66" s="14"/>
      <c r="K66" s="6"/>
      <c r="L66" s="41" t="s">
        <v>2065</v>
      </c>
    </row>
    <row r="67" customFormat="false" ht="15" hidden="false" customHeight="false" outlineLevel="0" collapsed="false">
      <c r="A67" s="14" t="s">
        <v>2201</v>
      </c>
      <c r="B67" s="14" t="s">
        <v>234</v>
      </c>
      <c r="C67" s="14" t="s">
        <v>138</v>
      </c>
      <c r="D67" s="28" t="s">
        <v>2202</v>
      </c>
      <c r="E67" s="43" t="s">
        <v>96</v>
      </c>
      <c r="F67" s="31" t="n">
        <f aca="false">WBS!T19</f>
        <v>2.8</v>
      </c>
      <c r="G67" s="14" t="str">
        <f aca="false">WBS!H19</f>
        <v>P0</v>
      </c>
      <c r="H67" s="14" t="str">
        <f aca="false">WBS!G19</f>
        <v>Must</v>
      </c>
      <c r="I67" s="6" t="s">
        <v>2203</v>
      </c>
      <c r="J67" s="14"/>
      <c r="K67" s="6"/>
      <c r="L67" s="41" t="s">
        <v>2065</v>
      </c>
    </row>
    <row r="68" customFormat="false" ht="15" hidden="false" customHeight="false" outlineLevel="0" collapsed="false">
      <c r="A68" s="14" t="s">
        <v>2204</v>
      </c>
      <c r="B68" s="14" t="s">
        <v>241</v>
      </c>
      <c r="C68" s="14" t="s">
        <v>138</v>
      </c>
      <c r="D68" s="28" t="s">
        <v>2205</v>
      </c>
      <c r="E68" s="40" t="s">
        <v>91</v>
      </c>
      <c r="F68" s="31" t="n">
        <f aca="false">WBS!R20</f>
        <v>2.4</v>
      </c>
      <c r="G68" s="14" t="str">
        <f aca="false">WBS!H20</f>
        <v>P1</v>
      </c>
      <c r="H68" s="14" t="str">
        <f aca="false">WBS!G20</f>
        <v>Must</v>
      </c>
      <c r="I68" s="6" t="s">
        <v>248</v>
      </c>
      <c r="J68" s="14"/>
      <c r="K68" s="6"/>
      <c r="L68" s="41" t="s">
        <v>2065</v>
      </c>
    </row>
    <row r="69" customFormat="false" ht="15" hidden="false" customHeight="false" outlineLevel="0" collapsed="false">
      <c r="A69" s="14" t="s">
        <v>2206</v>
      </c>
      <c r="B69" s="14" t="s">
        <v>241</v>
      </c>
      <c r="C69" s="14" t="s">
        <v>138</v>
      </c>
      <c r="D69" s="28" t="s">
        <v>2207</v>
      </c>
      <c r="E69" s="37" t="s">
        <v>128</v>
      </c>
      <c r="F69" s="31" t="n">
        <f aca="false">WBS!S20</f>
        <v>4</v>
      </c>
      <c r="G69" s="14" t="str">
        <f aca="false">WBS!H20</f>
        <v>P1</v>
      </c>
      <c r="H69" s="14" t="str">
        <f aca="false">WBS!G20</f>
        <v>Must</v>
      </c>
      <c r="I69" s="6" t="s">
        <v>2204</v>
      </c>
      <c r="J69" s="14"/>
      <c r="K69" s="6"/>
      <c r="L69" s="41" t="s">
        <v>2065</v>
      </c>
    </row>
    <row r="70" customFormat="false" ht="22.35" hidden="false" customHeight="false" outlineLevel="0" collapsed="false">
      <c r="A70" s="14" t="s">
        <v>2208</v>
      </c>
      <c r="B70" s="14" t="s">
        <v>241</v>
      </c>
      <c r="C70" s="14" t="s">
        <v>138</v>
      </c>
      <c r="D70" s="28" t="s">
        <v>2209</v>
      </c>
      <c r="E70" s="42" t="s">
        <v>2068</v>
      </c>
      <c r="F70" s="31" t="n">
        <f aca="false">WBS!P20</f>
        <v>10</v>
      </c>
      <c r="G70" s="14" t="str">
        <f aca="false">WBS!H20</f>
        <v>P1</v>
      </c>
      <c r="H70" s="14" t="str">
        <f aca="false">WBS!G20</f>
        <v>Must</v>
      </c>
      <c r="I70" s="6" t="s">
        <v>2204</v>
      </c>
      <c r="J70" s="14"/>
      <c r="K70" s="6"/>
      <c r="L70" s="41" t="s">
        <v>2065</v>
      </c>
    </row>
    <row r="71" customFormat="false" ht="15" hidden="false" customHeight="false" outlineLevel="0" collapsed="false">
      <c r="A71" s="14" t="s">
        <v>2210</v>
      </c>
      <c r="B71" s="14" t="s">
        <v>241</v>
      </c>
      <c r="C71" s="14" t="s">
        <v>138</v>
      </c>
      <c r="D71" s="28" t="s">
        <v>2211</v>
      </c>
      <c r="E71" s="22" t="s">
        <v>2071</v>
      </c>
      <c r="F71" s="31" t="n">
        <f aca="false">WBS!Q20</f>
        <v>10</v>
      </c>
      <c r="G71" s="14" t="str">
        <f aca="false">WBS!H20</f>
        <v>P1</v>
      </c>
      <c r="H71" s="14" t="str">
        <f aca="false">WBS!G20</f>
        <v>Must</v>
      </c>
      <c r="I71" s="6" t="s">
        <v>2206</v>
      </c>
      <c r="J71" s="14"/>
      <c r="K71" s="6"/>
      <c r="L71" s="41" t="s">
        <v>2065</v>
      </c>
    </row>
    <row r="72" customFormat="false" ht="15" hidden="false" customHeight="false" outlineLevel="0" collapsed="false">
      <c r="A72" s="14" t="s">
        <v>2212</v>
      </c>
      <c r="B72" s="14" t="s">
        <v>241</v>
      </c>
      <c r="C72" s="14" t="s">
        <v>138</v>
      </c>
      <c r="D72" s="28" t="s">
        <v>2213</v>
      </c>
      <c r="E72" s="43" t="s">
        <v>96</v>
      </c>
      <c r="F72" s="31" t="n">
        <f aca="false">WBS!T20</f>
        <v>7</v>
      </c>
      <c r="G72" s="14" t="str">
        <f aca="false">WBS!H20</f>
        <v>P1</v>
      </c>
      <c r="H72" s="14" t="str">
        <f aca="false">WBS!G20</f>
        <v>Must</v>
      </c>
      <c r="I72" s="6" t="s">
        <v>2214</v>
      </c>
      <c r="J72" s="14"/>
      <c r="K72" s="6"/>
      <c r="L72" s="41" t="s">
        <v>2065</v>
      </c>
    </row>
    <row r="73" customFormat="false" ht="15" hidden="false" customHeight="false" outlineLevel="0" collapsed="false">
      <c r="A73" s="14" t="s">
        <v>2215</v>
      </c>
      <c r="B73" s="14" t="s">
        <v>250</v>
      </c>
      <c r="C73" s="14" t="s">
        <v>138</v>
      </c>
      <c r="D73" s="28" t="s">
        <v>2216</v>
      </c>
      <c r="E73" s="40" t="s">
        <v>91</v>
      </c>
      <c r="F73" s="31" t="n">
        <f aca="false">WBS!R21</f>
        <v>1.8</v>
      </c>
      <c r="G73" s="14" t="str">
        <f aca="false">WBS!H21</f>
        <v>P1</v>
      </c>
      <c r="H73" s="14" t="str">
        <f aca="false">WBS!G21</f>
        <v>Must</v>
      </c>
      <c r="I73" s="6" t="s">
        <v>255</v>
      </c>
      <c r="J73" s="14"/>
      <c r="K73" s="6"/>
      <c r="L73" s="41" t="s">
        <v>2065</v>
      </c>
    </row>
    <row r="74" customFormat="false" ht="15" hidden="false" customHeight="false" outlineLevel="0" collapsed="false">
      <c r="A74" s="14" t="s">
        <v>2217</v>
      </c>
      <c r="B74" s="14" t="s">
        <v>250</v>
      </c>
      <c r="C74" s="14" t="s">
        <v>138</v>
      </c>
      <c r="D74" s="28" t="s">
        <v>2218</v>
      </c>
      <c r="E74" s="37" t="s">
        <v>128</v>
      </c>
      <c r="F74" s="31" t="n">
        <f aca="false">WBS!S21</f>
        <v>4</v>
      </c>
      <c r="G74" s="14" t="str">
        <f aca="false">WBS!H21</f>
        <v>P1</v>
      </c>
      <c r="H74" s="14" t="str">
        <f aca="false">WBS!G21</f>
        <v>Must</v>
      </c>
      <c r="I74" s="6" t="s">
        <v>2215</v>
      </c>
      <c r="J74" s="14"/>
      <c r="K74" s="6"/>
      <c r="L74" s="41" t="s">
        <v>2065</v>
      </c>
    </row>
    <row r="75" customFormat="false" ht="15" hidden="false" customHeight="false" outlineLevel="0" collapsed="false">
      <c r="A75" s="14" t="s">
        <v>2219</v>
      </c>
      <c r="B75" s="14" t="s">
        <v>250</v>
      </c>
      <c r="C75" s="14" t="s">
        <v>138</v>
      </c>
      <c r="D75" s="28" t="s">
        <v>2220</v>
      </c>
      <c r="E75" s="42" t="s">
        <v>2068</v>
      </c>
      <c r="F75" s="31" t="n">
        <f aca="false">WBS!P21</f>
        <v>5</v>
      </c>
      <c r="G75" s="14" t="str">
        <f aca="false">WBS!H21</f>
        <v>P1</v>
      </c>
      <c r="H75" s="14" t="str">
        <f aca="false">WBS!G21</f>
        <v>Must</v>
      </c>
      <c r="I75" s="6" t="s">
        <v>2215</v>
      </c>
      <c r="J75" s="14"/>
      <c r="K75" s="6"/>
      <c r="L75" s="41" t="s">
        <v>2065</v>
      </c>
    </row>
    <row r="76" customFormat="false" ht="15" hidden="false" customHeight="false" outlineLevel="0" collapsed="false">
      <c r="A76" s="14" t="s">
        <v>2221</v>
      </c>
      <c r="B76" s="14" t="s">
        <v>250</v>
      </c>
      <c r="C76" s="14" t="s">
        <v>138</v>
      </c>
      <c r="D76" s="28" t="s">
        <v>2222</v>
      </c>
      <c r="E76" s="22" t="s">
        <v>2071</v>
      </c>
      <c r="F76" s="31" t="n">
        <f aca="false">WBS!Q21</f>
        <v>10</v>
      </c>
      <c r="G76" s="14" t="str">
        <f aca="false">WBS!H21</f>
        <v>P1</v>
      </c>
      <c r="H76" s="14" t="str">
        <f aca="false">WBS!G21</f>
        <v>Must</v>
      </c>
      <c r="I76" s="6" t="s">
        <v>2217</v>
      </c>
      <c r="J76" s="14"/>
      <c r="K76" s="6"/>
      <c r="L76" s="41" t="s">
        <v>2065</v>
      </c>
    </row>
    <row r="77" customFormat="false" ht="22.35" hidden="false" customHeight="false" outlineLevel="0" collapsed="false">
      <c r="A77" s="14" t="s">
        <v>2223</v>
      </c>
      <c r="B77" s="14" t="s">
        <v>250</v>
      </c>
      <c r="C77" s="14" t="s">
        <v>138</v>
      </c>
      <c r="D77" s="28" t="s">
        <v>2224</v>
      </c>
      <c r="E77" s="43" t="s">
        <v>96</v>
      </c>
      <c r="F77" s="31" t="n">
        <f aca="false">WBS!T21</f>
        <v>5.3</v>
      </c>
      <c r="G77" s="14" t="str">
        <f aca="false">WBS!H21</f>
        <v>P1</v>
      </c>
      <c r="H77" s="14" t="str">
        <f aca="false">WBS!G21</f>
        <v>Must</v>
      </c>
      <c r="I77" s="6" t="s">
        <v>2225</v>
      </c>
      <c r="J77" s="14"/>
      <c r="K77" s="6"/>
      <c r="L77" s="41" t="s">
        <v>2065</v>
      </c>
    </row>
    <row r="78" customFormat="false" ht="15" hidden="false" customHeight="false" outlineLevel="0" collapsed="false">
      <c r="A78" s="14" t="s">
        <v>2226</v>
      </c>
      <c r="B78" s="14" t="s">
        <v>256</v>
      </c>
      <c r="C78" s="14" t="s">
        <v>138</v>
      </c>
      <c r="D78" s="28" t="s">
        <v>2227</v>
      </c>
      <c r="E78" s="40" t="s">
        <v>91</v>
      </c>
      <c r="F78" s="31" t="n">
        <f aca="false">WBS!R22</f>
        <v>2.4</v>
      </c>
      <c r="G78" s="14" t="str">
        <f aca="false">WBS!H22</f>
        <v>P1</v>
      </c>
      <c r="H78" s="14" t="str">
        <f aca="false">WBS!G22</f>
        <v>Must</v>
      </c>
      <c r="I78" s="6" t="s">
        <v>262</v>
      </c>
      <c r="J78" s="14"/>
      <c r="K78" s="6"/>
      <c r="L78" s="41" t="s">
        <v>2065</v>
      </c>
    </row>
    <row r="79" customFormat="false" ht="15" hidden="false" customHeight="false" outlineLevel="0" collapsed="false">
      <c r="A79" s="14" t="s">
        <v>2228</v>
      </c>
      <c r="B79" s="14" t="s">
        <v>256</v>
      </c>
      <c r="C79" s="14" t="s">
        <v>138</v>
      </c>
      <c r="D79" s="28" t="s">
        <v>2229</v>
      </c>
      <c r="E79" s="37" t="s">
        <v>128</v>
      </c>
      <c r="F79" s="31" t="n">
        <f aca="false">WBS!S22</f>
        <v>4</v>
      </c>
      <c r="G79" s="14" t="str">
        <f aca="false">WBS!H22</f>
        <v>P1</v>
      </c>
      <c r="H79" s="14" t="str">
        <f aca="false">WBS!G22</f>
        <v>Must</v>
      </c>
      <c r="I79" s="6" t="s">
        <v>2226</v>
      </c>
      <c r="J79" s="14"/>
      <c r="K79" s="6"/>
      <c r="L79" s="41" t="s">
        <v>2065</v>
      </c>
    </row>
    <row r="80" customFormat="false" ht="22.35" hidden="false" customHeight="false" outlineLevel="0" collapsed="false">
      <c r="A80" s="14" t="s">
        <v>2230</v>
      </c>
      <c r="B80" s="14" t="s">
        <v>256</v>
      </c>
      <c r="C80" s="14" t="s">
        <v>138</v>
      </c>
      <c r="D80" s="28" t="s">
        <v>2231</v>
      </c>
      <c r="E80" s="42" t="s">
        <v>2068</v>
      </c>
      <c r="F80" s="31" t="n">
        <f aca="false">WBS!P22</f>
        <v>10</v>
      </c>
      <c r="G80" s="14" t="str">
        <f aca="false">WBS!H22</f>
        <v>P1</v>
      </c>
      <c r="H80" s="14" t="str">
        <f aca="false">WBS!G22</f>
        <v>Must</v>
      </c>
      <c r="I80" s="6" t="s">
        <v>2226</v>
      </c>
      <c r="J80" s="14"/>
      <c r="K80" s="6"/>
      <c r="L80" s="41" t="s">
        <v>2065</v>
      </c>
    </row>
    <row r="81" customFormat="false" ht="15" hidden="false" customHeight="false" outlineLevel="0" collapsed="false">
      <c r="A81" s="14" t="s">
        <v>2232</v>
      </c>
      <c r="B81" s="14" t="s">
        <v>256</v>
      </c>
      <c r="C81" s="14" t="s">
        <v>138</v>
      </c>
      <c r="D81" s="28" t="s">
        <v>2233</v>
      </c>
      <c r="E81" s="22" t="s">
        <v>2071</v>
      </c>
      <c r="F81" s="31" t="n">
        <f aca="false">WBS!Q22</f>
        <v>10</v>
      </c>
      <c r="G81" s="14" t="str">
        <f aca="false">WBS!H22</f>
        <v>P1</v>
      </c>
      <c r="H81" s="14" t="str">
        <f aca="false">WBS!G22</f>
        <v>Must</v>
      </c>
      <c r="I81" s="6" t="s">
        <v>2228</v>
      </c>
      <c r="J81" s="14"/>
      <c r="K81" s="6"/>
      <c r="L81" s="41" t="s">
        <v>2065</v>
      </c>
    </row>
    <row r="82" customFormat="false" ht="15" hidden="false" customHeight="false" outlineLevel="0" collapsed="false">
      <c r="A82" s="14" t="s">
        <v>2234</v>
      </c>
      <c r="B82" s="14" t="s">
        <v>256</v>
      </c>
      <c r="C82" s="14" t="s">
        <v>138</v>
      </c>
      <c r="D82" s="28" t="s">
        <v>2235</v>
      </c>
      <c r="E82" s="43" t="s">
        <v>96</v>
      </c>
      <c r="F82" s="31" t="n">
        <f aca="false">WBS!T22</f>
        <v>7</v>
      </c>
      <c r="G82" s="14" t="str">
        <f aca="false">WBS!H22</f>
        <v>P1</v>
      </c>
      <c r="H82" s="14" t="str">
        <f aca="false">WBS!G22</f>
        <v>Must</v>
      </c>
      <c r="I82" s="6" t="s">
        <v>2236</v>
      </c>
      <c r="J82" s="14"/>
      <c r="K82" s="6"/>
      <c r="L82" s="41" t="s">
        <v>2065</v>
      </c>
    </row>
    <row r="83" customFormat="false" ht="15" hidden="false" customHeight="false" outlineLevel="0" collapsed="false">
      <c r="A83" s="14" t="s">
        <v>2237</v>
      </c>
      <c r="B83" s="14" t="s">
        <v>263</v>
      </c>
      <c r="C83" s="14" t="s">
        <v>138</v>
      </c>
      <c r="D83" s="28" t="s">
        <v>2238</v>
      </c>
      <c r="E83" s="40" t="s">
        <v>91</v>
      </c>
      <c r="F83" s="31" t="n">
        <f aca="false">WBS!R23</f>
        <v>0.7</v>
      </c>
      <c r="G83" s="14" t="str">
        <f aca="false">WBS!H23</f>
        <v>P1</v>
      </c>
      <c r="H83" s="14" t="str">
        <f aca="false">WBS!G23</f>
        <v>Should</v>
      </c>
      <c r="I83" s="6" t="s">
        <v>137</v>
      </c>
      <c r="J83" s="14"/>
      <c r="K83" s="6"/>
      <c r="L83" s="41" t="s">
        <v>2065</v>
      </c>
    </row>
    <row r="84" customFormat="false" ht="15" hidden="false" customHeight="false" outlineLevel="0" collapsed="false">
      <c r="A84" s="14" t="s">
        <v>2239</v>
      </c>
      <c r="B84" s="14" t="s">
        <v>263</v>
      </c>
      <c r="C84" s="14" t="s">
        <v>138</v>
      </c>
      <c r="D84" s="28" t="s">
        <v>2240</v>
      </c>
      <c r="E84" s="42" t="s">
        <v>2068</v>
      </c>
      <c r="F84" s="31" t="n">
        <f aca="false">WBS!P23</f>
        <v>3</v>
      </c>
      <c r="G84" s="14" t="str">
        <f aca="false">WBS!H23</f>
        <v>P1</v>
      </c>
      <c r="H84" s="14" t="str">
        <f aca="false">WBS!G23</f>
        <v>Should</v>
      </c>
      <c r="I84" s="6" t="s">
        <v>2237</v>
      </c>
      <c r="J84" s="14"/>
      <c r="K84" s="6"/>
      <c r="L84" s="41" t="s">
        <v>2065</v>
      </c>
    </row>
    <row r="85" customFormat="false" ht="15" hidden="false" customHeight="false" outlineLevel="0" collapsed="false">
      <c r="A85" s="14" t="s">
        <v>2241</v>
      </c>
      <c r="B85" s="14" t="s">
        <v>263</v>
      </c>
      <c r="C85" s="14" t="s">
        <v>138</v>
      </c>
      <c r="D85" s="28" t="s">
        <v>2242</v>
      </c>
      <c r="E85" s="22" t="s">
        <v>2071</v>
      </c>
      <c r="F85" s="31" t="n">
        <f aca="false">WBS!Q23</f>
        <v>3</v>
      </c>
      <c r="G85" s="14" t="str">
        <f aca="false">WBS!H23</f>
        <v>P1</v>
      </c>
      <c r="H85" s="14" t="str">
        <f aca="false">WBS!G23</f>
        <v>Should</v>
      </c>
      <c r="I85" s="6" t="s">
        <v>2237</v>
      </c>
      <c r="J85" s="14"/>
      <c r="K85" s="6"/>
      <c r="L85" s="41" t="s">
        <v>2065</v>
      </c>
    </row>
    <row r="86" customFormat="false" ht="15" hidden="false" customHeight="false" outlineLevel="0" collapsed="false">
      <c r="A86" s="14" t="s">
        <v>2243</v>
      </c>
      <c r="B86" s="14" t="s">
        <v>263</v>
      </c>
      <c r="C86" s="14" t="s">
        <v>138</v>
      </c>
      <c r="D86" s="28" t="s">
        <v>2244</v>
      </c>
      <c r="E86" s="43" t="s">
        <v>96</v>
      </c>
      <c r="F86" s="31" t="n">
        <f aca="false">WBS!T23</f>
        <v>2.1</v>
      </c>
      <c r="G86" s="14" t="str">
        <f aca="false">WBS!H23</f>
        <v>P1</v>
      </c>
      <c r="H86" s="14" t="str">
        <f aca="false">WBS!G23</f>
        <v>Should</v>
      </c>
      <c r="I86" s="6" t="s">
        <v>2245</v>
      </c>
      <c r="J86" s="14"/>
      <c r="K86" s="6"/>
      <c r="L86" s="41" t="s">
        <v>2065</v>
      </c>
    </row>
    <row r="87" customFormat="false" ht="15" hidden="false" customHeight="false" outlineLevel="0" collapsed="false">
      <c r="A87" s="14" t="s">
        <v>2246</v>
      </c>
      <c r="B87" s="14" t="s">
        <v>270</v>
      </c>
      <c r="C87" s="14" t="s">
        <v>138</v>
      </c>
      <c r="D87" s="28" t="s">
        <v>2247</v>
      </c>
      <c r="E87" s="40" t="s">
        <v>91</v>
      </c>
      <c r="F87" s="31" t="n">
        <f aca="false">WBS!R24</f>
        <v>1.8</v>
      </c>
      <c r="G87" s="14" t="str">
        <f aca="false">WBS!H24</f>
        <v>P3</v>
      </c>
      <c r="H87" s="14" t="str">
        <f aca="false">WBS!G24</f>
        <v>Should</v>
      </c>
      <c r="I87" s="6" t="s">
        <v>210</v>
      </c>
      <c r="J87" s="14"/>
      <c r="K87" s="6"/>
      <c r="L87" s="41" t="s">
        <v>2065</v>
      </c>
    </row>
    <row r="88" customFormat="false" ht="15" hidden="false" customHeight="false" outlineLevel="0" collapsed="false">
      <c r="A88" s="14" t="s">
        <v>2248</v>
      </c>
      <c r="B88" s="14" t="s">
        <v>270</v>
      </c>
      <c r="C88" s="14" t="s">
        <v>138</v>
      </c>
      <c r="D88" s="28" t="s">
        <v>2249</v>
      </c>
      <c r="E88" s="37" t="s">
        <v>128</v>
      </c>
      <c r="F88" s="31" t="n">
        <f aca="false">WBS!S24</f>
        <v>2</v>
      </c>
      <c r="G88" s="14" t="str">
        <f aca="false">WBS!H24</f>
        <v>P3</v>
      </c>
      <c r="H88" s="14" t="str">
        <f aca="false">WBS!G24</f>
        <v>Should</v>
      </c>
      <c r="I88" s="6" t="s">
        <v>2246</v>
      </c>
      <c r="J88" s="14"/>
      <c r="K88" s="6"/>
      <c r="L88" s="41" t="s">
        <v>2065</v>
      </c>
    </row>
    <row r="89" customFormat="false" ht="22.35" hidden="false" customHeight="false" outlineLevel="0" collapsed="false">
      <c r="A89" s="14" t="s">
        <v>2250</v>
      </c>
      <c r="B89" s="14" t="s">
        <v>270</v>
      </c>
      <c r="C89" s="14" t="s">
        <v>138</v>
      </c>
      <c r="D89" s="28" t="s">
        <v>2251</v>
      </c>
      <c r="E89" s="42" t="s">
        <v>2068</v>
      </c>
      <c r="F89" s="31" t="n">
        <f aca="false">WBS!P24</f>
        <v>10</v>
      </c>
      <c r="G89" s="14" t="str">
        <f aca="false">WBS!H24</f>
        <v>P3</v>
      </c>
      <c r="H89" s="14" t="str">
        <f aca="false">WBS!G24</f>
        <v>Should</v>
      </c>
      <c r="I89" s="6" t="s">
        <v>2246</v>
      </c>
      <c r="J89" s="14"/>
      <c r="K89" s="6"/>
      <c r="L89" s="41" t="s">
        <v>2065</v>
      </c>
    </row>
    <row r="90" customFormat="false" ht="15" hidden="false" customHeight="false" outlineLevel="0" collapsed="false">
      <c r="A90" s="14" t="s">
        <v>2252</v>
      </c>
      <c r="B90" s="14" t="s">
        <v>270</v>
      </c>
      <c r="C90" s="14" t="s">
        <v>138</v>
      </c>
      <c r="D90" s="28" t="s">
        <v>2253</v>
      </c>
      <c r="E90" s="22" t="s">
        <v>2071</v>
      </c>
      <c r="F90" s="31" t="n">
        <f aca="false">WBS!Q24</f>
        <v>5</v>
      </c>
      <c r="G90" s="14" t="str">
        <f aca="false">WBS!H24</f>
        <v>P3</v>
      </c>
      <c r="H90" s="14" t="str">
        <f aca="false">WBS!G24</f>
        <v>Should</v>
      </c>
      <c r="I90" s="6" t="s">
        <v>2248</v>
      </c>
      <c r="J90" s="14"/>
      <c r="K90" s="6"/>
      <c r="L90" s="41" t="s">
        <v>2065</v>
      </c>
    </row>
    <row r="91" customFormat="false" ht="15" hidden="false" customHeight="false" outlineLevel="0" collapsed="false">
      <c r="A91" s="14" t="s">
        <v>2254</v>
      </c>
      <c r="B91" s="14" t="s">
        <v>270</v>
      </c>
      <c r="C91" s="14" t="s">
        <v>138</v>
      </c>
      <c r="D91" s="28" t="s">
        <v>2255</v>
      </c>
      <c r="E91" s="43" t="s">
        <v>96</v>
      </c>
      <c r="F91" s="31" t="n">
        <f aca="false">WBS!T24</f>
        <v>5.3</v>
      </c>
      <c r="G91" s="14" t="str">
        <f aca="false">WBS!H24</f>
        <v>P3</v>
      </c>
      <c r="H91" s="14" t="str">
        <f aca="false">WBS!G24</f>
        <v>Should</v>
      </c>
      <c r="I91" s="6" t="s">
        <v>2256</v>
      </c>
      <c r="J91" s="14"/>
      <c r="K91" s="6"/>
      <c r="L91" s="41" t="s">
        <v>2065</v>
      </c>
    </row>
    <row r="92" customFormat="false" ht="15" hidden="false" customHeight="false" outlineLevel="0" collapsed="false">
      <c r="A92" s="14" t="s">
        <v>2257</v>
      </c>
      <c r="B92" s="14" t="s">
        <v>277</v>
      </c>
      <c r="C92" s="14" t="s">
        <v>138</v>
      </c>
      <c r="D92" s="28" t="s">
        <v>2258</v>
      </c>
      <c r="E92" s="40" t="s">
        <v>91</v>
      </c>
      <c r="F92" s="31" t="n">
        <f aca="false">WBS!R25</f>
        <v>1</v>
      </c>
      <c r="G92" s="14" t="str">
        <f aca="false">WBS!H25</f>
        <v>P3</v>
      </c>
      <c r="H92" s="14" t="str">
        <f aca="false">WBS!G25</f>
        <v>Should</v>
      </c>
      <c r="I92" s="6" t="s">
        <v>283</v>
      </c>
      <c r="J92" s="14"/>
      <c r="K92" s="6"/>
      <c r="L92" s="41" t="s">
        <v>2065</v>
      </c>
    </row>
    <row r="93" customFormat="false" ht="22.35" hidden="false" customHeight="false" outlineLevel="0" collapsed="false">
      <c r="A93" s="14" t="s">
        <v>2259</v>
      </c>
      <c r="B93" s="14" t="s">
        <v>277</v>
      </c>
      <c r="C93" s="14" t="s">
        <v>138</v>
      </c>
      <c r="D93" s="28" t="s">
        <v>2260</v>
      </c>
      <c r="E93" s="42" t="s">
        <v>2068</v>
      </c>
      <c r="F93" s="31" t="n">
        <f aca="false">WBS!P25</f>
        <v>5</v>
      </c>
      <c r="G93" s="14" t="str">
        <f aca="false">WBS!H25</f>
        <v>P3</v>
      </c>
      <c r="H93" s="14" t="str">
        <f aca="false">WBS!G25</f>
        <v>Should</v>
      </c>
      <c r="I93" s="6" t="s">
        <v>2257</v>
      </c>
      <c r="J93" s="14"/>
      <c r="K93" s="6"/>
      <c r="L93" s="41" t="s">
        <v>2065</v>
      </c>
    </row>
    <row r="94" customFormat="false" ht="15" hidden="false" customHeight="false" outlineLevel="0" collapsed="false">
      <c r="A94" s="14" t="s">
        <v>2261</v>
      </c>
      <c r="B94" s="14" t="s">
        <v>277</v>
      </c>
      <c r="C94" s="14" t="s">
        <v>138</v>
      </c>
      <c r="D94" s="28" t="s">
        <v>2262</v>
      </c>
      <c r="E94" s="22" t="s">
        <v>2071</v>
      </c>
      <c r="F94" s="31" t="n">
        <f aca="false">WBS!Q25</f>
        <v>3</v>
      </c>
      <c r="G94" s="14" t="str">
        <f aca="false">WBS!H25</f>
        <v>P3</v>
      </c>
      <c r="H94" s="14" t="str">
        <f aca="false">WBS!G25</f>
        <v>Should</v>
      </c>
      <c r="I94" s="6" t="s">
        <v>2257</v>
      </c>
      <c r="J94" s="14"/>
      <c r="K94" s="6"/>
      <c r="L94" s="41" t="s">
        <v>2065</v>
      </c>
    </row>
    <row r="95" customFormat="false" ht="15" hidden="false" customHeight="false" outlineLevel="0" collapsed="false">
      <c r="A95" s="14" t="s">
        <v>2263</v>
      </c>
      <c r="B95" s="14" t="s">
        <v>277</v>
      </c>
      <c r="C95" s="14" t="s">
        <v>138</v>
      </c>
      <c r="D95" s="28" t="s">
        <v>2264</v>
      </c>
      <c r="E95" s="43" t="s">
        <v>96</v>
      </c>
      <c r="F95" s="31" t="n">
        <f aca="false">WBS!T25</f>
        <v>2.8</v>
      </c>
      <c r="G95" s="14" t="str">
        <f aca="false">WBS!H25</f>
        <v>P3</v>
      </c>
      <c r="H95" s="14" t="str">
        <f aca="false">WBS!G25</f>
        <v>Should</v>
      </c>
      <c r="I95" s="6" t="s">
        <v>2265</v>
      </c>
      <c r="J95" s="14"/>
      <c r="K95" s="6"/>
      <c r="L95" s="41" t="s">
        <v>2065</v>
      </c>
    </row>
    <row r="96" customFormat="false" ht="15" hidden="false" customHeight="false" outlineLevel="0" collapsed="false">
      <c r="A96" s="14" t="s">
        <v>2266</v>
      </c>
      <c r="B96" s="14" t="s">
        <v>284</v>
      </c>
      <c r="C96" s="14" t="s">
        <v>138</v>
      </c>
      <c r="D96" s="28" t="s">
        <v>2267</v>
      </c>
      <c r="E96" s="40" t="s">
        <v>91</v>
      </c>
      <c r="F96" s="31" t="n">
        <f aca="false">WBS!R26</f>
        <v>1</v>
      </c>
      <c r="G96" s="14" t="str">
        <f aca="false">WBS!H26</f>
        <v>P4</v>
      </c>
      <c r="H96" s="14" t="str">
        <f aca="false">WBS!G26</f>
        <v>Nice-to-have</v>
      </c>
      <c r="I96" s="6" t="s">
        <v>222</v>
      </c>
      <c r="J96" s="14"/>
      <c r="K96" s="6"/>
      <c r="L96" s="41" t="s">
        <v>2065</v>
      </c>
    </row>
    <row r="97" customFormat="false" ht="22.35" hidden="false" customHeight="false" outlineLevel="0" collapsed="false">
      <c r="A97" s="14" t="s">
        <v>2268</v>
      </c>
      <c r="B97" s="14" t="s">
        <v>284</v>
      </c>
      <c r="C97" s="14" t="s">
        <v>138</v>
      </c>
      <c r="D97" s="28" t="s">
        <v>2269</v>
      </c>
      <c r="E97" s="42" t="s">
        <v>2068</v>
      </c>
      <c r="F97" s="31" t="n">
        <f aca="false">WBS!P26</f>
        <v>5</v>
      </c>
      <c r="G97" s="14" t="str">
        <f aca="false">WBS!H26</f>
        <v>P4</v>
      </c>
      <c r="H97" s="14" t="str">
        <f aca="false">WBS!G26</f>
        <v>Nice-to-have</v>
      </c>
      <c r="I97" s="6" t="s">
        <v>2266</v>
      </c>
      <c r="J97" s="14"/>
      <c r="K97" s="6"/>
      <c r="L97" s="41" t="s">
        <v>2065</v>
      </c>
    </row>
    <row r="98" customFormat="false" ht="15" hidden="false" customHeight="false" outlineLevel="0" collapsed="false">
      <c r="A98" s="14" t="s">
        <v>2270</v>
      </c>
      <c r="B98" s="14" t="s">
        <v>284</v>
      </c>
      <c r="C98" s="14" t="s">
        <v>138</v>
      </c>
      <c r="D98" s="28" t="s">
        <v>2271</v>
      </c>
      <c r="E98" s="22" t="s">
        <v>2071</v>
      </c>
      <c r="F98" s="31" t="n">
        <f aca="false">WBS!Q26</f>
        <v>3</v>
      </c>
      <c r="G98" s="14" t="str">
        <f aca="false">WBS!H26</f>
        <v>P4</v>
      </c>
      <c r="H98" s="14" t="str">
        <f aca="false">WBS!G26</f>
        <v>Nice-to-have</v>
      </c>
      <c r="I98" s="6" t="s">
        <v>2266</v>
      </c>
      <c r="J98" s="14"/>
      <c r="K98" s="6"/>
      <c r="L98" s="41" t="s">
        <v>2065</v>
      </c>
    </row>
    <row r="99" customFormat="false" ht="22.35" hidden="false" customHeight="false" outlineLevel="0" collapsed="false">
      <c r="A99" s="14" t="s">
        <v>2272</v>
      </c>
      <c r="B99" s="14" t="s">
        <v>284</v>
      </c>
      <c r="C99" s="14" t="s">
        <v>138</v>
      </c>
      <c r="D99" s="28" t="s">
        <v>2273</v>
      </c>
      <c r="E99" s="43" t="s">
        <v>96</v>
      </c>
      <c r="F99" s="31" t="n">
        <f aca="false">WBS!T26</f>
        <v>2.8</v>
      </c>
      <c r="G99" s="14" t="str">
        <f aca="false">WBS!H26</f>
        <v>P4</v>
      </c>
      <c r="H99" s="14" t="str">
        <f aca="false">WBS!G26</f>
        <v>Nice-to-have</v>
      </c>
      <c r="I99" s="6" t="s">
        <v>2274</v>
      </c>
      <c r="J99" s="14"/>
      <c r="K99" s="6"/>
      <c r="L99" s="41" t="s">
        <v>2065</v>
      </c>
    </row>
    <row r="100" customFormat="false" ht="15" hidden="false" customHeight="false" outlineLevel="0" collapsed="false">
      <c r="A100" s="14" t="s">
        <v>2275</v>
      </c>
      <c r="B100" s="14" t="s">
        <v>292</v>
      </c>
      <c r="C100" s="14" t="s">
        <v>293</v>
      </c>
      <c r="D100" s="28" t="s">
        <v>2276</v>
      </c>
      <c r="E100" s="40" t="s">
        <v>91</v>
      </c>
      <c r="F100" s="31" t="n">
        <f aca="false">WBS!R27</f>
        <v>1.8</v>
      </c>
      <c r="G100" s="14" t="str">
        <f aca="false">WBS!H27</f>
        <v>P0</v>
      </c>
      <c r="H100" s="14" t="str">
        <f aca="false">WBS!G27</f>
        <v>Must</v>
      </c>
      <c r="I100" s="6" t="s">
        <v>300</v>
      </c>
      <c r="J100" s="14"/>
      <c r="K100" s="6"/>
      <c r="L100" s="41" t="s">
        <v>2065</v>
      </c>
    </row>
    <row r="101" customFormat="false" ht="15" hidden="false" customHeight="false" outlineLevel="0" collapsed="false">
      <c r="A101" s="14" t="s">
        <v>2277</v>
      </c>
      <c r="B101" s="14" t="s">
        <v>292</v>
      </c>
      <c r="C101" s="14" t="s">
        <v>293</v>
      </c>
      <c r="D101" s="28" t="s">
        <v>2278</v>
      </c>
      <c r="E101" s="37" t="s">
        <v>128</v>
      </c>
      <c r="F101" s="31" t="n">
        <f aca="false">WBS!S27</f>
        <v>2</v>
      </c>
      <c r="G101" s="14" t="str">
        <f aca="false">WBS!H27</f>
        <v>P0</v>
      </c>
      <c r="H101" s="14" t="str">
        <f aca="false">WBS!G27</f>
        <v>Must</v>
      </c>
      <c r="I101" s="6" t="s">
        <v>2275</v>
      </c>
      <c r="J101" s="14"/>
      <c r="K101" s="6"/>
      <c r="L101" s="41" t="s">
        <v>2065</v>
      </c>
    </row>
    <row r="102" customFormat="false" ht="22.35" hidden="false" customHeight="false" outlineLevel="0" collapsed="false">
      <c r="A102" s="14" t="s">
        <v>2279</v>
      </c>
      <c r="B102" s="14" t="s">
        <v>292</v>
      </c>
      <c r="C102" s="14" t="s">
        <v>293</v>
      </c>
      <c r="D102" s="28" t="s">
        <v>2280</v>
      </c>
      <c r="E102" s="42" t="s">
        <v>2068</v>
      </c>
      <c r="F102" s="31" t="n">
        <f aca="false">WBS!P27</f>
        <v>10</v>
      </c>
      <c r="G102" s="14" t="str">
        <f aca="false">WBS!H27</f>
        <v>P0</v>
      </c>
      <c r="H102" s="14" t="str">
        <f aca="false">WBS!G27</f>
        <v>Must</v>
      </c>
      <c r="I102" s="6" t="s">
        <v>2275</v>
      </c>
      <c r="J102" s="14"/>
      <c r="K102" s="6"/>
      <c r="L102" s="41" t="s">
        <v>2065</v>
      </c>
    </row>
    <row r="103" customFormat="false" ht="22.35" hidden="false" customHeight="false" outlineLevel="0" collapsed="false">
      <c r="A103" s="14" t="s">
        <v>2281</v>
      </c>
      <c r="B103" s="14" t="s">
        <v>292</v>
      </c>
      <c r="C103" s="14" t="s">
        <v>293</v>
      </c>
      <c r="D103" s="28" t="s">
        <v>2282</v>
      </c>
      <c r="E103" s="22" t="s">
        <v>2071</v>
      </c>
      <c r="F103" s="31" t="n">
        <f aca="false">WBS!Q27</f>
        <v>5</v>
      </c>
      <c r="G103" s="14" t="str">
        <f aca="false">WBS!H27</f>
        <v>P0</v>
      </c>
      <c r="H103" s="14" t="str">
        <f aca="false">WBS!G27</f>
        <v>Must</v>
      </c>
      <c r="I103" s="6" t="s">
        <v>2277</v>
      </c>
      <c r="J103" s="14"/>
      <c r="K103" s="6"/>
      <c r="L103" s="41" t="s">
        <v>2065</v>
      </c>
    </row>
    <row r="104" customFormat="false" ht="15" hidden="false" customHeight="false" outlineLevel="0" collapsed="false">
      <c r="A104" s="14" t="s">
        <v>2283</v>
      </c>
      <c r="B104" s="14" t="s">
        <v>292</v>
      </c>
      <c r="C104" s="14" t="s">
        <v>293</v>
      </c>
      <c r="D104" s="28" t="s">
        <v>2284</v>
      </c>
      <c r="E104" s="43" t="s">
        <v>96</v>
      </c>
      <c r="F104" s="31" t="n">
        <f aca="false">WBS!T27</f>
        <v>5.3</v>
      </c>
      <c r="G104" s="14" t="str">
        <f aca="false">WBS!H27</f>
        <v>P0</v>
      </c>
      <c r="H104" s="14" t="str">
        <f aca="false">WBS!G27</f>
        <v>Must</v>
      </c>
      <c r="I104" s="6" t="s">
        <v>2285</v>
      </c>
      <c r="J104" s="14"/>
      <c r="K104" s="6"/>
      <c r="L104" s="41" t="s">
        <v>2065</v>
      </c>
    </row>
    <row r="105" customFormat="false" ht="15" hidden="false" customHeight="false" outlineLevel="0" collapsed="false">
      <c r="A105" s="14" t="s">
        <v>2286</v>
      </c>
      <c r="B105" s="14" t="s">
        <v>283</v>
      </c>
      <c r="C105" s="14" t="s">
        <v>293</v>
      </c>
      <c r="D105" s="28" t="s">
        <v>2287</v>
      </c>
      <c r="E105" s="40" t="s">
        <v>91</v>
      </c>
      <c r="F105" s="31" t="n">
        <f aca="false">WBS!R28</f>
        <v>1.8</v>
      </c>
      <c r="G105" s="14" t="str">
        <f aca="false">WBS!H28</f>
        <v>P0</v>
      </c>
      <c r="H105" s="14" t="str">
        <f aca="false">WBS!G28</f>
        <v>Must</v>
      </c>
      <c r="I105" s="6" t="s">
        <v>292</v>
      </c>
      <c r="J105" s="14"/>
      <c r="K105" s="6"/>
      <c r="L105" s="41" t="s">
        <v>2065</v>
      </c>
    </row>
    <row r="106" customFormat="false" ht="32.8" hidden="false" customHeight="false" outlineLevel="0" collapsed="false">
      <c r="A106" s="14" t="s">
        <v>2288</v>
      </c>
      <c r="B106" s="14" t="s">
        <v>283</v>
      </c>
      <c r="C106" s="14" t="s">
        <v>293</v>
      </c>
      <c r="D106" s="28" t="s">
        <v>2289</v>
      </c>
      <c r="E106" s="42" t="s">
        <v>2068</v>
      </c>
      <c r="F106" s="31" t="n">
        <f aca="false">WBS!P28</f>
        <v>10</v>
      </c>
      <c r="G106" s="14" t="str">
        <f aca="false">WBS!H28</f>
        <v>P0</v>
      </c>
      <c r="H106" s="14" t="str">
        <f aca="false">WBS!G28</f>
        <v>Must</v>
      </c>
      <c r="I106" s="6" t="s">
        <v>2286</v>
      </c>
      <c r="J106" s="14"/>
      <c r="K106" s="6"/>
      <c r="L106" s="41" t="s">
        <v>2065</v>
      </c>
    </row>
    <row r="107" customFormat="false" ht="15" hidden="false" customHeight="false" outlineLevel="0" collapsed="false">
      <c r="A107" s="14" t="s">
        <v>2290</v>
      </c>
      <c r="B107" s="14" t="s">
        <v>283</v>
      </c>
      <c r="C107" s="14" t="s">
        <v>293</v>
      </c>
      <c r="D107" s="28" t="s">
        <v>2291</v>
      </c>
      <c r="E107" s="22" t="s">
        <v>2071</v>
      </c>
      <c r="F107" s="31" t="n">
        <f aca="false">WBS!Q28</f>
        <v>5</v>
      </c>
      <c r="G107" s="14" t="str">
        <f aca="false">WBS!H28</f>
        <v>P0</v>
      </c>
      <c r="H107" s="14" t="str">
        <f aca="false">WBS!G28</f>
        <v>Must</v>
      </c>
      <c r="I107" s="6" t="s">
        <v>2286</v>
      </c>
      <c r="J107" s="14"/>
      <c r="K107" s="6"/>
      <c r="L107" s="41" t="s">
        <v>2065</v>
      </c>
    </row>
    <row r="108" customFormat="false" ht="15" hidden="false" customHeight="false" outlineLevel="0" collapsed="false">
      <c r="A108" s="14" t="s">
        <v>2292</v>
      </c>
      <c r="B108" s="14" t="s">
        <v>283</v>
      </c>
      <c r="C108" s="14" t="s">
        <v>293</v>
      </c>
      <c r="D108" s="28" t="s">
        <v>2293</v>
      </c>
      <c r="E108" s="43" t="s">
        <v>96</v>
      </c>
      <c r="F108" s="31" t="n">
        <f aca="false">WBS!T28</f>
        <v>5.3</v>
      </c>
      <c r="G108" s="14" t="str">
        <f aca="false">WBS!H28</f>
        <v>P0</v>
      </c>
      <c r="H108" s="14" t="str">
        <f aca="false">WBS!G28</f>
        <v>Must</v>
      </c>
      <c r="I108" s="6" t="s">
        <v>2294</v>
      </c>
      <c r="J108" s="14"/>
      <c r="K108" s="6"/>
      <c r="L108" s="41" t="s">
        <v>2065</v>
      </c>
    </row>
    <row r="109" customFormat="false" ht="15" hidden="false" customHeight="false" outlineLevel="0" collapsed="false">
      <c r="A109" s="14" t="s">
        <v>2295</v>
      </c>
      <c r="B109" s="14" t="s">
        <v>306</v>
      </c>
      <c r="C109" s="14" t="s">
        <v>293</v>
      </c>
      <c r="D109" s="28" t="s">
        <v>2296</v>
      </c>
      <c r="E109" s="40" t="s">
        <v>91</v>
      </c>
      <c r="F109" s="31" t="n">
        <f aca="false">WBS!R29</f>
        <v>1.2</v>
      </c>
      <c r="G109" s="14" t="str">
        <f aca="false">WBS!H29</f>
        <v>P0</v>
      </c>
      <c r="H109" s="14" t="str">
        <f aca="false">WBS!G29</f>
        <v>Must</v>
      </c>
      <c r="I109" s="6" t="s">
        <v>150</v>
      </c>
      <c r="J109" s="14"/>
      <c r="K109" s="6"/>
      <c r="L109" s="41" t="s">
        <v>2065</v>
      </c>
    </row>
    <row r="110" customFormat="false" ht="15" hidden="false" customHeight="false" outlineLevel="0" collapsed="false">
      <c r="A110" s="14" t="s">
        <v>2297</v>
      </c>
      <c r="B110" s="14" t="s">
        <v>306</v>
      </c>
      <c r="C110" s="14" t="s">
        <v>293</v>
      </c>
      <c r="D110" s="28" t="s">
        <v>2298</v>
      </c>
      <c r="E110" s="37" t="s">
        <v>128</v>
      </c>
      <c r="F110" s="31" t="n">
        <f aca="false">WBS!S29</f>
        <v>2</v>
      </c>
      <c r="G110" s="14" t="str">
        <f aca="false">WBS!H29</f>
        <v>P0</v>
      </c>
      <c r="H110" s="14" t="str">
        <f aca="false">WBS!G29</f>
        <v>Must</v>
      </c>
      <c r="I110" s="6" t="s">
        <v>2295</v>
      </c>
      <c r="J110" s="14"/>
      <c r="K110" s="6"/>
      <c r="L110" s="41" t="s">
        <v>2065</v>
      </c>
    </row>
    <row r="111" customFormat="false" ht="22.35" hidden="false" customHeight="false" outlineLevel="0" collapsed="false">
      <c r="A111" s="14" t="s">
        <v>2299</v>
      </c>
      <c r="B111" s="14" t="s">
        <v>306</v>
      </c>
      <c r="C111" s="14" t="s">
        <v>293</v>
      </c>
      <c r="D111" s="28" t="s">
        <v>2300</v>
      </c>
      <c r="E111" s="42" t="s">
        <v>2068</v>
      </c>
      <c r="F111" s="31" t="n">
        <f aca="false">WBS!P29</f>
        <v>5</v>
      </c>
      <c r="G111" s="14" t="str">
        <f aca="false">WBS!H29</f>
        <v>P0</v>
      </c>
      <c r="H111" s="14" t="str">
        <f aca="false">WBS!G29</f>
        <v>Must</v>
      </c>
      <c r="I111" s="6" t="s">
        <v>2295</v>
      </c>
      <c r="J111" s="14"/>
      <c r="K111" s="6"/>
      <c r="L111" s="41" t="s">
        <v>2065</v>
      </c>
    </row>
    <row r="112" customFormat="false" ht="15" hidden="false" customHeight="false" outlineLevel="0" collapsed="false">
      <c r="A112" s="14" t="s">
        <v>2301</v>
      </c>
      <c r="B112" s="14" t="s">
        <v>306</v>
      </c>
      <c r="C112" s="14" t="s">
        <v>293</v>
      </c>
      <c r="D112" s="28" t="s">
        <v>2302</v>
      </c>
      <c r="E112" s="22" t="s">
        <v>2071</v>
      </c>
      <c r="F112" s="31" t="n">
        <f aca="false">WBS!Q29</f>
        <v>5</v>
      </c>
      <c r="G112" s="14" t="str">
        <f aca="false">WBS!H29</f>
        <v>P0</v>
      </c>
      <c r="H112" s="14" t="str">
        <f aca="false">WBS!G29</f>
        <v>Must</v>
      </c>
      <c r="I112" s="6" t="s">
        <v>2297</v>
      </c>
      <c r="J112" s="14"/>
      <c r="K112" s="6"/>
      <c r="L112" s="41" t="s">
        <v>2065</v>
      </c>
    </row>
    <row r="113" customFormat="false" ht="15" hidden="false" customHeight="false" outlineLevel="0" collapsed="false">
      <c r="A113" s="14" t="s">
        <v>2303</v>
      </c>
      <c r="B113" s="14" t="s">
        <v>306</v>
      </c>
      <c r="C113" s="14" t="s">
        <v>293</v>
      </c>
      <c r="D113" s="28" t="s">
        <v>2304</v>
      </c>
      <c r="E113" s="43" t="s">
        <v>96</v>
      </c>
      <c r="F113" s="31" t="n">
        <f aca="false">WBS!T29</f>
        <v>3.5</v>
      </c>
      <c r="G113" s="14" t="str">
        <f aca="false">WBS!H29</f>
        <v>P0</v>
      </c>
      <c r="H113" s="14" t="str">
        <f aca="false">WBS!G29</f>
        <v>Must</v>
      </c>
      <c r="I113" s="6" t="s">
        <v>2305</v>
      </c>
      <c r="J113" s="14"/>
      <c r="K113" s="6"/>
      <c r="L113" s="41" t="s">
        <v>2065</v>
      </c>
    </row>
    <row r="114" customFormat="false" ht="15" hidden="false" customHeight="false" outlineLevel="0" collapsed="false">
      <c r="A114" s="14" t="s">
        <v>2306</v>
      </c>
      <c r="B114" s="14" t="s">
        <v>312</v>
      </c>
      <c r="C114" s="14" t="s">
        <v>293</v>
      </c>
      <c r="D114" s="28" t="s">
        <v>2307</v>
      </c>
      <c r="E114" s="40" t="s">
        <v>91</v>
      </c>
      <c r="F114" s="31" t="n">
        <f aca="false">WBS!R30</f>
        <v>1.2</v>
      </c>
      <c r="G114" s="14" t="str">
        <f aca="false">WBS!H30</f>
        <v>P0</v>
      </c>
      <c r="H114" s="14" t="str">
        <f aca="false">WBS!G30</f>
        <v>Must</v>
      </c>
      <c r="I114" s="6" t="s">
        <v>319</v>
      </c>
      <c r="J114" s="14"/>
      <c r="K114" s="6"/>
      <c r="L114" s="41" t="s">
        <v>2065</v>
      </c>
    </row>
    <row r="115" customFormat="false" ht="15" hidden="false" customHeight="false" outlineLevel="0" collapsed="false">
      <c r="A115" s="14" t="s">
        <v>2308</v>
      </c>
      <c r="B115" s="14" t="s">
        <v>312</v>
      </c>
      <c r="C115" s="14" t="s">
        <v>293</v>
      </c>
      <c r="D115" s="28" t="s">
        <v>2309</v>
      </c>
      <c r="E115" s="37" t="s">
        <v>128</v>
      </c>
      <c r="F115" s="31" t="n">
        <f aca="false">WBS!S30</f>
        <v>2</v>
      </c>
      <c r="G115" s="14" t="str">
        <f aca="false">WBS!H30</f>
        <v>P0</v>
      </c>
      <c r="H115" s="14" t="str">
        <f aca="false">WBS!G30</f>
        <v>Must</v>
      </c>
      <c r="I115" s="6" t="s">
        <v>2306</v>
      </c>
      <c r="J115" s="14"/>
      <c r="K115" s="6"/>
      <c r="L115" s="41" t="s">
        <v>2065</v>
      </c>
    </row>
    <row r="116" customFormat="false" ht="22.35" hidden="false" customHeight="false" outlineLevel="0" collapsed="false">
      <c r="A116" s="14" t="s">
        <v>2310</v>
      </c>
      <c r="B116" s="14" t="s">
        <v>312</v>
      </c>
      <c r="C116" s="14" t="s">
        <v>293</v>
      </c>
      <c r="D116" s="28" t="s">
        <v>2311</v>
      </c>
      <c r="E116" s="42" t="s">
        <v>2068</v>
      </c>
      <c r="F116" s="31" t="n">
        <f aca="false">WBS!P30</f>
        <v>5</v>
      </c>
      <c r="G116" s="14" t="str">
        <f aca="false">WBS!H30</f>
        <v>P0</v>
      </c>
      <c r="H116" s="14" t="str">
        <f aca="false">WBS!G30</f>
        <v>Must</v>
      </c>
      <c r="I116" s="6" t="s">
        <v>2306</v>
      </c>
      <c r="J116" s="14"/>
      <c r="K116" s="6"/>
      <c r="L116" s="41" t="s">
        <v>2065</v>
      </c>
    </row>
    <row r="117" customFormat="false" ht="15" hidden="false" customHeight="false" outlineLevel="0" collapsed="false">
      <c r="A117" s="14" t="s">
        <v>2312</v>
      </c>
      <c r="B117" s="14" t="s">
        <v>312</v>
      </c>
      <c r="C117" s="14" t="s">
        <v>293</v>
      </c>
      <c r="D117" s="28" t="s">
        <v>2313</v>
      </c>
      <c r="E117" s="22" t="s">
        <v>2071</v>
      </c>
      <c r="F117" s="31" t="n">
        <f aca="false">WBS!Q30</f>
        <v>5</v>
      </c>
      <c r="G117" s="14" t="str">
        <f aca="false">WBS!H30</f>
        <v>P0</v>
      </c>
      <c r="H117" s="14" t="str">
        <f aca="false">WBS!G30</f>
        <v>Must</v>
      </c>
      <c r="I117" s="6" t="s">
        <v>2308</v>
      </c>
      <c r="J117" s="14"/>
      <c r="K117" s="6"/>
      <c r="L117" s="41" t="s">
        <v>2065</v>
      </c>
    </row>
    <row r="118" customFormat="false" ht="15" hidden="false" customHeight="false" outlineLevel="0" collapsed="false">
      <c r="A118" s="14" t="s">
        <v>2314</v>
      </c>
      <c r="B118" s="14" t="s">
        <v>312</v>
      </c>
      <c r="C118" s="14" t="s">
        <v>293</v>
      </c>
      <c r="D118" s="28" t="s">
        <v>2315</v>
      </c>
      <c r="E118" s="43" t="s">
        <v>96</v>
      </c>
      <c r="F118" s="31" t="n">
        <f aca="false">WBS!T30</f>
        <v>3.5</v>
      </c>
      <c r="G118" s="14" t="str">
        <f aca="false">WBS!H30</f>
        <v>P0</v>
      </c>
      <c r="H118" s="14" t="str">
        <f aca="false">WBS!G30</f>
        <v>Must</v>
      </c>
      <c r="I118" s="6" t="s">
        <v>2316</v>
      </c>
      <c r="J118" s="14"/>
      <c r="K118" s="6"/>
      <c r="L118" s="41" t="s">
        <v>2065</v>
      </c>
    </row>
    <row r="119" customFormat="false" ht="15" hidden="false" customHeight="false" outlineLevel="0" collapsed="false">
      <c r="A119" s="14" t="s">
        <v>2317</v>
      </c>
      <c r="B119" s="14" t="s">
        <v>321</v>
      </c>
      <c r="C119" s="14" t="s">
        <v>293</v>
      </c>
      <c r="D119" s="28" t="s">
        <v>2318</v>
      </c>
      <c r="E119" s="40" t="s">
        <v>91</v>
      </c>
      <c r="F119" s="31" t="n">
        <f aca="false">WBS!R31</f>
        <v>1.2</v>
      </c>
      <c r="G119" s="14" t="str">
        <f aca="false">WBS!H31</f>
        <v>P0</v>
      </c>
      <c r="H119" s="14" t="str">
        <f aca="false">WBS!G31</f>
        <v>Must</v>
      </c>
      <c r="I119" s="6" t="s">
        <v>283</v>
      </c>
      <c r="J119" s="14"/>
      <c r="K119" s="6"/>
      <c r="L119" s="41" t="s">
        <v>2065</v>
      </c>
    </row>
    <row r="120" customFormat="false" ht="15" hidden="false" customHeight="false" outlineLevel="0" collapsed="false">
      <c r="A120" s="14" t="s">
        <v>2319</v>
      </c>
      <c r="B120" s="14" t="s">
        <v>321</v>
      </c>
      <c r="C120" s="14" t="s">
        <v>293</v>
      </c>
      <c r="D120" s="28" t="s">
        <v>2320</v>
      </c>
      <c r="E120" s="37" t="s">
        <v>128</v>
      </c>
      <c r="F120" s="31" t="n">
        <f aca="false">WBS!S31</f>
        <v>2</v>
      </c>
      <c r="G120" s="14" t="str">
        <f aca="false">WBS!H31</f>
        <v>P0</v>
      </c>
      <c r="H120" s="14" t="str">
        <f aca="false">WBS!G31</f>
        <v>Must</v>
      </c>
      <c r="I120" s="6" t="s">
        <v>2317</v>
      </c>
      <c r="J120" s="14"/>
      <c r="K120" s="6"/>
      <c r="L120" s="41" t="s">
        <v>2065</v>
      </c>
    </row>
    <row r="121" customFormat="false" ht="22.35" hidden="false" customHeight="false" outlineLevel="0" collapsed="false">
      <c r="A121" s="14" t="s">
        <v>2321</v>
      </c>
      <c r="B121" s="14" t="s">
        <v>321</v>
      </c>
      <c r="C121" s="14" t="s">
        <v>293</v>
      </c>
      <c r="D121" s="28" t="s">
        <v>2322</v>
      </c>
      <c r="E121" s="42" t="s">
        <v>2068</v>
      </c>
      <c r="F121" s="31" t="n">
        <f aca="false">WBS!P31</f>
        <v>5</v>
      </c>
      <c r="G121" s="14" t="str">
        <f aca="false">WBS!H31</f>
        <v>P0</v>
      </c>
      <c r="H121" s="14" t="str">
        <f aca="false">WBS!G31</f>
        <v>Must</v>
      </c>
      <c r="I121" s="6" t="s">
        <v>2317</v>
      </c>
      <c r="J121" s="14"/>
      <c r="K121" s="6"/>
      <c r="L121" s="41" t="s">
        <v>2065</v>
      </c>
    </row>
    <row r="122" customFormat="false" ht="15" hidden="false" customHeight="false" outlineLevel="0" collapsed="false">
      <c r="A122" s="14" t="s">
        <v>2323</v>
      </c>
      <c r="B122" s="14" t="s">
        <v>321</v>
      </c>
      <c r="C122" s="14" t="s">
        <v>293</v>
      </c>
      <c r="D122" s="28" t="s">
        <v>2324</v>
      </c>
      <c r="E122" s="22" t="s">
        <v>2071</v>
      </c>
      <c r="F122" s="31" t="n">
        <f aca="false">WBS!Q31</f>
        <v>5</v>
      </c>
      <c r="G122" s="14" t="str">
        <f aca="false">WBS!H31</f>
        <v>P0</v>
      </c>
      <c r="H122" s="14" t="str">
        <f aca="false">WBS!G31</f>
        <v>Must</v>
      </c>
      <c r="I122" s="6" t="s">
        <v>2319</v>
      </c>
      <c r="J122" s="14"/>
      <c r="K122" s="6"/>
      <c r="L122" s="41" t="s">
        <v>2065</v>
      </c>
    </row>
    <row r="123" customFormat="false" ht="15" hidden="false" customHeight="false" outlineLevel="0" collapsed="false">
      <c r="A123" s="14" t="s">
        <v>2325</v>
      </c>
      <c r="B123" s="14" t="s">
        <v>321</v>
      </c>
      <c r="C123" s="14" t="s">
        <v>293</v>
      </c>
      <c r="D123" s="28" t="s">
        <v>2326</v>
      </c>
      <c r="E123" s="43" t="s">
        <v>96</v>
      </c>
      <c r="F123" s="31" t="n">
        <f aca="false">WBS!T31</f>
        <v>3.5</v>
      </c>
      <c r="G123" s="14" t="str">
        <f aca="false">WBS!H31</f>
        <v>P0</v>
      </c>
      <c r="H123" s="14" t="str">
        <f aca="false">WBS!G31</f>
        <v>Must</v>
      </c>
      <c r="I123" s="6" t="s">
        <v>2327</v>
      </c>
      <c r="J123" s="14"/>
      <c r="K123" s="6"/>
      <c r="L123" s="41" t="s">
        <v>2065</v>
      </c>
    </row>
    <row r="124" customFormat="false" ht="15" hidden="false" customHeight="false" outlineLevel="0" collapsed="false">
      <c r="A124" s="14" t="s">
        <v>2328</v>
      </c>
      <c r="B124" s="14" t="s">
        <v>328</v>
      </c>
      <c r="C124" s="14" t="s">
        <v>293</v>
      </c>
      <c r="D124" s="28" t="s">
        <v>2329</v>
      </c>
      <c r="E124" s="40" t="s">
        <v>91</v>
      </c>
      <c r="F124" s="31" t="n">
        <f aca="false">WBS!R32</f>
        <v>1.6</v>
      </c>
      <c r="G124" s="14" t="str">
        <f aca="false">WBS!H32</f>
        <v>P0</v>
      </c>
      <c r="H124" s="14" t="str">
        <f aca="false">WBS!G32</f>
        <v>Must</v>
      </c>
      <c r="I124" s="6" t="s">
        <v>334</v>
      </c>
      <c r="J124" s="14"/>
      <c r="K124" s="6"/>
      <c r="L124" s="41" t="s">
        <v>2065</v>
      </c>
    </row>
    <row r="125" customFormat="false" ht="22.35" hidden="false" customHeight="false" outlineLevel="0" collapsed="false">
      <c r="A125" s="14" t="s">
        <v>2330</v>
      </c>
      <c r="B125" s="14" t="s">
        <v>328</v>
      </c>
      <c r="C125" s="14" t="s">
        <v>293</v>
      </c>
      <c r="D125" s="28" t="s">
        <v>2331</v>
      </c>
      <c r="E125" s="42" t="s">
        <v>2068</v>
      </c>
      <c r="F125" s="31" t="n">
        <f aca="false">WBS!P32</f>
        <v>10</v>
      </c>
      <c r="G125" s="14" t="str">
        <f aca="false">WBS!H32</f>
        <v>P0</v>
      </c>
      <c r="H125" s="14" t="str">
        <f aca="false">WBS!G32</f>
        <v>Must</v>
      </c>
      <c r="I125" s="6" t="s">
        <v>2328</v>
      </c>
      <c r="J125" s="14"/>
      <c r="K125" s="6"/>
      <c r="L125" s="41" t="s">
        <v>2065</v>
      </c>
    </row>
    <row r="126" customFormat="false" ht="15" hidden="false" customHeight="false" outlineLevel="0" collapsed="false">
      <c r="A126" s="14" t="s">
        <v>2332</v>
      </c>
      <c r="B126" s="14" t="s">
        <v>328</v>
      </c>
      <c r="C126" s="14" t="s">
        <v>293</v>
      </c>
      <c r="D126" s="28" t="s">
        <v>2333</v>
      </c>
      <c r="E126" s="22" t="s">
        <v>2071</v>
      </c>
      <c r="F126" s="31" t="n">
        <f aca="false">WBS!Q32</f>
        <v>3</v>
      </c>
      <c r="G126" s="14" t="str">
        <f aca="false">WBS!H32</f>
        <v>P0</v>
      </c>
      <c r="H126" s="14" t="str">
        <f aca="false">WBS!G32</f>
        <v>Must</v>
      </c>
      <c r="I126" s="6" t="s">
        <v>2328</v>
      </c>
      <c r="J126" s="14"/>
      <c r="K126" s="6"/>
      <c r="L126" s="41" t="s">
        <v>2065</v>
      </c>
    </row>
    <row r="127" customFormat="false" ht="15" hidden="false" customHeight="false" outlineLevel="0" collapsed="false">
      <c r="A127" s="14" t="s">
        <v>2334</v>
      </c>
      <c r="B127" s="14" t="s">
        <v>328</v>
      </c>
      <c r="C127" s="14" t="s">
        <v>293</v>
      </c>
      <c r="D127" s="28" t="s">
        <v>2335</v>
      </c>
      <c r="E127" s="43" t="s">
        <v>96</v>
      </c>
      <c r="F127" s="31" t="n">
        <f aca="false">WBS!T32</f>
        <v>4.6</v>
      </c>
      <c r="G127" s="14" t="str">
        <f aca="false">WBS!H32</f>
        <v>P0</v>
      </c>
      <c r="H127" s="14" t="str">
        <f aca="false">WBS!G32</f>
        <v>Must</v>
      </c>
      <c r="I127" s="6" t="s">
        <v>2336</v>
      </c>
      <c r="J127" s="14"/>
      <c r="K127" s="6"/>
      <c r="L127" s="41" t="s">
        <v>2065</v>
      </c>
    </row>
    <row r="128" customFormat="false" ht="15" hidden="false" customHeight="false" outlineLevel="0" collapsed="false">
      <c r="A128" s="14" t="s">
        <v>2337</v>
      </c>
      <c r="B128" s="14" t="s">
        <v>335</v>
      </c>
      <c r="C128" s="14" t="s">
        <v>293</v>
      </c>
      <c r="D128" s="28" t="s">
        <v>2338</v>
      </c>
      <c r="E128" s="40" t="s">
        <v>91</v>
      </c>
      <c r="F128" s="31" t="n">
        <f aca="false">WBS!R33</f>
        <v>1</v>
      </c>
      <c r="G128" s="14" t="str">
        <f aca="false">WBS!H33</f>
        <v>P0</v>
      </c>
      <c r="H128" s="14" t="str">
        <f aca="false">WBS!G33</f>
        <v>Must</v>
      </c>
      <c r="I128" s="6" t="s">
        <v>292</v>
      </c>
      <c r="J128" s="14"/>
      <c r="K128" s="6"/>
      <c r="L128" s="41" t="s">
        <v>2065</v>
      </c>
    </row>
    <row r="129" customFormat="false" ht="15" hidden="false" customHeight="false" outlineLevel="0" collapsed="false">
      <c r="A129" s="14" t="s">
        <v>2339</v>
      </c>
      <c r="B129" s="14" t="s">
        <v>335</v>
      </c>
      <c r="C129" s="14" t="s">
        <v>293</v>
      </c>
      <c r="D129" s="28" t="s">
        <v>2340</v>
      </c>
      <c r="E129" s="37" t="s">
        <v>128</v>
      </c>
      <c r="F129" s="31" t="n">
        <f aca="false">WBS!S33</f>
        <v>1.2</v>
      </c>
      <c r="G129" s="14" t="str">
        <f aca="false">WBS!H33</f>
        <v>P0</v>
      </c>
      <c r="H129" s="14" t="str">
        <f aca="false">WBS!G33</f>
        <v>Must</v>
      </c>
      <c r="I129" s="6" t="s">
        <v>2337</v>
      </c>
      <c r="J129" s="14"/>
      <c r="K129" s="6"/>
      <c r="L129" s="41" t="s">
        <v>2065</v>
      </c>
    </row>
    <row r="130" customFormat="false" ht="22.35" hidden="false" customHeight="false" outlineLevel="0" collapsed="false">
      <c r="A130" s="14" t="s">
        <v>2341</v>
      </c>
      <c r="B130" s="14" t="s">
        <v>335</v>
      </c>
      <c r="C130" s="14" t="s">
        <v>293</v>
      </c>
      <c r="D130" s="28" t="s">
        <v>2342</v>
      </c>
      <c r="E130" s="42" t="s">
        <v>2068</v>
      </c>
      <c r="F130" s="31" t="n">
        <f aca="false">WBS!P33</f>
        <v>5</v>
      </c>
      <c r="G130" s="14" t="str">
        <f aca="false">WBS!H33</f>
        <v>P0</v>
      </c>
      <c r="H130" s="14" t="str">
        <f aca="false">WBS!G33</f>
        <v>Must</v>
      </c>
      <c r="I130" s="6" t="s">
        <v>2337</v>
      </c>
      <c r="J130" s="14"/>
      <c r="K130" s="6"/>
      <c r="L130" s="41" t="s">
        <v>2065</v>
      </c>
    </row>
    <row r="131" customFormat="false" ht="15" hidden="false" customHeight="false" outlineLevel="0" collapsed="false">
      <c r="A131" s="14" t="s">
        <v>2343</v>
      </c>
      <c r="B131" s="14" t="s">
        <v>335</v>
      </c>
      <c r="C131" s="14" t="s">
        <v>293</v>
      </c>
      <c r="D131" s="28" t="s">
        <v>2344</v>
      </c>
      <c r="E131" s="22" t="s">
        <v>2071</v>
      </c>
      <c r="F131" s="31" t="n">
        <f aca="false">WBS!Q33</f>
        <v>3</v>
      </c>
      <c r="G131" s="14" t="str">
        <f aca="false">WBS!H33</f>
        <v>P0</v>
      </c>
      <c r="H131" s="14" t="str">
        <f aca="false">WBS!G33</f>
        <v>Must</v>
      </c>
      <c r="I131" s="6" t="s">
        <v>2339</v>
      </c>
      <c r="J131" s="14"/>
      <c r="K131" s="6"/>
      <c r="L131" s="41" t="s">
        <v>2065</v>
      </c>
    </row>
    <row r="132" customFormat="false" ht="15" hidden="false" customHeight="false" outlineLevel="0" collapsed="false">
      <c r="A132" s="14" t="s">
        <v>2345</v>
      </c>
      <c r="B132" s="14" t="s">
        <v>335</v>
      </c>
      <c r="C132" s="14" t="s">
        <v>293</v>
      </c>
      <c r="D132" s="28" t="s">
        <v>2346</v>
      </c>
      <c r="E132" s="43" t="s">
        <v>96</v>
      </c>
      <c r="F132" s="31" t="n">
        <f aca="false">WBS!T33</f>
        <v>2.8</v>
      </c>
      <c r="G132" s="14" t="str">
        <f aca="false">WBS!H33</f>
        <v>P0</v>
      </c>
      <c r="H132" s="14" t="str">
        <f aca="false">WBS!G33</f>
        <v>Must</v>
      </c>
      <c r="I132" s="6" t="s">
        <v>2347</v>
      </c>
      <c r="J132" s="14"/>
      <c r="K132" s="6"/>
      <c r="L132" s="41" t="s">
        <v>2065</v>
      </c>
    </row>
    <row r="133" customFormat="false" ht="15" hidden="false" customHeight="false" outlineLevel="0" collapsed="false">
      <c r="A133" s="14" t="s">
        <v>2348</v>
      </c>
      <c r="B133" s="14" t="s">
        <v>341</v>
      </c>
      <c r="C133" s="14" t="s">
        <v>293</v>
      </c>
      <c r="D133" s="28" t="s">
        <v>2349</v>
      </c>
      <c r="E133" s="40" t="s">
        <v>91</v>
      </c>
      <c r="F133" s="31" t="n">
        <f aca="false">WBS!R34</f>
        <v>1</v>
      </c>
      <c r="G133" s="14" t="str">
        <f aca="false">WBS!H34</f>
        <v>P0</v>
      </c>
      <c r="H133" s="14" t="str">
        <f aca="false">WBS!G34</f>
        <v>Must</v>
      </c>
      <c r="I133" s="6" t="s">
        <v>283</v>
      </c>
      <c r="J133" s="14"/>
      <c r="K133" s="6"/>
      <c r="L133" s="41" t="s">
        <v>2065</v>
      </c>
    </row>
    <row r="134" customFormat="false" ht="22.35" hidden="false" customHeight="false" outlineLevel="0" collapsed="false">
      <c r="A134" s="14" t="s">
        <v>2350</v>
      </c>
      <c r="B134" s="14" t="s">
        <v>341</v>
      </c>
      <c r="C134" s="14" t="s">
        <v>293</v>
      </c>
      <c r="D134" s="28" t="s">
        <v>2351</v>
      </c>
      <c r="E134" s="42" t="s">
        <v>2068</v>
      </c>
      <c r="F134" s="31" t="n">
        <f aca="false">WBS!P34</f>
        <v>5</v>
      </c>
      <c r="G134" s="14" t="str">
        <f aca="false">WBS!H34</f>
        <v>P0</v>
      </c>
      <c r="H134" s="14" t="str">
        <f aca="false">WBS!G34</f>
        <v>Must</v>
      </c>
      <c r="I134" s="6" t="s">
        <v>2348</v>
      </c>
      <c r="J134" s="14"/>
      <c r="K134" s="6"/>
      <c r="L134" s="41" t="s">
        <v>2065</v>
      </c>
    </row>
    <row r="135" customFormat="false" ht="15" hidden="false" customHeight="false" outlineLevel="0" collapsed="false">
      <c r="A135" s="14" t="s">
        <v>2352</v>
      </c>
      <c r="B135" s="14" t="s">
        <v>341</v>
      </c>
      <c r="C135" s="14" t="s">
        <v>293</v>
      </c>
      <c r="D135" s="28" t="s">
        <v>2353</v>
      </c>
      <c r="E135" s="22" t="s">
        <v>2071</v>
      </c>
      <c r="F135" s="31" t="n">
        <f aca="false">WBS!Q34</f>
        <v>3</v>
      </c>
      <c r="G135" s="14" t="str">
        <f aca="false">WBS!H34</f>
        <v>P0</v>
      </c>
      <c r="H135" s="14" t="str">
        <f aca="false">WBS!G34</f>
        <v>Must</v>
      </c>
      <c r="I135" s="6" t="s">
        <v>2348</v>
      </c>
      <c r="J135" s="14"/>
      <c r="K135" s="6"/>
      <c r="L135" s="41" t="s">
        <v>2065</v>
      </c>
    </row>
    <row r="136" customFormat="false" ht="15" hidden="false" customHeight="false" outlineLevel="0" collapsed="false">
      <c r="A136" s="14" t="s">
        <v>2354</v>
      </c>
      <c r="B136" s="14" t="s">
        <v>341</v>
      </c>
      <c r="C136" s="14" t="s">
        <v>293</v>
      </c>
      <c r="D136" s="28" t="s">
        <v>2355</v>
      </c>
      <c r="E136" s="43" t="s">
        <v>96</v>
      </c>
      <c r="F136" s="31" t="n">
        <f aca="false">WBS!T34</f>
        <v>2.8</v>
      </c>
      <c r="G136" s="14" t="str">
        <f aca="false">WBS!H34</f>
        <v>P0</v>
      </c>
      <c r="H136" s="14" t="str">
        <f aca="false">WBS!G34</f>
        <v>Must</v>
      </c>
      <c r="I136" s="6" t="s">
        <v>2356</v>
      </c>
      <c r="J136" s="14"/>
      <c r="K136" s="6"/>
      <c r="L136" s="41" t="s">
        <v>2065</v>
      </c>
    </row>
    <row r="137" customFormat="false" ht="15" hidden="false" customHeight="false" outlineLevel="0" collapsed="false">
      <c r="A137" s="14" t="s">
        <v>2357</v>
      </c>
      <c r="B137" s="14" t="s">
        <v>347</v>
      </c>
      <c r="C137" s="14" t="s">
        <v>293</v>
      </c>
      <c r="D137" s="28" t="s">
        <v>2358</v>
      </c>
      <c r="E137" s="40" t="s">
        <v>91</v>
      </c>
      <c r="F137" s="31" t="n">
        <f aca="false">WBS!R35</f>
        <v>1</v>
      </c>
      <c r="G137" s="14" t="str">
        <f aca="false">WBS!H35</f>
        <v>P0</v>
      </c>
      <c r="H137" s="14" t="str">
        <f aca="false">WBS!G35</f>
        <v>Must</v>
      </c>
      <c r="I137" s="6" t="s">
        <v>216</v>
      </c>
      <c r="J137" s="14"/>
      <c r="K137" s="6"/>
      <c r="L137" s="41" t="s">
        <v>2065</v>
      </c>
    </row>
    <row r="138" customFormat="false" ht="15" hidden="false" customHeight="false" outlineLevel="0" collapsed="false">
      <c r="A138" s="14" t="s">
        <v>2359</v>
      </c>
      <c r="B138" s="14" t="s">
        <v>347</v>
      </c>
      <c r="C138" s="14" t="s">
        <v>293</v>
      </c>
      <c r="D138" s="28" t="s">
        <v>2360</v>
      </c>
      <c r="E138" s="37" t="s">
        <v>128</v>
      </c>
      <c r="F138" s="31" t="n">
        <f aca="false">WBS!S35</f>
        <v>2</v>
      </c>
      <c r="G138" s="14" t="str">
        <f aca="false">WBS!H35</f>
        <v>P0</v>
      </c>
      <c r="H138" s="14" t="str">
        <f aca="false">WBS!G35</f>
        <v>Must</v>
      </c>
      <c r="I138" s="6" t="s">
        <v>2357</v>
      </c>
      <c r="J138" s="14"/>
      <c r="K138" s="6"/>
      <c r="L138" s="41" t="s">
        <v>2065</v>
      </c>
    </row>
    <row r="139" customFormat="false" ht="15" hidden="false" customHeight="false" outlineLevel="0" collapsed="false">
      <c r="A139" s="14" t="s">
        <v>2361</v>
      </c>
      <c r="B139" s="14" t="s">
        <v>347</v>
      </c>
      <c r="C139" s="14" t="s">
        <v>293</v>
      </c>
      <c r="D139" s="28" t="s">
        <v>2362</v>
      </c>
      <c r="E139" s="42" t="s">
        <v>2068</v>
      </c>
      <c r="F139" s="31" t="n">
        <f aca="false">WBS!P35</f>
        <v>3</v>
      </c>
      <c r="G139" s="14" t="str">
        <f aca="false">WBS!H35</f>
        <v>P0</v>
      </c>
      <c r="H139" s="14" t="str">
        <f aca="false">WBS!G35</f>
        <v>Must</v>
      </c>
      <c r="I139" s="6" t="s">
        <v>2357</v>
      </c>
      <c r="J139" s="14"/>
      <c r="K139" s="6"/>
      <c r="L139" s="41" t="s">
        <v>2065</v>
      </c>
    </row>
    <row r="140" customFormat="false" ht="15" hidden="false" customHeight="false" outlineLevel="0" collapsed="false">
      <c r="A140" s="14" t="s">
        <v>2363</v>
      </c>
      <c r="B140" s="14" t="s">
        <v>347</v>
      </c>
      <c r="C140" s="14" t="s">
        <v>293</v>
      </c>
      <c r="D140" s="28" t="s">
        <v>2364</v>
      </c>
      <c r="E140" s="22" t="s">
        <v>2071</v>
      </c>
      <c r="F140" s="31" t="n">
        <f aca="false">WBS!Q35</f>
        <v>5</v>
      </c>
      <c r="G140" s="14" t="str">
        <f aca="false">WBS!H35</f>
        <v>P0</v>
      </c>
      <c r="H140" s="14" t="str">
        <f aca="false">WBS!G35</f>
        <v>Must</v>
      </c>
      <c r="I140" s="6" t="s">
        <v>2359</v>
      </c>
      <c r="J140" s="14"/>
      <c r="K140" s="6"/>
      <c r="L140" s="41" t="s">
        <v>2065</v>
      </c>
    </row>
    <row r="141" customFormat="false" ht="15" hidden="false" customHeight="false" outlineLevel="0" collapsed="false">
      <c r="A141" s="14" t="s">
        <v>2365</v>
      </c>
      <c r="B141" s="14" t="s">
        <v>347</v>
      </c>
      <c r="C141" s="14" t="s">
        <v>293</v>
      </c>
      <c r="D141" s="28" t="s">
        <v>2366</v>
      </c>
      <c r="E141" s="43" t="s">
        <v>96</v>
      </c>
      <c r="F141" s="31" t="n">
        <f aca="false">WBS!T35</f>
        <v>2.8</v>
      </c>
      <c r="G141" s="14" t="str">
        <f aca="false">WBS!H35</f>
        <v>P0</v>
      </c>
      <c r="H141" s="14" t="str">
        <f aca="false">WBS!G35</f>
        <v>Must</v>
      </c>
      <c r="I141" s="6" t="s">
        <v>2367</v>
      </c>
      <c r="J141" s="14"/>
      <c r="K141" s="6"/>
      <c r="L141" s="41" t="s">
        <v>2065</v>
      </c>
    </row>
    <row r="142" customFormat="false" ht="15" hidden="false" customHeight="false" outlineLevel="0" collapsed="false">
      <c r="A142" s="14" t="s">
        <v>2368</v>
      </c>
      <c r="B142" s="14" t="s">
        <v>352</v>
      </c>
      <c r="C142" s="14" t="s">
        <v>293</v>
      </c>
      <c r="D142" s="28" t="s">
        <v>2369</v>
      </c>
      <c r="E142" s="40" t="s">
        <v>91</v>
      </c>
      <c r="F142" s="31" t="n">
        <f aca="false">WBS!R36</f>
        <v>1</v>
      </c>
      <c r="G142" s="14" t="str">
        <f aca="false">WBS!H36</f>
        <v>P1</v>
      </c>
      <c r="H142" s="14" t="str">
        <f aca="false">WBS!G36</f>
        <v>Must</v>
      </c>
      <c r="I142" s="6" t="s">
        <v>283</v>
      </c>
      <c r="J142" s="14"/>
      <c r="K142" s="6"/>
      <c r="L142" s="41" t="s">
        <v>2065</v>
      </c>
    </row>
    <row r="143" customFormat="false" ht="22.35" hidden="false" customHeight="false" outlineLevel="0" collapsed="false">
      <c r="A143" s="14" t="s">
        <v>2370</v>
      </c>
      <c r="B143" s="14" t="s">
        <v>352</v>
      </c>
      <c r="C143" s="14" t="s">
        <v>293</v>
      </c>
      <c r="D143" s="28" t="s">
        <v>2371</v>
      </c>
      <c r="E143" s="42" t="s">
        <v>2068</v>
      </c>
      <c r="F143" s="31" t="n">
        <f aca="false">WBS!P36</f>
        <v>5</v>
      </c>
      <c r="G143" s="14" t="str">
        <f aca="false">WBS!H36</f>
        <v>P1</v>
      </c>
      <c r="H143" s="14" t="str">
        <f aca="false">WBS!G36</f>
        <v>Must</v>
      </c>
      <c r="I143" s="6" t="s">
        <v>2368</v>
      </c>
      <c r="J143" s="14"/>
      <c r="K143" s="6"/>
      <c r="L143" s="41" t="s">
        <v>2065</v>
      </c>
    </row>
    <row r="144" customFormat="false" ht="15" hidden="false" customHeight="false" outlineLevel="0" collapsed="false">
      <c r="A144" s="14" t="s">
        <v>2372</v>
      </c>
      <c r="B144" s="14" t="s">
        <v>352</v>
      </c>
      <c r="C144" s="14" t="s">
        <v>293</v>
      </c>
      <c r="D144" s="28" t="s">
        <v>2373</v>
      </c>
      <c r="E144" s="22" t="s">
        <v>2071</v>
      </c>
      <c r="F144" s="31" t="n">
        <f aca="false">WBS!Q36</f>
        <v>3</v>
      </c>
      <c r="G144" s="14" t="str">
        <f aca="false">WBS!H36</f>
        <v>P1</v>
      </c>
      <c r="H144" s="14" t="str">
        <f aca="false">WBS!G36</f>
        <v>Must</v>
      </c>
      <c r="I144" s="6" t="s">
        <v>2368</v>
      </c>
      <c r="J144" s="14"/>
      <c r="K144" s="6"/>
      <c r="L144" s="41" t="s">
        <v>2065</v>
      </c>
    </row>
    <row r="145" customFormat="false" ht="15" hidden="false" customHeight="false" outlineLevel="0" collapsed="false">
      <c r="A145" s="14" t="s">
        <v>2374</v>
      </c>
      <c r="B145" s="14" t="s">
        <v>352</v>
      </c>
      <c r="C145" s="14" t="s">
        <v>293</v>
      </c>
      <c r="D145" s="28" t="s">
        <v>2375</v>
      </c>
      <c r="E145" s="43" t="s">
        <v>96</v>
      </c>
      <c r="F145" s="31" t="n">
        <f aca="false">WBS!T36</f>
        <v>2.8</v>
      </c>
      <c r="G145" s="14" t="str">
        <f aca="false">WBS!H36</f>
        <v>P1</v>
      </c>
      <c r="H145" s="14" t="str">
        <f aca="false">WBS!G36</f>
        <v>Must</v>
      </c>
      <c r="I145" s="6" t="s">
        <v>2376</v>
      </c>
      <c r="J145" s="14"/>
      <c r="K145" s="6"/>
      <c r="L145" s="41" t="s">
        <v>2065</v>
      </c>
    </row>
    <row r="146" customFormat="false" ht="15" hidden="false" customHeight="false" outlineLevel="0" collapsed="false">
      <c r="A146" s="14" t="s">
        <v>2377</v>
      </c>
      <c r="B146" s="14" t="s">
        <v>359</v>
      </c>
      <c r="C146" s="14" t="s">
        <v>293</v>
      </c>
      <c r="D146" s="28" t="s">
        <v>2378</v>
      </c>
      <c r="E146" s="40" t="s">
        <v>91</v>
      </c>
      <c r="F146" s="31" t="n">
        <f aca="false">WBS!R37</f>
        <v>1</v>
      </c>
      <c r="G146" s="14" t="str">
        <f aca="false">WBS!H37</f>
        <v>P1</v>
      </c>
      <c r="H146" s="14" t="str">
        <f aca="false">WBS!G37</f>
        <v>Must</v>
      </c>
      <c r="I146" s="6" t="s">
        <v>162</v>
      </c>
      <c r="J146" s="14"/>
      <c r="K146" s="6"/>
      <c r="L146" s="41" t="s">
        <v>2065</v>
      </c>
    </row>
    <row r="147" customFormat="false" ht="22.35" hidden="false" customHeight="false" outlineLevel="0" collapsed="false">
      <c r="A147" s="14" t="s">
        <v>2379</v>
      </c>
      <c r="B147" s="14" t="s">
        <v>359</v>
      </c>
      <c r="C147" s="14" t="s">
        <v>293</v>
      </c>
      <c r="D147" s="28" t="s">
        <v>2380</v>
      </c>
      <c r="E147" s="42" t="s">
        <v>2068</v>
      </c>
      <c r="F147" s="31" t="n">
        <f aca="false">WBS!P37</f>
        <v>5</v>
      </c>
      <c r="G147" s="14" t="str">
        <f aca="false">WBS!H37</f>
        <v>P1</v>
      </c>
      <c r="H147" s="14" t="str">
        <f aca="false">WBS!G37</f>
        <v>Must</v>
      </c>
      <c r="I147" s="6" t="s">
        <v>2377</v>
      </c>
      <c r="J147" s="14"/>
      <c r="K147" s="6"/>
      <c r="L147" s="41" t="s">
        <v>2065</v>
      </c>
    </row>
    <row r="148" customFormat="false" ht="15" hidden="false" customHeight="false" outlineLevel="0" collapsed="false">
      <c r="A148" s="14" t="s">
        <v>2381</v>
      </c>
      <c r="B148" s="14" t="s">
        <v>359</v>
      </c>
      <c r="C148" s="14" t="s">
        <v>293</v>
      </c>
      <c r="D148" s="28" t="s">
        <v>2382</v>
      </c>
      <c r="E148" s="22" t="s">
        <v>2071</v>
      </c>
      <c r="F148" s="31" t="n">
        <f aca="false">WBS!Q37</f>
        <v>3</v>
      </c>
      <c r="G148" s="14" t="str">
        <f aca="false">WBS!H37</f>
        <v>P1</v>
      </c>
      <c r="H148" s="14" t="str">
        <f aca="false">WBS!G37</f>
        <v>Must</v>
      </c>
      <c r="I148" s="6" t="s">
        <v>2377</v>
      </c>
      <c r="J148" s="14"/>
      <c r="K148" s="6"/>
      <c r="L148" s="41" t="s">
        <v>2065</v>
      </c>
    </row>
    <row r="149" customFormat="false" ht="15" hidden="false" customHeight="false" outlineLevel="0" collapsed="false">
      <c r="A149" s="14" t="s">
        <v>2383</v>
      </c>
      <c r="B149" s="14" t="s">
        <v>359</v>
      </c>
      <c r="C149" s="14" t="s">
        <v>293</v>
      </c>
      <c r="D149" s="28" t="s">
        <v>2384</v>
      </c>
      <c r="E149" s="43" t="s">
        <v>96</v>
      </c>
      <c r="F149" s="31" t="n">
        <f aca="false">WBS!T37</f>
        <v>2.8</v>
      </c>
      <c r="G149" s="14" t="str">
        <f aca="false">WBS!H37</f>
        <v>P1</v>
      </c>
      <c r="H149" s="14" t="str">
        <f aca="false">WBS!G37</f>
        <v>Must</v>
      </c>
      <c r="I149" s="6" t="s">
        <v>2385</v>
      </c>
      <c r="J149" s="14"/>
      <c r="K149" s="6"/>
      <c r="L149" s="41" t="s">
        <v>2065</v>
      </c>
    </row>
    <row r="150" customFormat="false" ht="15" hidden="false" customHeight="false" outlineLevel="0" collapsed="false">
      <c r="A150" s="14" t="s">
        <v>2386</v>
      </c>
      <c r="B150" s="14" t="s">
        <v>366</v>
      </c>
      <c r="C150" s="14" t="s">
        <v>293</v>
      </c>
      <c r="D150" s="28" t="s">
        <v>2387</v>
      </c>
      <c r="E150" s="40" t="s">
        <v>91</v>
      </c>
      <c r="F150" s="31" t="n">
        <f aca="false">WBS!R38</f>
        <v>0.7</v>
      </c>
      <c r="G150" s="14" t="str">
        <f aca="false">WBS!H38</f>
        <v>P1</v>
      </c>
      <c r="H150" s="14" t="str">
        <f aca="false">WBS!G38</f>
        <v>Should</v>
      </c>
      <c r="I150" s="6" t="s">
        <v>312</v>
      </c>
      <c r="J150" s="14"/>
      <c r="K150" s="6"/>
      <c r="L150" s="41" t="s">
        <v>2065</v>
      </c>
    </row>
    <row r="151" customFormat="false" ht="15" hidden="false" customHeight="false" outlineLevel="0" collapsed="false">
      <c r="A151" s="14" t="s">
        <v>2388</v>
      </c>
      <c r="B151" s="14" t="s">
        <v>366</v>
      </c>
      <c r="C151" s="14" t="s">
        <v>293</v>
      </c>
      <c r="D151" s="28" t="s">
        <v>2389</v>
      </c>
      <c r="E151" s="42" t="s">
        <v>2068</v>
      </c>
      <c r="F151" s="31" t="n">
        <f aca="false">WBS!P38</f>
        <v>3</v>
      </c>
      <c r="G151" s="14" t="str">
        <f aca="false">WBS!H38</f>
        <v>P1</v>
      </c>
      <c r="H151" s="14" t="str">
        <f aca="false">WBS!G38</f>
        <v>Should</v>
      </c>
      <c r="I151" s="6" t="s">
        <v>2386</v>
      </c>
      <c r="J151" s="14"/>
      <c r="K151" s="6"/>
      <c r="L151" s="41" t="s">
        <v>2065</v>
      </c>
    </row>
    <row r="152" customFormat="false" ht="15" hidden="false" customHeight="false" outlineLevel="0" collapsed="false">
      <c r="A152" s="14" t="s">
        <v>2390</v>
      </c>
      <c r="B152" s="14" t="s">
        <v>366</v>
      </c>
      <c r="C152" s="14" t="s">
        <v>293</v>
      </c>
      <c r="D152" s="28" t="s">
        <v>2391</v>
      </c>
      <c r="E152" s="22" t="s">
        <v>2071</v>
      </c>
      <c r="F152" s="31" t="n">
        <f aca="false">WBS!Q38</f>
        <v>3</v>
      </c>
      <c r="G152" s="14" t="str">
        <f aca="false">WBS!H38</f>
        <v>P1</v>
      </c>
      <c r="H152" s="14" t="str">
        <f aca="false">WBS!G38</f>
        <v>Should</v>
      </c>
      <c r="I152" s="6" t="s">
        <v>2386</v>
      </c>
      <c r="J152" s="14"/>
      <c r="K152" s="6"/>
      <c r="L152" s="41" t="s">
        <v>2065</v>
      </c>
    </row>
    <row r="153" customFormat="false" ht="15" hidden="false" customHeight="false" outlineLevel="0" collapsed="false">
      <c r="A153" s="14" t="s">
        <v>2392</v>
      </c>
      <c r="B153" s="14" t="s">
        <v>366</v>
      </c>
      <c r="C153" s="14" t="s">
        <v>293</v>
      </c>
      <c r="D153" s="28" t="s">
        <v>2393</v>
      </c>
      <c r="E153" s="43" t="s">
        <v>96</v>
      </c>
      <c r="F153" s="31" t="n">
        <f aca="false">WBS!T38</f>
        <v>2.1</v>
      </c>
      <c r="G153" s="14" t="str">
        <f aca="false">WBS!H38</f>
        <v>P1</v>
      </c>
      <c r="H153" s="14" t="str">
        <f aca="false">WBS!G38</f>
        <v>Should</v>
      </c>
      <c r="I153" s="6" t="s">
        <v>2394</v>
      </c>
      <c r="J153" s="14"/>
      <c r="K153" s="6"/>
      <c r="L153" s="41" t="s">
        <v>2065</v>
      </c>
    </row>
    <row r="154" customFormat="false" ht="15" hidden="false" customHeight="false" outlineLevel="0" collapsed="false">
      <c r="A154" s="14" t="s">
        <v>2395</v>
      </c>
      <c r="B154" s="14" t="s">
        <v>374</v>
      </c>
      <c r="C154" s="14" t="s">
        <v>293</v>
      </c>
      <c r="D154" s="28" t="s">
        <v>2396</v>
      </c>
      <c r="E154" s="40" t="s">
        <v>91</v>
      </c>
      <c r="F154" s="31" t="n">
        <f aca="false">WBS!R39</f>
        <v>0.7</v>
      </c>
      <c r="G154" s="14" t="str">
        <f aca="false">WBS!H39</f>
        <v>P1</v>
      </c>
      <c r="H154" s="14" t="str">
        <f aca="false">WBS!G39</f>
        <v>Should</v>
      </c>
      <c r="I154" s="6" t="s">
        <v>312</v>
      </c>
      <c r="J154" s="14"/>
      <c r="K154" s="6"/>
      <c r="L154" s="41" t="s">
        <v>2065</v>
      </c>
    </row>
    <row r="155" customFormat="false" ht="15" hidden="false" customHeight="false" outlineLevel="0" collapsed="false">
      <c r="A155" s="14" t="s">
        <v>2397</v>
      </c>
      <c r="B155" s="14" t="s">
        <v>374</v>
      </c>
      <c r="C155" s="14" t="s">
        <v>293</v>
      </c>
      <c r="D155" s="28" t="s">
        <v>2398</v>
      </c>
      <c r="E155" s="42" t="s">
        <v>2068</v>
      </c>
      <c r="F155" s="31" t="n">
        <f aca="false">WBS!P39</f>
        <v>3</v>
      </c>
      <c r="G155" s="14" t="str">
        <f aca="false">WBS!H39</f>
        <v>P1</v>
      </c>
      <c r="H155" s="14" t="str">
        <f aca="false">WBS!G39</f>
        <v>Should</v>
      </c>
      <c r="I155" s="6" t="s">
        <v>2395</v>
      </c>
      <c r="J155" s="14"/>
      <c r="K155" s="6"/>
      <c r="L155" s="41" t="s">
        <v>2065</v>
      </c>
    </row>
    <row r="156" customFormat="false" ht="15" hidden="false" customHeight="false" outlineLevel="0" collapsed="false">
      <c r="A156" s="14" t="s">
        <v>2399</v>
      </c>
      <c r="B156" s="14" t="s">
        <v>374</v>
      </c>
      <c r="C156" s="14" t="s">
        <v>293</v>
      </c>
      <c r="D156" s="28" t="s">
        <v>2400</v>
      </c>
      <c r="E156" s="22" t="s">
        <v>2071</v>
      </c>
      <c r="F156" s="31" t="n">
        <f aca="false">WBS!Q39</f>
        <v>3</v>
      </c>
      <c r="G156" s="14" t="str">
        <f aca="false">WBS!H39</f>
        <v>P1</v>
      </c>
      <c r="H156" s="14" t="str">
        <f aca="false">WBS!G39</f>
        <v>Should</v>
      </c>
      <c r="I156" s="6" t="s">
        <v>2395</v>
      </c>
      <c r="J156" s="14"/>
      <c r="K156" s="6"/>
      <c r="L156" s="41" t="s">
        <v>2065</v>
      </c>
    </row>
    <row r="157" customFormat="false" ht="15" hidden="false" customHeight="false" outlineLevel="0" collapsed="false">
      <c r="A157" s="14" t="s">
        <v>2401</v>
      </c>
      <c r="B157" s="14" t="s">
        <v>374</v>
      </c>
      <c r="C157" s="14" t="s">
        <v>293</v>
      </c>
      <c r="D157" s="28" t="s">
        <v>2402</v>
      </c>
      <c r="E157" s="43" t="s">
        <v>96</v>
      </c>
      <c r="F157" s="31" t="n">
        <f aca="false">WBS!T39</f>
        <v>2.1</v>
      </c>
      <c r="G157" s="14" t="str">
        <f aca="false">WBS!H39</f>
        <v>P1</v>
      </c>
      <c r="H157" s="14" t="str">
        <f aca="false">WBS!G39</f>
        <v>Should</v>
      </c>
      <c r="I157" s="6" t="s">
        <v>2403</v>
      </c>
      <c r="J157" s="14"/>
      <c r="K157" s="6"/>
      <c r="L157" s="41" t="s">
        <v>2065</v>
      </c>
    </row>
    <row r="158" customFormat="false" ht="15" hidden="false" customHeight="false" outlineLevel="0" collapsed="false">
      <c r="A158" s="14" t="s">
        <v>2404</v>
      </c>
      <c r="B158" s="14" t="s">
        <v>380</v>
      </c>
      <c r="C158" s="14" t="s">
        <v>293</v>
      </c>
      <c r="D158" s="28" t="s">
        <v>2405</v>
      </c>
      <c r="E158" s="40" t="s">
        <v>91</v>
      </c>
      <c r="F158" s="31" t="n">
        <f aca="false">WBS!R40</f>
        <v>1</v>
      </c>
      <c r="G158" s="14" t="str">
        <f aca="false">WBS!H40</f>
        <v>P1</v>
      </c>
      <c r="H158" s="14" t="str">
        <f aca="false">WBS!G40</f>
        <v>Should</v>
      </c>
      <c r="I158" s="6" t="s">
        <v>292</v>
      </c>
      <c r="J158" s="14"/>
      <c r="K158" s="6"/>
      <c r="L158" s="41" t="s">
        <v>2065</v>
      </c>
    </row>
    <row r="159" customFormat="false" ht="22.35" hidden="false" customHeight="false" outlineLevel="0" collapsed="false">
      <c r="A159" s="14" t="s">
        <v>2406</v>
      </c>
      <c r="B159" s="14" t="s">
        <v>380</v>
      </c>
      <c r="C159" s="14" t="s">
        <v>293</v>
      </c>
      <c r="D159" s="28" t="s">
        <v>2407</v>
      </c>
      <c r="E159" s="42" t="s">
        <v>2068</v>
      </c>
      <c r="F159" s="31" t="n">
        <f aca="false">WBS!P40</f>
        <v>5</v>
      </c>
      <c r="G159" s="14" t="str">
        <f aca="false">WBS!H40</f>
        <v>P1</v>
      </c>
      <c r="H159" s="14" t="str">
        <f aca="false">WBS!G40</f>
        <v>Should</v>
      </c>
      <c r="I159" s="6" t="s">
        <v>2404</v>
      </c>
      <c r="J159" s="14"/>
      <c r="K159" s="6"/>
      <c r="L159" s="41" t="s">
        <v>2065</v>
      </c>
    </row>
    <row r="160" customFormat="false" ht="15" hidden="false" customHeight="false" outlineLevel="0" collapsed="false">
      <c r="A160" s="14" t="s">
        <v>2408</v>
      </c>
      <c r="B160" s="14" t="s">
        <v>380</v>
      </c>
      <c r="C160" s="14" t="s">
        <v>293</v>
      </c>
      <c r="D160" s="28" t="s">
        <v>2409</v>
      </c>
      <c r="E160" s="22" t="s">
        <v>2071</v>
      </c>
      <c r="F160" s="31" t="n">
        <f aca="false">WBS!Q40</f>
        <v>3</v>
      </c>
      <c r="G160" s="14" t="str">
        <f aca="false">WBS!H40</f>
        <v>P1</v>
      </c>
      <c r="H160" s="14" t="str">
        <f aca="false">WBS!G40</f>
        <v>Should</v>
      </c>
      <c r="I160" s="6" t="s">
        <v>2404</v>
      </c>
      <c r="J160" s="14"/>
      <c r="K160" s="6"/>
      <c r="L160" s="41" t="s">
        <v>2065</v>
      </c>
    </row>
    <row r="161" customFormat="false" ht="15" hidden="false" customHeight="false" outlineLevel="0" collapsed="false">
      <c r="A161" s="14" t="s">
        <v>2410</v>
      </c>
      <c r="B161" s="14" t="s">
        <v>380</v>
      </c>
      <c r="C161" s="14" t="s">
        <v>293</v>
      </c>
      <c r="D161" s="28" t="s">
        <v>2411</v>
      </c>
      <c r="E161" s="43" t="s">
        <v>96</v>
      </c>
      <c r="F161" s="31" t="n">
        <f aca="false">WBS!T40</f>
        <v>2.8</v>
      </c>
      <c r="G161" s="14" t="str">
        <f aca="false">WBS!H40</f>
        <v>P1</v>
      </c>
      <c r="H161" s="14" t="str">
        <f aca="false">WBS!G40</f>
        <v>Should</v>
      </c>
      <c r="I161" s="6" t="s">
        <v>2412</v>
      </c>
      <c r="J161" s="14"/>
      <c r="K161" s="6"/>
      <c r="L161" s="41" t="s">
        <v>2065</v>
      </c>
    </row>
    <row r="162" customFormat="false" ht="15" hidden="false" customHeight="false" outlineLevel="0" collapsed="false">
      <c r="A162" s="14" t="s">
        <v>2413</v>
      </c>
      <c r="B162" s="14" t="s">
        <v>388</v>
      </c>
      <c r="C162" s="14" t="s">
        <v>293</v>
      </c>
      <c r="D162" s="28" t="s">
        <v>2414</v>
      </c>
      <c r="E162" s="40" t="s">
        <v>91</v>
      </c>
      <c r="F162" s="31" t="n">
        <f aca="false">WBS!R41</f>
        <v>1</v>
      </c>
      <c r="G162" s="14" t="str">
        <f aca="false">WBS!H41</f>
        <v>P1</v>
      </c>
      <c r="H162" s="14" t="str">
        <f aca="false">WBS!G41</f>
        <v>Should</v>
      </c>
      <c r="I162" s="6" t="s">
        <v>395</v>
      </c>
      <c r="J162" s="14"/>
      <c r="K162" s="6"/>
      <c r="L162" s="41" t="s">
        <v>2065</v>
      </c>
    </row>
    <row r="163" customFormat="false" ht="22.35" hidden="false" customHeight="false" outlineLevel="0" collapsed="false">
      <c r="A163" s="14" t="s">
        <v>2415</v>
      </c>
      <c r="B163" s="14" t="s">
        <v>388</v>
      </c>
      <c r="C163" s="14" t="s">
        <v>293</v>
      </c>
      <c r="D163" s="28" t="s">
        <v>2416</v>
      </c>
      <c r="E163" s="42" t="s">
        <v>2068</v>
      </c>
      <c r="F163" s="31" t="n">
        <f aca="false">WBS!P41</f>
        <v>5</v>
      </c>
      <c r="G163" s="14" t="str">
        <f aca="false">WBS!H41</f>
        <v>P1</v>
      </c>
      <c r="H163" s="14" t="str">
        <f aca="false">WBS!G41</f>
        <v>Should</v>
      </c>
      <c r="I163" s="6" t="s">
        <v>2413</v>
      </c>
      <c r="J163" s="14"/>
      <c r="K163" s="6"/>
      <c r="L163" s="41" t="s">
        <v>2065</v>
      </c>
    </row>
    <row r="164" customFormat="false" ht="15" hidden="false" customHeight="false" outlineLevel="0" collapsed="false">
      <c r="A164" s="14" t="s">
        <v>2417</v>
      </c>
      <c r="B164" s="14" t="s">
        <v>388</v>
      </c>
      <c r="C164" s="14" t="s">
        <v>293</v>
      </c>
      <c r="D164" s="28" t="s">
        <v>2418</v>
      </c>
      <c r="E164" s="22" t="s">
        <v>2071</v>
      </c>
      <c r="F164" s="31" t="n">
        <f aca="false">WBS!Q41</f>
        <v>3</v>
      </c>
      <c r="G164" s="14" t="str">
        <f aca="false">WBS!H41</f>
        <v>P1</v>
      </c>
      <c r="H164" s="14" t="str">
        <f aca="false">WBS!G41</f>
        <v>Should</v>
      </c>
      <c r="I164" s="6" t="s">
        <v>2413</v>
      </c>
      <c r="J164" s="14"/>
      <c r="K164" s="6"/>
      <c r="L164" s="41" t="s">
        <v>2065</v>
      </c>
    </row>
    <row r="165" customFormat="false" ht="15" hidden="false" customHeight="false" outlineLevel="0" collapsed="false">
      <c r="A165" s="14" t="s">
        <v>2419</v>
      </c>
      <c r="B165" s="14" t="s">
        <v>388</v>
      </c>
      <c r="C165" s="14" t="s">
        <v>293</v>
      </c>
      <c r="D165" s="28" t="s">
        <v>2420</v>
      </c>
      <c r="E165" s="43" t="s">
        <v>96</v>
      </c>
      <c r="F165" s="31" t="n">
        <f aca="false">WBS!T41</f>
        <v>2.8</v>
      </c>
      <c r="G165" s="14" t="str">
        <f aca="false">WBS!H41</f>
        <v>P1</v>
      </c>
      <c r="H165" s="14" t="str">
        <f aca="false">WBS!G41</f>
        <v>Should</v>
      </c>
      <c r="I165" s="6" t="s">
        <v>2421</v>
      </c>
      <c r="J165" s="14"/>
      <c r="K165" s="6"/>
      <c r="L165" s="41" t="s">
        <v>2065</v>
      </c>
    </row>
    <row r="166" customFormat="false" ht="15" hidden="false" customHeight="false" outlineLevel="0" collapsed="false">
      <c r="A166" s="14" t="s">
        <v>2422</v>
      </c>
      <c r="B166" s="14" t="s">
        <v>398</v>
      </c>
      <c r="C166" s="14" t="s">
        <v>293</v>
      </c>
      <c r="D166" s="28" t="s">
        <v>2423</v>
      </c>
      <c r="E166" s="40" t="s">
        <v>91</v>
      </c>
      <c r="F166" s="31" t="n">
        <f aca="false">WBS!R42</f>
        <v>0.7</v>
      </c>
      <c r="G166" s="14" t="str">
        <f aca="false">WBS!H42</f>
        <v>P3</v>
      </c>
      <c r="H166" s="14" t="str">
        <f aca="false">WBS!G42</f>
        <v>Should</v>
      </c>
      <c r="I166" s="6" t="s">
        <v>192</v>
      </c>
      <c r="J166" s="14"/>
      <c r="K166" s="6"/>
      <c r="L166" s="41" t="s">
        <v>2065</v>
      </c>
    </row>
    <row r="167" customFormat="false" ht="15" hidden="false" customHeight="false" outlineLevel="0" collapsed="false">
      <c r="A167" s="14" t="s">
        <v>2424</v>
      </c>
      <c r="B167" s="14" t="s">
        <v>398</v>
      </c>
      <c r="C167" s="14" t="s">
        <v>293</v>
      </c>
      <c r="D167" s="28" t="s">
        <v>2425</v>
      </c>
      <c r="E167" s="42" t="s">
        <v>2068</v>
      </c>
      <c r="F167" s="31" t="n">
        <f aca="false">WBS!P42</f>
        <v>3</v>
      </c>
      <c r="G167" s="14" t="str">
        <f aca="false">WBS!H42</f>
        <v>P3</v>
      </c>
      <c r="H167" s="14" t="str">
        <f aca="false">WBS!G42</f>
        <v>Should</v>
      </c>
      <c r="I167" s="6" t="s">
        <v>2422</v>
      </c>
      <c r="J167" s="14"/>
      <c r="K167" s="6"/>
      <c r="L167" s="41" t="s">
        <v>2065</v>
      </c>
    </row>
    <row r="168" customFormat="false" ht="15" hidden="false" customHeight="false" outlineLevel="0" collapsed="false">
      <c r="A168" s="14" t="s">
        <v>2426</v>
      </c>
      <c r="B168" s="14" t="s">
        <v>398</v>
      </c>
      <c r="C168" s="14" t="s">
        <v>293</v>
      </c>
      <c r="D168" s="28" t="s">
        <v>2427</v>
      </c>
      <c r="E168" s="22" t="s">
        <v>2071</v>
      </c>
      <c r="F168" s="31" t="n">
        <f aca="false">WBS!Q42</f>
        <v>3</v>
      </c>
      <c r="G168" s="14" t="str">
        <f aca="false">WBS!H42</f>
        <v>P3</v>
      </c>
      <c r="H168" s="14" t="str">
        <f aca="false">WBS!G42</f>
        <v>Should</v>
      </c>
      <c r="I168" s="6" t="s">
        <v>2422</v>
      </c>
      <c r="J168" s="14"/>
      <c r="K168" s="6"/>
      <c r="L168" s="41" t="s">
        <v>2065</v>
      </c>
    </row>
    <row r="169" customFormat="false" ht="15" hidden="false" customHeight="false" outlineLevel="0" collapsed="false">
      <c r="A169" s="14" t="s">
        <v>2428</v>
      </c>
      <c r="B169" s="14" t="s">
        <v>398</v>
      </c>
      <c r="C169" s="14" t="s">
        <v>293</v>
      </c>
      <c r="D169" s="28" t="s">
        <v>2429</v>
      </c>
      <c r="E169" s="43" t="s">
        <v>96</v>
      </c>
      <c r="F169" s="31" t="n">
        <f aca="false">WBS!T42</f>
        <v>2.1</v>
      </c>
      <c r="G169" s="14" t="str">
        <f aca="false">WBS!H42</f>
        <v>P3</v>
      </c>
      <c r="H169" s="14" t="str">
        <f aca="false">WBS!G42</f>
        <v>Should</v>
      </c>
      <c r="I169" s="6" t="s">
        <v>2430</v>
      </c>
      <c r="J169" s="14"/>
      <c r="K169" s="6"/>
      <c r="L169" s="41" t="s">
        <v>2065</v>
      </c>
    </row>
    <row r="170" customFormat="false" ht="15" hidden="false" customHeight="false" outlineLevel="0" collapsed="false">
      <c r="A170" s="14" t="s">
        <v>2431</v>
      </c>
      <c r="B170" s="14" t="s">
        <v>404</v>
      </c>
      <c r="C170" s="14" t="s">
        <v>293</v>
      </c>
      <c r="D170" s="28" t="s">
        <v>2432</v>
      </c>
      <c r="E170" s="40" t="s">
        <v>91</v>
      </c>
      <c r="F170" s="31" t="n">
        <f aca="false">WBS!R43</f>
        <v>0.7</v>
      </c>
      <c r="G170" s="14" t="str">
        <f aca="false">WBS!H43</f>
        <v>P3</v>
      </c>
      <c r="H170" s="14" t="str">
        <f aca="false">WBS!G43</f>
        <v>Should</v>
      </c>
      <c r="I170" s="6" t="s">
        <v>283</v>
      </c>
      <c r="J170" s="14"/>
      <c r="K170" s="6"/>
      <c r="L170" s="41" t="s">
        <v>2065</v>
      </c>
    </row>
    <row r="171" customFormat="false" ht="22.35" hidden="false" customHeight="false" outlineLevel="0" collapsed="false">
      <c r="A171" s="14" t="s">
        <v>2433</v>
      </c>
      <c r="B171" s="14" t="s">
        <v>404</v>
      </c>
      <c r="C171" s="14" t="s">
        <v>293</v>
      </c>
      <c r="D171" s="28" t="s">
        <v>2434</v>
      </c>
      <c r="E171" s="42" t="s">
        <v>2068</v>
      </c>
      <c r="F171" s="31" t="n">
        <f aca="false">WBS!P43</f>
        <v>3</v>
      </c>
      <c r="G171" s="14" t="str">
        <f aca="false">WBS!H43</f>
        <v>P3</v>
      </c>
      <c r="H171" s="14" t="str">
        <f aca="false">WBS!G43</f>
        <v>Should</v>
      </c>
      <c r="I171" s="6" t="s">
        <v>2431</v>
      </c>
      <c r="J171" s="14"/>
      <c r="K171" s="6"/>
      <c r="L171" s="41" t="s">
        <v>2065</v>
      </c>
    </row>
    <row r="172" customFormat="false" ht="15" hidden="false" customHeight="false" outlineLevel="0" collapsed="false">
      <c r="A172" s="14" t="s">
        <v>2435</v>
      </c>
      <c r="B172" s="14" t="s">
        <v>404</v>
      </c>
      <c r="C172" s="14" t="s">
        <v>293</v>
      </c>
      <c r="D172" s="28" t="s">
        <v>2436</v>
      </c>
      <c r="E172" s="22" t="s">
        <v>2071</v>
      </c>
      <c r="F172" s="31" t="n">
        <f aca="false">WBS!Q43</f>
        <v>3</v>
      </c>
      <c r="G172" s="14" t="str">
        <f aca="false">WBS!H43</f>
        <v>P3</v>
      </c>
      <c r="H172" s="14" t="str">
        <f aca="false">WBS!G43</f>
        <v>Should</v>
      </c>
      <c r="I172" s="6" t="s">
        <v>2431</v>
      </c>
      <c r="J172" s="14"/>
      <c r="K172" s="6"/>
      <c r="L172" s="41" t="s">
        <v>2065</v>
      </c>
    </row>
    <row r="173" customFormat="false" ht="15" hidden="false" customHeight="false" outlineLevel="0" collapsed="false">
      <c r="A173" s="14" t="s">
        <v>2437</v>
      </c>
      <c r="B173" s="14" t="s">
        <v>404</v>
      </c>
      <c r="C173" s="14" t="s">
        <v>293</v>
      </c>
      <c r="D173" s="28" t="s">
        <v>2438</v>
      </c>
      <c r="E173" s="43" t="s">
        <v>96</v>
      </c>
      <c r="F173" s="31" t="n">
        <f aca="false">WBS!T43</f>
        <v>2.1</v>
      </c>
      <c r="G173" s="14" t="str">
        <f aca="false">WBS!H43</f>
        <v>P3</v>
      </c>
      <c r="H173" s="14" t="str">
        <f aca="false">WBS!G43</f>
        <v>Should</v>
      </c>
      <c r="I173" s="6" t="s">
        <v>2439</v>
      </c>
      <c r="J173" s="14"/>
      <c r="K173" s="6"/>
      <c r="L173" s="41" t="s">
        <v>2065</v>
      </c>
    </row>
    <row r="174" customFormat="false" ht="15" hidden="false" customHeight="false" outlineLevel="0" collapsed="false">
      <c r="A174" s="14" t="s">
        <v>2440</v>
      </c>
      <c r="B174" s="14" t="s">
        <v>410</v>
      </c>
      <c r="C174" s="14" t="s">
        <v>293</v>
      </c>
      <c r="D174" s="28" t="s">
        <v>2441</v>
      </c>
      <c r="E174" s="40" t="s">
        <v>91</v>
      </c>
      <c r="F174" s="31" t="n">
        <f aca="false">WBS!R44</f>
        <v>0.7</v>
      </c>
      <c r="G174" s="14" t="str">
        <f aca="false">WBS!H44</f>
        <v>P3</v>
      </c>
      <c r="H174" s="14" t="str">
        <f aca="false">WBS!G44</f>
        <v>Should</v>
      </c>
      <c r="I174" s="6" t="s">
        <v>292</v>
      </c>
      <c r="J174" s="14"/>
      <c r="K174" s="6"/>
      <c r="L174" s="41" t="s">
        <v>2065</v>
      </c>
    </row>
    <row r="175" customFormat="false" ht="22.35" hidden="false" customHeight="false" outlineLevel="0" collapsed="false">
      <c r="A175" s="14" t="s">
        <v>2442</v>
      </c>
      <c r="B175" s="14" t="s">
        <v>410</v>
      </c>
      <c r="C175" s="14" t="s">
        <v>293</v>
      </c>
      <c r="D175" s="28" t="s">
        <v>2443</v>
      </c>
      <c r="E175" s="42" t="s">
        <v>2068</v>
      </c>
      <c r="F175" s="31" t="n">
        <f aca="false">WBS!P44</f>
        <v>3</v>
      </c>
      <c r="G175" s="14" t="str">
        <f aca="false">WBS!H44</f>
        <v>P3</v>
      </c>
      <c r="H175" s="14" t="str">
        <f aca="false">WBS!G44</f>
        <v>Should</v>
      </c>
      <c r="I175" s="6" t="s">
        <v>2440</v>
      </c>
      <c r="J175" s="14"/>
      <c r="K175" s="6"/>
      <c r="L175" s="41" t="s">
        <v>2065</v>
      </c>
    </row>
    <row r="176" customFormat="false" ht="15" hidden="false" customHeight="false" outlineLevel="0" collapsed="false">
      <c r="A176" s="14" t="s">
        <v>2444</v>
      </c>
      <c r="B176" s="14" t="s">
        <v>410</v>
      </c>
      <c r="C176" s="14" t="s">
        <v>293</v>
      </c>
      <c r="D176" s="28" t="s">
        <v>2445</v>
      </c>
      <c r="E176" s="22" t="s">
        <v>2071</v>
      </c>
      <c r="F176" s="31" t="n">
        <f aca="false">WBS!Q44</f>
        <v>3</v>
      </c>
      <c r="G176" s="14" t="str">
        <f aca="false">WBS!H44</f>
        <v>P3</v>
      </c>
      <c r="H176" s="14" t="str">
        <f aca="false">WBS!G44</f>
        <v>Should</v>
      </c>
      <c r="I176" s="6" t="s">
        <v>2440</v>
      </c>
      <c r="J176" s="14"/>
      <c r="K176" s="6"/>
      <c r="L176" s="41" t="s">
        <v>2065</v>
      </c>
    </row>
    <row r="177" customFormat="false" ht="15" hidden="false" customHeight="false" outlineLevel="0" collapsed="false">
      <c r="A177" s="14" t="s">
        <v>2446</v>
      </c>
      <c r="B177" s="14" t="s">
        <v>410</v>
      </c>
      <c r="C177" s="14" t="s">
        <v>293</v>
      </c>
      <c r="D177" s="28" t="s">
        <v>2447</v>
      </c>
      <c r="E177" s="43" t="s">
        <v>96</v>
      </c>
      <c r="F177" s="31" t="n">
        <f aca="false">WBS!T44</f>
        <v>2.1</v>
      </c>
      <c r="G177" s="14" t="str">
        <f aca="false">WBS!H44</f>
        <v>P3</v>
      </c>
      <c r="H177" s="14" t="str">
        <f aca="false">WBS!G44</f>
        <v>Should</v>
      </c>
      <c r="I177" s="6" t="s">
        <v>2448</v>
      </c>
      <c r="J177" s="14"/>
      <c r="K177" s="6"/>
      <c r="L177" s="41" t="s">
        <v>2065</v>
      </c>
    </row>
    <row r="178" customFormat="false" ht="15" hidden="false" customHeight="false" outlineLevel="0" collapsed="false">
      <c r="A178" s="14" t="s">
        <v>2449</v>
      </c>
      <c r="B178" s="14" t="s">
        <v>416</v>
      </c>
      <c r="C178" s="14" t="s">
        <v>293</v>
      </c>
      <c r="D178" s="28" t="s">
        <v>2450</v>
      </c>
      <c r="E178" s="40" t="s">
        <v>91</v>
      </c>
      <c r="F178" s="31" t="n">
        <f aca="false">WBS!R45</f>
        <v>0.6</v>
      </c>
      <c r="G178" s="14" t="str">
        <f aca="false">WBS!H45</f>
        <v>P3</v>
      </c>
      <c r="H178" s="14" t="str">
        <f aca="false">WBS!G45</f>
        <v>Should</v>
      </c>
      <c r="I178" s="6" t="s">
        <v>380</v>
      </c>
      <c r="J178" s="14"/>
      <c r="K178" s="6"/>
      <c r="L178" s="41" t="s">
        <v>2065</v>
      </c>
    </row>
    <row r="179" customFormat="false" ht="22.35" hidden="false" customHeight="false" outlineLevel="0" collapsed="false">
      <c r="A179" s="14" t="s">
        <v>2451</v>
      </c>
      <c r="B179" s="14" t="s">
        <v>416</v>
      </c>
      <c r="C179" s="14" t="s">
        <v>293</v>
      </c>
      <c r="D179" s="28" t="s">
        <v>2452</v>
      </c>
      <c r="E179" s="42" t="s">
        <v>2068</v>
      </c>
      <c r="F179" s="31" t="n">
        <f aca="false">WBS!P45</f>
        <v>5</v>
      </c>
      <c r="G179" s="14" t="str">
        <f aca="false">WBS!H45</f>
        <v>P3</v>
      </c>
      <c r="H179" s="14" t="str">
        <f aca="false">WBS!G45</f>
        <v>Should</v>
      </c>
      <c r="I179" s="6" t="s">
        <v>2449</v>
      </c>
      <c r="J179" s="14"/>
      <c r="K179" s="6"/>
      <c r="L179" s="41" t="s">
        <v>2065</v>
      </c>
    </row>
    <row r="180" customFormat="false" ht="15" hidden="false" customHeight="false" outlineLevel="0" collapsed="false">
      <c r="A180" s="14" t="s">
        <v>2453</v>
      </c>
      <c r="B180" s="14" t="s">
        <v>416</v>
      </c>
      <c r="C180" s="14" t="s">
        <v>293</v>
      </c>
      <c r="D180" s="28" t="s">
        <v>2454</v>
      </c>
      <c r="E180" s="43" t="s">
        <v>96</v>
      </c>
      <c r="F180" s="31" t="n">
        <f aca="false">WBS!T45</f>
        <v>1.8</v>
      </c>
      <c r="G180" s="14" t="str">
        <f aca="false">WBS!H45</f>
        <v>P3</v>
      </c>
      <c r="H180" s="14" t="str">
        <f aca="false">WBS!G45</f>
        <v>Should</v>
      </c>
      <c r="I180" s="6" t="s">
        <v>2451</v>
      </c>
      <c r="J180" s="14"/>
      <c r="K180" s="6"/>
      <c r="L180" s="41" t="s">
        <v>2065</v>
      </c>
    </row>
    <row r="181" customFormat="false" ht="15" hidden="false" customHeight="false" outlineLevel="0" collapsed="false">
      <c r="A181" s="14" t="s">
        <v>2455</v>
      </c>
      <c r="B181" s="14" t="s">
        <v>422</v>
      </c>
      <c r="C181" s="14" t="s">
        <v>293</v>
      </c>
      <c r="D181" s="28" t="s">
        <v>2456</v>
      </c>
      <c r="E181" s="40" t="s">
        <v>91</v>
      </c>
      <c r="F181" s="31" t="n">
        <f aca="false">WBS!R46</f>
        <v>1.2</v>
      </c>
      <c r="G181" s="14" t="str">
        <f aca="false">WBS!H46</f>
        <v>P3</v>
      </c>
      <c r="H181" s="14" t="str">
        <f aca="false">WBS!G46</f>
        <v>Should</v>
      </c>
      <c r="I181" s="6" t="s">
        <v>428</v>
      </c>
      <c r="J181" s="14"/>
      <c r="K181" s="6"/>
      <c r="L181" s="41" t="s">
        <v>2065</v>
      </c>
    </row>
    <row r="182" customFormat="false" ht="15" hidden="false" customHeight="false" outlineLevel="0" collapsed="false">
      <c r="A182" s="14" t="s">
        <v>2457</v>
      </c>
      <c r="B182" s="14" t="s">
        <v>422</v>
      </c>
      <c r="C182" s="14" t="s">
        <v>293</v>
      </c>
      <c r="D182" s="28" t="s">
        <v>2458</v>
      </c>
      <c r="E182" s="37" t="s">
        <v>128</v>
      </c>
      <c r="F182" s="31" t="n">
        <f aca="false">WBS!S46</f>
        <v>2</v>
      </c>
      <c r="G182" s="14" t="str">
        <f aca="false">WBS!H46</f>
        <v>P3</v>
      </c>
      <c r="H182" s="14" t="str">
        <f aca="false">WBS!G46</f>
        <v>Should</v>
      </c>
      <c r="I182" s="6" t="s">
        <v>2455</v>
      </c>
      <c r="J182" s="14"/>
      <c r="K182" s="6"/>
      <c r="L182" s="41" t="s">
        <v>2065</v>
      </c>
    </row>
    <row r="183" customFormat="false" ht="15" hidden="false" customHeight="false" outlineLevel="0" collapsed="false">
      <c r="A183" s="14" t="s">
        <v>2459</v>
      </c>
      <c r="B183" s="14" t="s">
        <v>422</v>
      </c>
      <c r="C183" s="14" t="s">
        <v>293</v>
      </c>
      <c r="D183" s="28" t="s">
        <v>2460</v>
      </c>
      <c r="E183" s="42" t="s">
        <v>2068</v>
      </c>
      <c r="F183" s="31" t="n">
        <f aca="false">WBS!P46</f>
        <v>5</v>
      </c>
      <c r="G183" s="14" t="str">
        <f aca="false">WBS!H46</f>
        <v>P3</v>
      </c>
      <c r="H183" s="14" t="str">
        <f aca="false">WBS!G46</f>
        <v>Should</v>
      </c>
      <c r="I183" s="6" t="s">
        <v>2455</v>
      </c>
      <c r="J183" s="14"/>
      <c r="K183" s="6"/>
      <c r="L183" s="41" t="s">
        <v>2065</v>
      </c>
    </row>
    <row r="184" customFormat="false" ht="15" hidden="false" customHeight="false" outlineLevel="0" collapsed="false">
      <c r="A184" s="14" t="s">
        <v>2461</v>
      </c>
      <c r="B184" s="14" t="s">
        <v>422</v>
      </c>
      <c r="C184" s="14" t="s">
        <v>293</v>
      </c>
      <c r="D184" s="28" t="s">
        <v>2462</v>
      </c>
      <c r="E184" s="22" t="s">
        <v>2071</v>
      </c>
      <c r="F184" s="31" t="n">
        <f aca="false">WBS!Q46</f>
        <v>5</v>
      </c>
      <c r="G184" s="14" t="str">
        <f aca="false">WBS!H46</f>
        <v>P3</v>
      </c>
      <c r="H184" s="14" t="str">
        <f aca="false">WBS!G46</f>
        <v>Should</v>
      </c>
      <c r="I184" s="6" t="s">
        <v>2457</v>
      </c>
      <c r="J184" s="14"/>
      <c r="K184" s="6"/>
      <c r="L184" s="41" t="s">
        <v>2065</v>
      </c>
    </row>
    <row r="185" customFormat="false" ht="15" hidden="false" customHeight="false" outlineLevel="0" collapsed="false">
      <c r="A185" s="14" t="s">
        <v>2463</v>
      </c>
      <c r="B185" s="14" t="s">
        <v>422</v>
      </c>
      <c r="C185" s="14" t="s">
        <v>293</v>
      </c>
      <c r="D185" s="28" t="s">
        <v>2464</v>
      </c>
      <c r="E185" s="43" t="s">
        <v>96</v>
      </c>
      <c r="F185" s="31" t="n">
        <f aca="false">WBS!T46</f>
        <v>3.5</v>
      </c>
      <c r="G185" s="14" t="str">
        <f aca="false">WBS!H46</f>
        <v>P3</v>
      </c>
      <c r="H185" s="14" t="str">
        <f aca="false">WBS!G46</f>
        <v>Should</v>
      </c>
      <c r="I185" s="6" t="s">
        <v>2465</v>
      </c>
      <c r="J185" s="14"/>
      <c r="K185" s="6"/>
      <c r="L185" s="41" t="s">
        <v>2065</v>
      </c>
    </row>
    <row r="186" customFormat="false" ht="15" hidden="false" customHeight="false" outlineLevel="0" collapsed="false">
      <c r="A186" s="14" t="s">
        <v>2466</v>
      </c>
      <c r="B186" s="14" t="s">
        <v>429</v>
      </c>
      <c r="C186" s="14" t="s">
        <v>293</v>
      </c>
      <c r="D186" s="28" t="s">
        <v>2467</v>
      </c>
      <c r="E186" s="40" t="s">
        <v>91</v>
      </c>
      <c r="F186" s="31" t="n">
        <f aca="false">WBS!R47</f>
        <v>0.7</v>
      </c>
      <c r="G186" s="14" t="str">
        <f aca="false">WBS!H47</f>
        <v>P4</v>
      </c>
      <c r="H186" s="14" t="str">
        <f aca="false">WBS!G47</f>
        <v>Nice-to-have</v>
      </c>
      <c r="I186" s="6" t="s">
        <v>321</v>
      </c>
      <c r="J186" s="14"/>
      <c r="K186" s="6"/>
      <c r="L186" s="41" t="s">
        <v>2065</v>
      </c>
    </row>
    <row r="187" customFormat="false" ht="15" hidden="false" customHeight="false" outlineLevel="0" collapsed="false">
      <c r="A187" s="14" t="s">
        <v>2468</v>
      </c>
      <c r="B187" s="14" t="s">
        <v>429</v>
      </c>
      <c r="C187" s="14" t="s">
        <v>293</v>
      </c>
      <c r="D187" s="28" t="s">
        <v>2469</v>
      </c>
      <c r="E187" s="42" t="s">
        <v>2068</v>
      </c>
      <c r="F187" s="31" t="n">
        <f aca="false">WBS!P47</f>
        <v>3</v>
      </c>
      <c r="G187" s="14" t="str">
        <f aca="false">WBS!H47</f>
        <v>P4</v>
      </c>
      <c r="H187" s="14" t="str">
        <f aca="false">WBS!G47</f>
        <v>Nice-to-have</v>
      </c>
      <c r="I187" s="6" t="s">
        <v>2466</v>
      </c>
      <c r="J187" s="14"/>
      <c r="K187" s="6"/>
      <c r="L187" s="41" t="s">
        <v>2065</v>
      </c>
    </row>
    <row r="188" customFormat="false" ht="15" hidden="false" customHeight="false" outlineLevel="0" collapsed="false">
      <c r="A188" s="14" t="s">
        <v>2470</v>
      </c>
      <c r="B188" s="14" t="s">
        <v>429</v>
      </c>
      <c r="C188" s="14" t="s">
        <v>293</v>
      </c>
      <c r="D188" s="28" t="s">
        <v>2471</v>
      </c>
      <c r="E188" s="22" t="s">
        <v>2071</v>
      </c>
      <c r="F188" s="31" t="n">
        <f aca="false">WBS!Q47</f>
        <v>3</v>
      </c>
      <c r="G188" s="14" t="str">
        <f aca="false">WBS!H47</f>
        <v>P4</v>
      </c>
      <c r="H188" s="14" t="str">
        <f aca="false">WBS!G47</f>
        <v>Nice-to-have</v>
      </c>
      <c r="I188" s="6" t="s">
        <v>2466</v>
      </c>
      <c r="J188" s="14"/>
      <c r="K188" s="6"/>
      <c r="L188" s="41" t="s">
        <v>2065</v>
      </c>
    </row>
    <row r="189" customFormat="false" ht="15" hidden="false" customHeight="false" outlineLevel="0" collapsed="false">
      <c r="A189" s="14" t="s">
        <v>2472</v>
      </c>
      <c r="B189" s="14" t="s">
        <v>429</v>
      </c>
      <c r="C189" s="14" t="s">
        <v>293</v>
      </c>
      <c r="D189" s="28" t="s">
        <v>2473</v>
      </c>
      <c r="E189" s="43" t="s">
        <v>96</v>
      </c>
      <c r="F189" s="31" t="n">
        <f aca="false">WBS!T47</f>
        <v>2.1</v>
      </c>
      <c r="G189" s="14" t="str">
        <f aca="false">WBS!H47</f>
        <v>P4</v>
      </c>
      <c r="H189" s="14" t="str">
        <f aca="false">WBS!G47</f>
        <v>Nice-to-have</v>
      </c>
      <c r="I189" s="6" t="s">
        <v>2474</v>
      </c>
      <c r="J189" s="14"/>
      <c r="K189" s="6"/>
      <c r="L189" s="41" t="s">
        <v>2065</v>
      </c>
    </row>
    <row r="190" customFormat="false" ht="15" hidden="false" customHeight="false" outlineLevel="0" collapsed="false">
      <c r="A190" s="14" t="s">
        <v>2475</v>
      </c>
      <c r="B190" s="14" t="s">
        <v>435</v>
      </c>
      <c r="C190" s="14" t="s">
        <v>436</v>
      </c>
      <c r="D190" s="28" t="s">
        <v>2476</v>
      </c>
      <c r="E190" s="40" t="s">
        <v>91</v>
      </c>
      <c r="F190" s="31" t="n">
        <f aca="false">WBS!R48</f>
        <v>0.7</v>
      </c>
      <c r="G190" s="14" t="str">
        <f aca="false">WBS!H48</f>
        <v>P0</v>
      </c>
      <c r="H190" s="14" t="str">
        <f aca="false">WBS!G48</f>
        <v>Must</v>
      </c>
      <c r="I190" s="6" t="s">
        <v>150</v>
      </c>
      <c r="J190" s="14"/>
      <c r="K190" s="6"/>
      <c r="L190" s="41" t="s">
        <v>2065</v>
      </c>
    </row>
    <row r="191" customFormat="false" ht="15" hidden="false" customHeight="false" outlineLevel="0" collapsed="false">
      <c r="A191" s="14" t="s">
        <v>2477</v>
      </c>
      <c r="B191" s="14" t="s">
        <v>435</v>
      </c>
      <c r="C191" s="14" t="s">
        <v>436</v>
      </c>
      <c r="D191" s="28" t="s">
        <v>2478</v>
      </c>
      <c r="E191" s="37" t="s">
        <v>128</v>
      </c>
      <c r="F191" s="31" t="n">
        <f aca="false">WBS!S48</f>
        <v>1.2</v>
      </c>
      <c r="G191" s="14" t="str">
        <f aca="false">WBS!H48</f>
        <v>P0</v>
      </c>
      <c r="H191" s="14" t="str">
        <f aca="false">WBS!G48</f>
        <v>Must</v>
      </c>
      <c r="I191" s="6" t="s">
        <v>2475</v>
      </c>
      <c r="J191" s="14"/>
      <c r="K191" s="6"/>
      <c r="L191" s="41" t="s">
        <v>2065</v>
      </c>
    </row>
    <row r="192" customFormat="false" ht="22.35" hidden="false" customHeight="false" outlineLevel="0" collapsed="false">
      <c r="A192" s="14" t="s">
        <v>2479</v>
      </c>
      <c r="B192" s="14" t="s">
        <v>435</v>
      </c>
      <c r="C192" s="14" t="s">
        <v>436</v>
      </c>
      <c r="D192" s="28" t="s">
        <v>2480</v>
      </c>
      <c r="E192" s="42" t="s">
        <v>2068</v>
      </c>
      <c r="F192" s="31" t="n">
        <f aca="false">WBS!P48</f>
        <v>3</v>
      </c>
      <c r="G192" s="14" t="str">
        <f aca="false">WBS!H48</f>
        <v>P0</v>
      </c>
      <c r="H192" s="14" t="str">
        <f aca="false">WBS!G48</f>
        <v>Must</v>
      </c>
      <c r="I192" s="6" t="s">
        <v>2475</v>
      </c>
      <c r="J192" s="14"/>
      <c r="K192" s="6"/>
      <c r="L192" s="41" t="s">
        <v>2065</v>
      </c>
    </row>
    <row r="193" customFormat="false" ht="15" hidden="false" customHeight="false" outlineLevel="0" collapsed="false">
      <c r="A193" s="14" t="s">
        <v>2481</v>
      </c>
      <c r="B193" s="14" t="s">
        <v>435</v>
      </c>
      <c r="C193" s="14" t="s">
        <v>436</v>
      </c>
      <c r="D193" s="28" t="s">
        <v>2482</v>
      </c>
      <c r="E193" s="22" t="s">
        <v>2071</v>
      </c>
      <c r="F193" s="31" t="n">
        <f aca="false">WBS!Q48</f>
        <v>3</v>
      </c>
      <c r="G193" s="14" t="str">
        <f aca="false">WBS!H48</f>
        <v>P0</v>
      </c>
      <c r="H193" s="14" t="str">
        <f aca="false">WBS!G48</f>
        <v>Must</v>
      </c>
      <c r="I193" s="6" t="s">
        <v>2477</v>
      </c>
      <c r="J193" s="14"/>
      <c r="K193" s="6"/>
      <c r="L193" s="41" t="s">
        <v>2065</v>
      </c>
    </row>
    <row r="194" customFormat="false" ht="15" hidden="false" customHeight="false" outlineLevel="0" collapsed="false">
      <c r="A194" s="14" t="s">
        <v>2483</v>
      </c>
      <c r="B194" s="14" t="s">
        <v>435</v>
      </c>
      <c r="C194" s="14" t="s">
        <v>436</v>
      </c>
      <c r="D194" s="28" t="s">
        <v>2484</v>
      </c>
      <c r="E194" s="43" t="s">
        <v>96</v>
      </c>
      <c r="F194" s="31" t="n">
        <f aca="false">WBS!T48</f>
        <v>2.1</v>
      </c>
      <c r="G194" s="14" t="str">
        <f aca="false">WBS!H48</f>
        <v>P0</v>
      </c>
      <c r="H194" s="14" t="str">
        <f aca="false">WBS!G48</f>
        <v>Must</v>
      </c>
      <c r="I194" s="6" t="s">
        <v>2485</v>
      </c>
      <c r="J194" s="14"/>
      <c r="K194" s="6"/>
      <c r="L194" s="41" t="s">
        <v>2065</v>
      </c>
    </row>
    <row r="195" customFormat="false" ht="15" hidden="false" customHeight="false" outlineLevel="0" collapsed="false">
      <c r="A195" s="14" t="s">
        <v>2486</v>
      </c>
      <c r="B195" s="14" t="s">
        <v>444</v>
      </c>
      <c r="C195" s="14" t="s">
        <v>436</v>
      </c>
      <c r="D195" s="28" t="s">
        <v>2487</v>
      </c>
      <c r="E195" s="40" t="s">
        <v>91</v>
      </c>
      <c r="F195" s="31" t="n">
        <f aca="false">WBS!R49</f>
        <v>1</v>
      </c>
      <c r="G195" s="14" t="str">
        <f aca="false">WBS!H49</f>
        <v>P0</v>
      </c>
      <c r="H195" s="14" t="str">
        <f aca="false">WBS!G49</f>
        <v>Should</v>
      </c>
      <c r="I195" s="6" t="s">
        <v>451</v>
      </c>
      <c r="J195" s="14"/>
      <c r="K195" s="6"/>
      <c r="L195" s="41" t="s">
        <v>2065</v>
      </c>
    </row>
    <row r="196" customFormat="false" ht="15" hidden="false" customHeight="false" outlineLevel="0" collapsed="false">
      <c r="A196" s="14" t="s">
        <v>2488</v>
      </c>
      <c r="B196" s="14" t="s">
        <v>444</v>
      </c>
      <c r="C196" s="14" t="s">
        <v>436</v>
      </c>
      <c r="D196" s="28" t="s">
        <v>2489</v>
      </c>
      <c r="E196" s="42" t="s">
        <v>2068</v>
      </c>
      <c r="F196" s="31" t="n">
        <f aca="false">WBS!P49</f>
        <v>5</v>
      </c>
      <c r="G196" s="14" t="str">
        <f aca="false">WBS!H49</f>
        <v>P0</v>
      </c>
      <c r="H196" s="14" t="str">
        <f aca="false">WBS!G49</f>
        <v>Should</v>
      </c>
      <c r="I196" s="6" t="s">
        <v>2486</v>
      </c>
      <c r="J196" s="14"/>
      <c r="K196" s="6"/>
      <c r="L196" s="41" t="s">
        <v>2065</v>
      </c>
    </row>
    <row r="197" customFormat="false" ht="15" hidden="false" customHeight="false" outlineLevel="0" collapsed="false">
      <c r="A197" s="14" t="s">
        <v>2490</v>
      </c>
      <c r="B197" s="14" t="s">
        <v>444</v>
      </c>
      <c r="C197" s="14" t="s">
        <v>436</v>
      </c>
      <c r="D197" s="28" t="s">
        <v>2491</v>
      </c>
      <c r="E197" s="22" t="s">
        <v>2071</v>
      </c>
      <c r="F197" s="31" t="n">
        <f aca="false">WBS!Q49</f>
        <v>3</v>
      </c>
      <c r="G197" s="14" t="str">
        <f aca="false">WBS!H49</f>
        <v>P0</v>
      </c>
      <c r="H197" s="14" t="str">
        <f aca="false">WBS!G49</f>
        <v>Should</v>
      </c>
      <c r="I197" s="6" t="s">
        <v>2486</v>
      </c>
      <c r="J197" s="14"/>
      <c r="K197" s="6"/>
      <c r="L197" s="41" t="s">
        <v>2065</v>
      </c>
    </row>
    <row r="198" customFormat="false" ht="15" hidden="false" customHeight="false" outlineLevel="0" collapsed="false">
      <c r="A198" s="14" t="s">
        <v>2492</v>
      </c>
      <c r="B198" s="14" t="s">
        <v>444</v>
      </c>
      <c r="C198" s="14" t="s">
        <v>436</v>
      </c>
      <c r="D198" s="28" t="s">
        <v>2493</v>
      </c>
      <c r="E198" s="43" t="s">
        <v>96</v>
      </c>
      <c r="F198" s="31" t="n">
        <f aca="false">WBS!T49</f>
        <v>2.8</v>
      </c>
      <c r="G198" s="14" t="str">
        <f aca="false">WBS!H49</f>
        <v>P0</v>
      </c>
      <c r="H198" s="14" t="str">
        <f aca="false">WBS!G49</f>
        <v>Should</v>
      </c>
      <c r="I198" s="6" t="s">
        <v>2494</v>
      </c>
      <c r="J198" s="14"/>
      <c r="K198" s="6"/>
      <c r="L198" s="41" t="s">
        <v>2065</v>
      </c>
    </row>
    <row r="199" customFormat="false" ht="15" hidden="false" customHeight="false" outlineLevel="0" collapsed="false">
      <c r="A199" s="14" t="s">
        <v>2495</v>
      </c>
      <c r="B199" s="14" t="s">
        <v>451</v>
      </c>
      <c r="C199" s="14" t="s">
        <v>436</v>
      </c>
      <c r="D199" s="28" t="s">
        <v>2496</v>
      </c>
      <c r="E199" s="40" t="s">
        <v>91</v>
      </c>
      <c r="F199" s="31" t="n">
        <f aca="false">WBS!R50</f>
        <v>1.2</v>
      </c>
      <c r="G199" s="14" t="str">
        <f aca="false">WBS!H50</f>
        <v>P0</v>
      </c>
      <c r="H199" s="14" t="str">
        <f aca="false">WBS!G50</f>
        <v>Must</v>
      </c>
      <c r="I199" s="6" t="s">
        <v>435</v>
      </c>
      <c r="J199" s="14"/>
      <c r="K199" s="6"/>
      <c r="L199" s="41" t="s">
        <v>2065</v>
      </c>
    </row>
    <row r="200" customFormat="false" ht="15" hidden="false" customHeight="false" outlineLevel="0" collapsed="false">
      <c r="A200" s="14" t="s">
        <v>2497</v>
      </c>
      <c r="B200" s="14" t="s">
        <v>451</v>
      </c>
      <c r="C200" s="14" t="s">
        <v>436</v>
      </c>
      <c r="D200" s="28" t="s">
        <v>2498</v>
      </c>
      <c r="E200" s="37" t="s">
        <v>128</v>
      </c>
      <c r="F200" s="31" t="n">
        <f aca="false">WBS!S50</f>
        <v>2</v>
      </c>
      <c r="G200" s="14" t="str">
        <f aca="false">WBS!H50</f>
        <v>P0</v>
      </c>
      <c r="H200" s="14" t="str">
        <f aca="false">WBS!G50</f>
        <v>Must</v>
      </c>
      <c r="I200" s="6" t="s">
        <v>2495</v>
      </c>
      <c r="J200" s="14"/>
      <c r="K200" s="6"/>
      <c r="L200" s="41" t="s">
        <v>2065</v>
      </c>
    </row>
    <row r="201" customFormat="false" ht="15" hidden="false" customHeight="false" outlineLevel="0" collapsed="false">
      <c r="A201" s="14" t="s">
        <v>2499</v>
      </c>
      <c r="B201" s="14" t="s">
        <v>451</v>
      </c>
      <c r="C201" s="14" t="s">
        <v>436</v>
      </c>
      <c r="D201" s="28" t="s">
        <v>2500</v>
      </c>
      <c r="E201" s="42" t="s">
        <v>2068</v>
      </c>
      <c r="F201" s="31" t="n">
        <f aca="false">WBS!P50</f>
        <v>5</v>
      </c>
      <c r="G201" s="14" t="str">
        <f aca="false">WBS!H50</f>
        <v>P0</v>
      </c>
      <c r="H201" s="14" t="str">
        <f aca="false">WBS!G50</f>
        <v>Must</v>
      </c>
      <c r="I201" s="6" t="s">
        <v>2495</v>
      </c>
      <c r="J201" s="14"/>
      <c r="K201" s="6"/>
      <c r="L201" s="41" t="s">
        <v>2065</v>
      </c>
    </row>
    <row r="202" customFormat="false" ht="15" hidden="false" customHeight="false" outlineLevel="0" collapsed="false">
      <c r="A202" s="14" t="s">
        <v>2501</v>
      </c>
      <c r="B202" s="14" t="s">
        <v>451</v>
      </c>
      <c r="C202" s="14" t="s">
        <v>436</v>
      </c>
      <c r="D202" s="28" t="s">
        <v>2502</v>
      </c>
      <c r="E202" s="22" t="s">
        <v>2071</v>
      </c>
      <c r="F202" s="31" t="n">
        <f aca="false">WBS!Q50</f>
        <v>5</v>
      </c>
      <c r="G202" s="14" t="str">
        <f aca="false">WBS!H50</f>
        <v>P0</v>
      </c>
      <c r="H202" s="14" t="str">
        <f aca="false">WBS!G50</f>
        <v>Must</v>
      </c>
      <c r="I202" s="6" t="s">
        <v>2497</v>
      </c>
      <c r="J202" s="14"/>
      <c r="K202" s="6"/>
      <c r="L202" s="41" t="s">
        <v>2065</v>
      </c>
    </row>
    <row r="203" customFormat="false" ht="15" hidden="false" customHeight="false" outlineLevel="0" collapsed="false">
      <c r="A203" s="14" t="s">
        <v>2503</v>
      </c>
      <c r="B203" s="14" t="s">
        <v>451</v>
      </c>
      <c r="C203" s="14" t="s">
        <v>436</v>
      </c>
      <c r="D203" s="28" t="s">
        <v>2504</v>
      </c>
      <c r="E203" s="43" t="s">
        <v>96</v>
      </c>
      <c r="F203" s="31" t="n">
        <f aca="false">WBS!T50</f>
        <v>3.5</v>
      </c>
      <c r="G203" s="14" t="str">
        <f aca="false">WBS!H50</f>
        <v>P0</v>
      </c>
      <c r="H203" s="14" t="str">
        <f aca="false">WBS!G50</f>
        <v>Must</v>
      </c>
      <c r="I203" s="6" t="s">
        <v>2505</v>
      </c>
      <c r="J203" s="14"/>
      <c r="K203" s="6"/>
      <c r="L203" s="41" t="s">
        <v>2065</v>
      </c>
    </row>
    <row r="204" customFormat="false" ht="15" hidden="false" customHeight="false" outlineLevel="0" collapsed="false">
      <c r="A204" s="14" t="s">
        <v>2506</v>
      </c>
      <c r="B204" s="14" t="s">
        <v>458</v>
      </c>
      <c r="C204" s="14" t="s">
        <v>436</v>
      </c>
      <c r="D204" s="28" t="s">
        <v>2507</v>
      </c>
      <c r="E204" s="40" t="s">
        <v>91</v>
      </c>
      <c r="F204" s="31" t="n">
        <f aca="false">WBS!R51</f>
        <v>1.2</v>
      </c>
      <c r="G204" s="14" t="str">
        <f aca="false">WBS!H51</f>
        <v>P0</v>
      </c>
      <c r="H204" s="14" t="str">
        <f aca="false">WBS!G51</f>
        <v>Must</v>
      </c>
      <c r="I204" s="6" t="s">
        <v>435</v>
      </c>
      <c r="J204" s="14"/>
      <c r="K204" s="6"/>
      <c r="L204" s="41" t="s">
        <v>2065</v>
      </c>
    </row>
    <row r="205" customFormat="false" ht="22.35" hidden="false" customHeight="false" outlineLevel="0" collapsed="false">
      <c r="A205" s="14" t="s">
        <v>2508</v>
      </c>
      <c r="B205" s="14" t="s">
        <v>458</v>
      </c>
      <c r="C205" s="14" t="s">
        <v>436</v>
      </c>
      <c r="D205" s="28" t="s">
        <v>2509</v>
      </c>
      <c r="E205" s="42" t="s">
        <v>2068</v>
      </c>
      <c r="F205" s="31" t="n">
        <f aca="false">WBS!P51</f>
        <v>5</v>
      </c>
      <c r="G205" s="14" t="str">
        <f aca="false">WBS!H51</f>
        <v>P0</v>
      </c>
      <c r="H205" s="14" t="str">
        <f aca="false">WBS!G51</f>
        <v>Must</v>
      </c>
      <c r="I205" s="6" t="s">
        <v>2506</v>
      </c>
      <c r="J205" s="14"/>
      <c r="K205" s="6"/>
      <c r="L205" s="41" t="s">
        <v>2065</v>
      </c>
    </row>
    <row r="206" customFormat="false" ht="15" hidden="false" customHeight="false" outlineLevel="0" collapsed="false">
      <c r="A206" s="14" t="s">
        <v>2510</v>
      </c>
      <c r="B206" s="14" t="s">
        <v>458</v>
      </c>
      <c r="C206" s="14" t="s">
        <v>436</v>
      </c>
      <c r="D206" s="28" t="s">
        <v>2511</v>
      </c>
      <c r="E206" s="22" t="s">
        <v>2071</v>
      </c>
      <c r="F206" s="31" t="n">
        <f aca="false">WBS!Q51</f>
        <v>5</v>
      </c>
      <c r="G206" s="14" t="str">
        <f aca="false">WBS!H51</f>
        <v>P0</v>
      </c>
      <c r="H206" s="14" t="str">
        <f aca="false">WBS!G51</f>
        <v>Must</v>
      </c>
      <c r="I206" s="6" t="s">
        <v>2506</v>
      </c>
      <c r="J206" s="14"/>
      <c r="K206" s="6"/>
      <c r="L206" s="41" t="s">
        <v>2065</v>
      </c>
    </row>
    <row r="207" customFormat="false" ht="15" hidden="false" customHeight="false" outlineLevel="0" collapsed="false">
      <c r="A207" s="14" t="s">
        <v>2512</v>
      </c>
      <c r="B207" s="14" t="s">
        <v>458</v>
      </c>
      <c r="C207" s="14" t="s">
        <v>436</v>
      </c>
      <c r="D207" s="28" t="s">
        <v>2513</v>
      </c>
      <c r="E207" s="43" t="s">
        <v>96</v>
      </c>
      <c r="F207" s="31" t="n">
        <f aca="false">WBS!T51</f>
        <v>3.5</v>
      </c>
      <c r="G207" s="14" t="str">
        <f aca="false">WBS!H51</f>
        <v>P0</v>
      </c>
      <c r="H207" s="14" t="str">
        <f aca="false">WBS!G51</f>
        <v>Must</v>
      </c>
      <c r="I207" s="6" t="s">
        <v>2514</v>
      </c>
      <c r="J207" s="14"/>
      <c r="K207" s="6"/>
      <c r="L207" s="41" t="s">
        <v>2065</v>
      </c>
    </row>
    <row r="208" customFormat="false" ht="15" hidden="false" customHeight="false" outlineLevel="0" collapsed="false">
      <c r="A208" s="14" t="s">
        <v>2515</v>
      </c>
      <c r="B208" s="14" t="s">
        <v>465</v>
      </c>
      <c r="C208" s="14" t="s">
        <v>436</v>
      </c>
      <c r="D208" s="28" t="s">
        <v>2516</v>
      </c>
      <c r="E208" s="40" t="s">
        <v>91</v>
      </c>
      <c r="F208" s="31" t="n">
        <f aca="false">WBS!R52</f>
        <v>1</v>
      </c>
      <c r="G208" s="14" t="str">
        <f aca="false">WBS!H52</f>
        <v>P0</v>
      </c>
      <c r="H208" s="14" t="str">
        <f aca="false">WBS!G52</f>
        <v>Should</v>
      </c>
      <c r="I208" s="6" t="s">
        <v>150</v>
      </c>
      <c r="J208" s="14"/>
      <c r="K208" s="6"/>
      <c r="L208" s="41" t="s">
        <v>2065</v>
      </c>
    </row>
    <row r="209" customFormat="false" ht="15" hidden="false" customHeight="false" outlineLevel="0" collapsed="false">
      <c r="A209" s="14" t="s">
        <v>2517</v>
      </c>
      <c r="B209" s="14" t="s">
        <v>465</v>
      </c>
      <c r="C209" s="14" t="s">
        <v>436</v>
      </c>
      <c r="D209" s="28" t="s">
        <v>2518</v>
      </c>
      <c r="E209" s="37" t="s">
        <v>128</v>
      </c>
      <c r="F209" s="31" t="n">
        <f aca="false">WBS!S52</f>
        <v>2</v>
      </c>
      <c r="G209" s="14" t="str">
        <f aca="false">WBS!H52</f>
        <v>P0</v>
      </c>
      <c r="H209" s="14" t="str">
        <f aca="false">WBS!G52</f>
        <v>Should</v>
      </c>
      <c r="I209" s="6" t="s">
        <v>2515</v>
      </c>
      <c r="J209" s="14"/>
      <c r="K209" s="6"/>
      <c r="L209" s="41" t="s">
        <v>2065</v>
      </c>
    </row>
    <row r="210" customFormat="false" ht="15" hidden="false" customHeight="false" outlineLevel="0" collapsed="false">
      <c r="A210" s="14" t="s">
        <v>2519</v>
      </c>
      <c r="B210" s="14" t="s">
        <v>465</v>
      </c>
      <c r="C210" s="14" t="s">
        <v>436</v>
      </c>
      <c r="D210" s="28" t="s">
        <v>2520</v>
      </c>
      <c r="E210" s="42" t="s">
        <v>2068</v>
      </c>
      <c r="F210" s="31" t="n">
        <f aca="false">WBS!P52</f>
        <v>3</v>
      </c>
      <c r="G210" s="14" t="str">
        <f aca="false">WBS!H52</f>
        <v>P0</v>
      </c>
      <c r="H210" s="14" t="str">
        <f aca="false">WBS!G52</f>
        <v>Should</v>
      </c>
      <c r="I210" s="6" t="s">
        <v>2515</v>
      </c>
      <c r="J210" s="14"/>
      <c r="K210" s="6"/>
      <c r="L210" s="41" t="s">
        <v>2065</v>
      </c>
    </row>
    <row r="211" customFormat="false" ht="15" hidden="false" customHeight="false" outlineLevel="0" collapsed="false">
      <c r="A211" s="14" t="s">
        <v>2521</v>
      </c>
      <c r="B211" s="14" t="s">
        <v>465</v>
      </c>
      <c r="C211" s="14" t="s">
        <v>436</v>
      </c>
      <c r="D211" s="28" t="s">
        <v>2522</v>
      </c>
      <c r="E211" s="22" t="s">
        <v>2071</v>
      </c>
      <c r="F211" s="31" t="n">
        <f aca="false">WBS!Q52</f>
        <v>5</v>
      </c>
      <c r="G211" s="14" t="str">
        <f aca="false">WBS!H52</f>
        <v>P0</v>
      </c>
      <c r="H211" s="14" t="str">
        <f aca="false">WBS!G52</f>
        <v>Should</v>
      </c>
      <c r="I211" s="6" t="s">
        <v>2517</v>
      </c>
      <c r="J211" s="14"/>
      <c r="K211" s="6"/>
      <c r="L211" s="41" t="s">
        <v>2065</v>
      </c>
    </row>
    <row r="212" customFormat="false" ht="15" hidden="false" customHeight="false" outlineLevel="0" collapsed="false">
      <c r="A212" s="14" t="s">
        <v>2523</v>
      </c>
      <c r="B212" s="14" t="s">
        <v>465</v>
      </c>
      <c r="C212" s="14" t="s">
        <v>436</v>
      </c>
      <c r="D212" s="28" t="s">
        <v>2524</v>
      </c>
      <c r="E212" s="43" t="s">
        <v>96</v>
      </c>
      <c r="F212" s="31" t="n">
        <f aca="false">WBS!T52</f>
        <v>2.8</v>
      </c>
      <c r="G212" s="14" t="str">
        <f aca="false">WBS!H52</f>
        <v>P0</v>
      </c>
      <c r="H212" s="14" t="str">
        <f aca="false">WBS!G52</f>
        <v>Should</v>
      </c>
      <c r="I212" s="6" t="s">
        <v>2525</v>
      </c>
      <c r="J212" s="14"/>
      <c r="K212" s="6"/>
      <c r="L212" s="41" t="s">
        <v>2065</v>
      </c>
    </row>
    <row r="213" customFormat="false" ht="15" hidden="false" customHeight="false" outlineLevel="0" collapsed="false">
      <c r="A213" s="14" t="s">
        <v>2526</v>
      </c>
      <c r="B213" s="14" t="s">
        <v>472</v>
      </c>
      <c r="C213" s="14" t="s">
        <v>436</v>
      </c>
      <c r="D213" s="28" t="s">
        <v>2527</v>
      </c>
      <c r="E213" s="40" t="s">
        <v>91</v>
      </c>
      <c r="F213" s="31" t="n">
        <f aca="false">WBS!R53</f>
        <v>1.2</v>
      </c>
      <c r="G213" s="14" t="str">
        <f aca="false">WBS!H53</f>
        <v>P1</v>
      </c>
      <c r="H213" s="14" t="str">
        <f aca="false">WBS!G53</f>
        <v>Must</v>
      </c>
      <c r="I213" s="6" t="s">
        <v>435</v>
      </c>
      <c r="J213" s="14"/>
      <c r="K213" s="6"/>
      <c r="L213" s="41" t="s">
        <v>2065</v>
      </c>
    </row>
    <row r="214" customFormat="false" ht="15" hidden="false" customHeight="false" outlineLevel="0" collapsed="false">
      <c r="A214" s="14" t="s">
        <v>2528</v>
      </c>
      <c r="B214" s="14" t="s">
        <v>472</v>
      </c>
      <c r="C214" s="14" t="s">
        <v>436</v>
      </c>
      <c r="D214" s="28" t="s">
        <v>2529</v>
      </c>
      <c r="E214" s="37" t="s">
        <v>128</v>
      </c>
      <c r="F214" s="31" t="n">
        <f aca="false">WBS!S53</f>
        <v>2</v>
      </c>
      <c r="G214" s="14" t="str">
        <f aca="false">WBS!H53</f>
        <v>P1</v>
      </c>
      <c r="H214" s="14" t="str">
        <f aca="false">WBS!G53</f>
        <v>Must</v>
      </c>
      <c r="I214" s="6" t="s">
        <v>2526</v>
      </c>
      <c r="J214" s="14"/>
      <c r="K214" s="6"/>
      <c r="L214" s="41" t="s">
        <v>2065</v>
      </c>
    </row>
    <row r="215" customFormat="false" ht="22.35" hidden="false" customHeight="false" outlineLevel="0" collapsed="false">
      <c r="A215" s="14" t="s">
        <v>2530</v>
      </c>
      <c r="B215" s="14" t="s">
        <v>472</v>
      </c>
      <c r="C215" s="14" t="s">
        <v>436</v>
      </c>
      <c r="D215" s="28" t="s">
        <v>2531</v>
      </c>
      <c r="E215" s="42" t="s">
        <v>2068</v>
      </c>
      <c r="F215" s="31" t="n">
        <f aca="false">WBS!P53</f>
        <v>5</v>
      </c>
      <c r="G215" s="14" t="str">
        <f aca="false">WBS!H53</f>
        <v>P1</v>
      </c>
      <c r="H215" s="14" t="str">
        <f aca="false">WBS!G53</f>
        <v>Must</v>
      </c>
      <c r="I215" s="6" t="s">
        <v>2526</v>
      </c>
      <c r="J215" s="14"/>
      <c r="K215" s="6"/>
      <c r="L215" s="41" t="s">
        <v>2065</v>
      </c>
    </row>
    <row r="216" customFormat="false" ht="15" hidden="false" customHeight="false" outlineLevel="0" collapsed="false">
      <c r="A216" s="14" t="s">
        <v>2532</v>
      </c>
      <c r="B216" s="14" t="s">
        <v>472</v>
      </c>
      <c r="C216" s="14" t="s">
        <v>436</v>
      </c>
      <c r="D216" s="28" t="s">
        <v>2533</v>
      </c>
      <c r="E216" s="22" t="s">
        <v>2071</v>
      </c>
      <c r="F216" s="31" t="n">
        <f aca="false">WBS!Q53</f>
        <v>5</v>
      </c>
      <c r="G216" s="14" t="str">
        <f aca="false">WBS!H53</f>
        <v>P1</v>
      </c>
      <c r="H216" s="14" t="str">
        <f aca="false">WBS!G53</f>
        <v>Must</v>
      </c>
      <c r="I216" s="6" t="s">
        <v>2528</v>
      </c>
      <c r="J216" s="14"/>
      <c r="K216" s="6"/>
      <c r="L216" s="41" t="s">
        <v>2065</v>
      </c>
    </row>
    <row r="217" customFormat="false" ht="15" hidden="false" customHeight="false" outlineLevel="0" collapsed="false">
      <c r="A217" s="14" t="s">
        <v>2534</v>
      </c>
      <c r="B217" s="14" t="s">
        <v>472</v>
      </c>
      <c r="C217" s="14" t="s">
        <v>436</v>
      </c>
      <c r="D217" s="28" t="s">
        <v>2535</v>
      </c>
      <c r="E217" s="43" t="s">
        <v>96</v>
      </c>
      <c r="F217" s="31" t="n">
        <f aca="false">WBS!T53</f>
        <v>3.5</v>
      </c>
      <c r="G217" s="14" t="str">
        <f aca="false">WBS!H53</f>
        <v>P1</v>
      </c>
      <c r="H217" s="14" t="str">
        <f aca="false">WBS!G53</f>
        <v>Must</v>
      </c>
      <c r="I217" s="6" t="s">
        <v>2536</v>
      </c>
      <c r="J217" s="14"/>
      <c r="K217" s="6"/>
      <c r="L217" s="41" t="s">
        <v>2065</v>
      </c>
    </row>
    <row r="218" customFormat="false" ht="15" hidden="false" customHeight="false" outlineLevel="0" collapsed="false">
      <c r="A218" s="14" t="s">
        <v>2537</v>
      </c>
      <c r="B218" s="14" t="s">
        <v>479</v>
      </c>
      <c r="C218" s="14" t="s">
        <v>436</v>
      </c>
      <c r="D218" s="28" t="s">
        <v>2538</v>
      </c>
      <c r="E218" s="40" t="s">
        <v>91</v>
      </c>
      <c r="F218" s="31" t="n">
        <f aca="false">WBS!R54</f>
        <v>0.7</v>
      </c>
      <c r="G218" s="14" t="str">
        <f aca="false">WBS!H54</f>
        <v>P3</v>
      </c>
      <c r="H218" s="14" t="str">
        <f aca="false">WBS!G54</f>
        <v>Should</v>
      </c>
      <c r="I218" s="6" t="s">
        <v>485</v>
      </c>
      <c r="J218" s="14"/>
      <c r="K218" s="6"/>
      <c r="L218" s="41" t="s">
        <v>2065</v>
      </c>
    </row>
    <row r="219" customFormat="false" ht="15" hidden="false" customHeight="false" outlineLevel="0" collapsed="false">
      <c r="A219" s="14" t="s">
        <v>2539</v>
      </c>
      <c r="B219" s="14" t="s">
        <v>479</v>
      </c>
      <c r="C219" s="14" t="s">
        <v>436</v>
      </c>
      <c r="D219" s="28" t="s">
        <v>2540</v>
      </c>
      <c r="E219" s="42" t="s">
        <v>2068</v>
      </c>
      <c r="F219" s="31" t="n">
        <f aca="false">WBS!P54</f>
        <v>3</v>
      </c>
      <c r="G219" s="14" t="str">
        <f aca="false">WBS!H54</f>
        <v>P3</v>
      </c>
      <c r="H219" s="14" t="str">
        <f aca="false">WBS!G54</f>
        <v>Should</v>
      </c>
      <c r="I219" s="6" t="s">
        <v>2537</v>
      </c>
      <c r="J219" s="14"/>
      <c r="K219" s="6"/>
      <c r="L219" s="41" t="s">
        <v>2065</v>
      </c>
    </row>
    <row r="220" customFormat="false" ht="15" hidden="false" customHeight="false" outlineLevel="0" collapsed="false">
      <c r="A220" s="14" t="s">
        <v>2541</v>
      </c>
      <c r="B220" s="14" t="s">
        <v>479</v>
      </c>
      <c r="C220" s="14" t="s">
        <v>436</v>
      </c>
      <c r="D220" s="28" t="s">
        <v>2542</v>
      </c>
      <c r="E220" s="22" t="s">
        <v>2071</v>
      </c>
      <c r="F220" s="31" t="n">
        <f aca="false">WBS!Q54</f>
        <v>3</v>
      </c>
      <c r="G220" s="14" t="str">
        <f aca="false">WBS!H54</f>
        <v>P3</v>
      </c>
      <c r="H220" s="14" t="str">
        <f aca="false">WBS!G54</f>
        <v>Should</v>
      </c>
      <c r="I220" s="6" t="s">
        <v>2537</v>
      </c>
      <c r="J220" s="14"/>
      <c r="K220" s="6"/>
      <c r="L220" s="41" t="s">
        <v>2065</v>
      </c>
    </row>
    <row r="221" customFormat="false" ht="15" hidden="false" customHeight="false" outlineLevel="0" collapsed="false">
      <c r="A221" s="14" t="s">
        <v>2543</v>
      </c>
      <c r="B221" s="14" t="s">
        <v>479</v>
      </c>
      <c r="C221" s="14" t="s">
        <v>436</v>
      </c>
      <c r="D221" s="28" t="s">
        <v>2544</v>
      </c>
      <c r="E221" s="43" t="s">
        <v>96</v>
      </c>
      <c r="F221" s="31" t="n">
        <f aca="false">WBS!T54</f>
        <v>2.1</v>
      </c>
      <c r="G221" s="14" t="str">
        <f aca="false">WBS!H54</f>
        <v>P3</v>
      </c>
      <c r="H221" s="14" t="str">
        <f aca="false">WBS!G54</f>
        <v>Should</v>
      </c>
      <c r="I221" s="6" t="s">
        <v>2545</v>
      </c>
      <c r="J221" s="14"/>
      <c r="K221" s="6"/>
      <c r="L221" s="41" t="s">
        <v>2065</v>
      </c>
    </row>
    <row r="222" customFormat="false" ht="15" hidden="false" customHeight="false" outlineLevel="0" collapsed="false">
      <c r="A222" s="14" t="s">
        <v>2546</v>
      </c>
      <c r="B222" s="14" t="s">
        <v>486</v>
      </c>
      <c r="C222" s="14" t="s">
        <v>436</v>
      </c>
      <c r="D222" s="28" t="s">
        <v>2547</v>
      </c>
      <c r="E222" s="40" t="s">
        <v>91</v>
      </c>
      <c r="F222" s="31" t="n">
        <f aca="false">WBS!R55</f>
        <v>0.5</v>
      </c>
      <c r="G222" s="14" t="str">
        <f aca="false">WBS!H55</f>
        <v>P3</v>
      </c>
      <c r="H222" s="14" t="str">
        <f aca="false">WBS!G55</f>
        <v>Should</v>
      </c>
      <c r="I222" s="6" t="s">
        <v>492</v>
      </c>
      <c r="J222" s="14"/>
      <c r="K222" s="6"/>
      <c r="L222" s="41" t="s">
        <v>2065</v>
      </c>
    </row>
    <row r="223" customFormat="false" ht="15" hidden="false" customHeight="false" outlineLevel="0" collapsed="false">
      <c r="A223" s="14" t="s">
        <v>2548</v>
      </c>
      <c r="B223" s="14" t="s">
        <v>486</v>
      </c>
      <c r="C223" s="14" t="s">
        <v>436</v>
      </c>
      <c r="D223" s="28" t="s">
        <v>2549</v>
      </c>
      <c r="E223" s="42" t="s">
        <v>2068</v>
      </c>
      <c r="F223" s="31" t="n">
        <f aca="false">WBS!P55</f>
        <v>1</v>
      </c>
      <c r="G223" s="14" t="str">
        <f aca="false">WBS!H55</f>
        <v>P3</v>
      </c>
      <c r="H223" s="14" t="str">
        <f aca="false">WBS!G55</f>
        <v>Should</v>
      </c>
      <c r="I223" s="6" t="s">
        <v>2546</v>
      </c>
      <c r="J223" s="14"/>
      <c r="K223" s="6"/>
      <c r="L223" s="41" t="s">
        <v>2065</v>
      </c>
    </row>
    <row r="224" customFormat="false" ht="15" hidden="false" customHeight="false" outlineLevel="0" collapsed="false">
      <c r="A224" s="14" t="s">
        <v>2550</v>
      </c>
      <c r="B224" s="14" t="s">
        <v>486</v>
      </c>
      <c r="C224" s="14" t="s">
        <v>436</v>
      </c>
      <c r="D224" s="28" t="s">
        <v>2551</v>
      </c>
      <c r="E224" s="22" t="s">
        <v>2071</v>
      </c>
      <c r="F224" s="31" t="n">
        <f aca="false">WBS!Q55</f>
        <v>3</v>
      </c>
      <c r="G224" s="14" t="str">
        <f aca="false">WBS!H55</f>
        <v>P3</v>
      </c>
      <c r="H224" s="14" t="str">
        <f aca="false">WBS!G55</f>
        <v>Should</v>
      </c>
      <c r="I224" s="6" t="s">
        <v>2546</v>
      </c>
      <c r="J224" s="14"/>
      <c r="K224" s="6"/>
      <c r="L224" s="41" t="s">
        <v>2065</v>
      </c>
    </row>
    <row r="225" customFormat="false" ht="15" hidden="false" customHeight="false" outlineLevel="0" collapsed="false">
      <c r="A225" s="14" t="s">
        <v>2552</v>
      </c>
      <c r="B225" s="14" t="s">
        <v>486</v>
      </c>
      <c r="C225" s="14" t="s">
        <v>436</v>
      </c>
      <c r="D225" s="28" t="s">
        <v>2553</v>
      </c>
      <c r="E225" s="43" t="s">
        <v>96</v>
      </c>
      <c r="F225" s="31" t="n">
        <f aca="false">WBS!T55</f>
        <v>1.4</v>
      </c>
      <c r="G225" s="14" t="str">
        <f aca="false">WBS!H55</f>
        <v>P3</v>
      </c>
      <c r="H225" s="14" t="str">
        <f aca="false">WBS!G55</f>
        <v>Should</v>
      </c>
      <c r="I225" s="6" t="s">
        <v>2554</v>
      </c>
      <c r="J225" s="14"/>
      <c r="K225" s="6"/>
      <c r="L225" s="41" t="s">
        <v>2065</v>
      </c>
    </row>
    <row r="226" customFormat="false" ht="15" hidden="false" customHeight="false" outlineLevel="0" collapsed="false">
      <c r="A226" s="14" t="s">
        <v>2555</v>
      </c>
      <c r="B226" s="14" t="s">
        <v>493</v>
      </c>
      <c r="C226" s="14" t="s">
        <v>436</v>
      </c>
      <c r="D226" s="28" t="s">
        <v>2556</v>
      </c>
      <c r="E226" s="40" t="s">
        <v>91</v>
      </c>
      <c r="F226" s="31" t="n">
        <f aca="false">WBS!R56</f>
        <v>1</v>
      </c>
      <c r="G226" s="14" t="str">
        <f aca="false">WBS!H56</f>
        <v>P3</v>
      </c>
      <c r="H226" s="14" t="str">
        <f aca="false">WBS!G56</f>
        <v>Should</v>
      </c>
      <c r="I226" s="6" t="s">
        <v>499</v>
      </c>
      <c r="J226" s="14"/>
      <c r="K226" s="6"/>
      <c r="L226" s="41" t="s">
        <v>2065</v>
      </c>
    </row>
    <row r="227" customFormat="false" ht="22.35" hidden="false" customHeight="false" outlineLevel="0" collapsed="false">
      <c r="A227" s="14" t="s">
        <v>2557</v>
      </c>
      <c r="B227" s="14" t="s">
        <v>493</v>
      </c>
      <c r="C227" s="14" t="s">
        <v>436</v>
      </c>
      <c r="D227" s="28" t="s">
        <v>2558</v>
      </c>
      <c r="E227" s="42" t="s">
        <v>2068</v>
      </c>
      <c r="F227" s="31" t="n">
        <f aca="false">WBS!P56</f>
        <v>5</v>
      </c>
      <c r="G227" s="14" t="str">
        <f aca="false">WBS!H56</f>
        <v>P3</v>
      </c>
      <c r="H227" s="14" t="str">
        <f aca="false">WBS!G56</f>
        <v>Should</v>
      </c>
      <c r="I227" s="6" t="s">
        <v>2555</v>
      </c>
      <c r="J227" s="14"/>
      <c r="K227" s="6"/>
      <c r="L227" s="41" t="s">
        <v>2065</v>
      </c>
    </row>
    <row r="228" customFormat="false" ht="15" hidden="false" customHeight="false" outlineLevel="0" collapsed="false">
      <c r="A228" s="14" t="s">
        <v>2559</v>
      </c>
      <c r="B228" s="14" t="s">
        <v>493</v>
      </c>
      <c r="C228" s="14" t="s">
        <v>436</v>
      </c>
      <c r="D228" s="28" t="s">
        <v>2560</v>
      </c>
      <c r="E228" s="22" t="s">
        <v>2071</v>
      </c>
      <c r="F228" s="31" t="n">
        <f aca="false">WBS!Q56</f>
        <v>3</v>
      </c>
      <c r="G228" s="14" t="str">
        <f aca="false">WBS!H56</f>
        <v>P3</v>
      </c>
      <c r="H228" s="14" t="str">
        <f aca="false">WBS!G56</f>
        <v>Should</v>
      </c>
      <c r="I228" s="6" t="s">
        <v>2555</v>
      </c>
      <c r="J228" s="14"/>
      <c r="K228" s="6"/>
      <c r="L228" s="41" t="s">
        <v>2065</v>
      </c>
    </row>
    <row r="229" customFormat="false" ht="15" hidden="false" customHeight="false" outlineLevel="0" collapsed="false">
      <c r="A229" s="14" t="s">
        <v>2561</v>
      </c>
      <c r="B229" s="14" t="s">
        <v>493</v>
      </c>
      <c r="C229" s="14" t="s">
        <v>436</v>
      </c>
      <c r="D229" s="28" t="s">
        <v>2562</v>
      </c>
      <c r="E229" s="43" t="s">
        <v>96</v>
      </c>
      <c r="F229" s="31" t="n">
        <f aca="false">WBS!T56</f>
        <v>2.8</v>
      </c>
      <c r="G229" s="14" t="str">
        <f aca="false">WBS!H56</f>
        <v>P3</v>
      </c>
      <c r="H229" s="14" t="str">
        <f aca="false">WBS!G56</f>
        <v>Should</v>
      </c>
      <c r="I229" s="6" t="s">
        <v>2563</v>
      </c>
      <c r="J229" s="14"/>
      <c r="K229" s="6"/>
      <c r="L229" s="41" t="s">
        <v>2065</v>
      </c>
    </row>
    <row r="230" customFormat="false" ht="15" hidden="false" customHeight="false" outlineLevel="0" collapsed="false">
      <c r="A230" s="14" t="s">
        <v>2564</v>
      </c>
      <c r="B230" s="14" t="s">
        <v>501</v>
      </c>
      <c r="C230" s="14" t="s">
        <v>436</v>
      </c>
      <c r="D230" s="28" t="s">
        <v>2565</v>
      </c>
      <c r="E230" s="40" t="s">
        <v>91</v>
      </c>
      <c r="F230" s="31" t="n">
        <f aca="false">WBS!R57</f>
        <v>0.2</v>
      </c>
      <c r="G230" s="14" t="str">
        <f aca="false">WBS!H57</f>
        <v>P4</v>
      </c>
      <c r="H230" s="14" t="str">
        <f aca="false">WBS!G57</f>
        <v>Nice-to-have</v>
      </c>
      <c r="I230" s="6" t="s">
        <v>435</v>
      </c>
      <c r="J230" s="14"/>
      <c r="K230" s="6"/>
      <c r="L230" s="41" t="s">
        <v>2065</v>
      </c>
    </row>
    <row r="231" customFormat="false" ht="15" hidden="false" customHeight="false" outlineLevel="0" collapsed="false">
      <c r="A231" s="14" t="s">
        <v>2566</v>
      </c>
      <c r="B231" s="14" t="s">
        <v>501</v>
      </c>
      <c r="C231" s="14" t="s">
        <v>436</v>
      </c>
      <c r="D231" s="28" t="s">
        <v>2567</v>
      </c>
      <c r="E231" s="42" t="s">
        <v>2068</v>
      </c>
      <c r="F231" s="31" t="n">
        <f aca="false">WBS!P57</f>
        <v>1</v>
      </c>
      <c r="G231" s="14" t="str">
        <f aca="false">WBS!H57</f>
        <v>P4</v>
      </c>
      <c r="H231" s="14" t="str">
        <f aca="false">WBS!G57</f>
        <v>Nice-to-have</v>
      </c>
      <c r="I231" s="6" t="s">
        <v>2564</v>
      </c>
      <c r="J231" s="14"/>
      <c r="K231" s="6"/>
      <c r="L231" s="41" t="s">
        <v>2065</v>
      </c>
    </row>
    <row r="232" customFormat="false" ht="15" hidden="false" customHeight="false" outlineLevel="0" collapsed="false">
      <c r="A232" s="14" t="s">
        <v>2568</v>
      </c>
      <c r="B232" s="14" t="s">
        <v>501</v>
      </c>
      <c r="C232" s="14" t="s">
        <v>436</v>
      </c>
      <c r="D232" s="28" t="s">
        <v>2569</v>
      </c>
      <c r="E232" s="22" t="s">
        <v>2071</v>
      </c>
      <c r="F232" s="31" t="n">
        <f aca="false">WBS!Q57</f>
        <v>1</v>
      </c>
      <c r="G232" s="14" t="str">
        <f aca="false">WBS!H57</f>
        <v>P4</v>
      </c>
      <c r="H232" s="14" t="str">
        <f aca="false">WBS!G57</f>
        <v>Nice-to-have</v>
      </c>
      <c r="I232" s="6" t="s">
        <v>2564</v>
      </c>
      <c r="J232" s="14"/>
      <c r="K232" s="6"/>
      <c r="L232" s="41" t="s">
        <v>2065</v>
      </c>
    </row>
    <row r="233" customFormat="false" ht="15" hidden="false" customHeight="false" outlineLevel="0" collapsed="false">
      <c r="A233" s="14" t="s">
        <v>2570</v>
      </c>
      <c r="B233" s="14" t="s">
        <v>501</v>
      </c>
      <c r="C233" s="14" t="s">
        <v>436</v>
      </c>
      <c r="D233" s="28" t="s">
        <v>2571</v>
      </c>
      <c r="E233" s="43" t="s">
        <v>96</v>
      </c>
      <c r="F233" s="31" t="n">
        <f aca="false">WBS!T57</f>
        <v>0.7</v>
      </c>
      <c r="G233" s="14" t="str">
        <f aca="false">WBS!H57</f>
        <v>P4</v>
      </c>
      <c r="H233" s="14" t="str">
        <f aca="false">WBS!G57</f>
        <v>Nice-to-have</v>
      </c>
      <c r="I233" s="6" t="s">
        <v>2572</v>
      </c>
      <c r="J233" s="14"/>
      <c r="K233" s="6"/>
      <c r="L233" s="41" t="s">
        <v>2065</v>
      </c>
    </row>
    <row r="234" customFormat="false" ht="15" hidden="false" customHeight="false" outlineLevel="0" collapsed="false">
      <c r="A234" s="14" t="s">
        <v>2573</v>
      </c>
      <c r="B234" s="14" t="s">
        <v>508</v>
      </c>
      <c r="C234" s="14" t="s">
        <v>509</v>
      </c>
      <c r="D234" s="28" t="s">
        <v>2574</v>
      </c>
      <c r="E234" s="40" t="s">
        <v>91</v>
      </c>
      <c r="F234" s="31" t="n">
        <f aca="false">WBS!R58</f>
        <v>3</v>
      </c>
      <c r="G234" s="14" t="str">
        <f aca="false">WBS!H58</f>
        <v>P1</v>
      </c>
      <c r="H234" s="14" t="str">
        <f aca="false">WBS!G58</f>
        <v>Must</v>
      </c>
      <c r="I234" s="6" t="s">
        <v>517</v>
      </c>
      <c r="J234" s="14"/>
      <c r="K234" s="6"/>
      <c r="L234" s="41" t="s">
        <v>2065</v>
      </c>
    </row>
    <row r="235" customFormat="false" ht="15" hidden="false" customHeight="false" outlineLevel="0" collapsed="false">
      <c r="A235" s="14" t="s">
        <v>2575</v>
      </c>
      <c r="B235" s="14" t="s">
        <v>508</v>
      </c>
      <c r="C235" s="14" t="s">
        <v>509</v>
      </c>
      <c r="D235" s="28" t="s">
        <v>2576</v>
      </c>
      <c r="E235" s="37" t="s">
        <v>128</v>
      </c>
      <c r="F235" s="31" t="n">
        <f aca="false">WBS!S58</f>
        <v>8</v>
      </c>
      <c r="G235" s="14" t="str">
        <f aca="false">WBS!H58</f>
        <v>P1</v>
      </c>
      <c r="H235" s="14" t="str">
        <f aca="false">WBS!G58</f>
        <v>Must</v>
      </c>
      <c r="I235" s="6" t="s">
        <v>2573</v>
      </c>
      <c r="J235" s="14"/>
      <c r="K235" s="6"/>
      <c r="L235" s="41" t="s">
        <v>2065</v>
      </c>
    </row>
    <row r="236" customFormat="false" ht="22.35" hidden="false" customHeight="false" outlineLevel="0" collapsed="false">
      <c r="A236" s="14" t="s">
        <v>2577</v>
      </c>
      <c r="B236" s="14" t="s">
        <v>508</v>
      </c>
      <c r="C236" s="14" t="s">
        <v>509</v>
      </c>
      <c r="D236" s="28" t="s">
        <v>2578</v>
      </c>
      <c r="E236" s="42" t="s">
        <v>2068</v>
      </c>
      <c r="F236" s="31" t="n">
        <f aca="false">WBS!P58</f>
        <v>5</v>
      </c>
      <c r="G236" s="14" t="str">
        <f aca="false">WBS!H58</f>
        <v>P1</v>
      </c>
      <c r="H236" s="14" t="str">
        <f aca="false">WBS!G58</f>
        <v>Must</v>
      </c>
      <c r="I236" s="6" t="s">
        <v>2573</v>
      </c>
      <c r="J236" s="14"/>
      <c r="K236" s="6"/>
      <c r="L236" s="41" t="s">
        <v>2065</v>
      </c>
    </row>
    <row r="237" customFormat="false" ht="22.35" hidden="false" customHeight="false" outlineLevel="0" collapsed="false">
      <c r="A237" s="14" t="s">
        <v>2579</v>
      </c>
      <c r="B237" s="14" t="s">
        <v>508</v>
      </c>
      <c r="C237" s="14" t="s">
        <v>509</v>
      </c>
      <c r="D237" s="28" t="s">
        <v>2580</v>
      </c>
      <c r="E237" s="22" t="s">
        <v>2071</v>
      </c>
      <c r="F237" s="31" t="n">
        <f aca="false">WBS!Q58</f>
        <v>20</v>
      </c>
      <c r="G237" s="14" t="str">
        <f aca="false">WBS!H58</f>
        <v>P1</v>
      </c>
      <c r="H237" s="14" t="str">
        <f aca="false">WBS!G58</f>
        <v>Must</v>
      </c>
      <c r="I237" s="6" t="s">
        <v>2575</v>
      </c>
      <c r="J237" s="14"/>
      <c r="K237" s="6"/>
      <c r="L237" s="41" t="s">
        <v>2065</v>
      </c>
    </row>
    <row r="238" customFormat="false" ht="15" hidden="false" customHeight="false" outlineLevel="0" collapsed="false">
      <c r="A238" s="14" t="s">
        <v>2581</v>
      </c>
      <c r="B238" s="14" t="s">
        <v>508</v>
      </c>
      <c r="C238" s="14" t="s">
        <v>509</v>
      </c>
      <c r="D238" s="28" t="s">
        <v>2582</v>
      </c>
      <c r="E238" s="43" t="s">
        <v>96</v>
      </c>
      <c r="F238" s="31" t="n">
        <f aca="false">WBS!T58</f>
        <v>8.8</v>
      </c>
      <c r="G238" s="14" t="str">
        <f aca="false">WBS!H58</f>
        <v>P1</v>
      </c>
      <c r="H238" s="14" t="str">
        <f aca="false">WBS!G58</f>
        <v>Must</v>
      </c>
      <c r="I238" s="6" t="s">
        <v>2583</v>
      </c>
      <c r="J238" s="14"/>
      <c r="K238" s="6"/>
      <c r="L238" s="41" t="s">
        <v>2065</v>
      </c>
    </row>
    <row r="239" customFormat="false" ht="15" hidden="false" customHeight="false" outlineLevel="0" collapsed="false">
      <c r="A239" s="14" t="s">
        <v>2584</v>
      </c>
      <c r="B239" s="14" t="s">
        <v>518</v>
      </c>
      <c r="C239" s="14" t="s">
        <v>509</v>
      </c>
      <c r="D239" s="28" t="s">
        <v>2585</v>
      </c>
      <c r="E239" s="40" t="s">
        <v>91</v>
      </c>
      <c r="F239" s="31" t="n">
        <f aca="false">WBS!R59</f>
        <v>1</v>
      </c>
      <c r="G239" s="14" t="str">
        <f aca="false">WBS!H59</f>
        <v>P1</v>
      </c>
      <c r="H239" s="14" t="str">
        <f aca="false">WBS!G59</f>
        <v>Must</v>
      </c>
      <c r="I239" s="6" t="s">
        <v>508</v>
      </c>
      <c r="J239" s="14"/>
      <c r="K239" s="6"/>
      <c r="L239" s="41" t="s">
        <v>2065</v>
      </c>
    </row>
    <row r="240" customFormat="false" ht="15" hidden="false" customHeight="false" outlineLevel="0" collapsed="false">
      <c r="A240" s="14" t="s">
        <v>2586</v>
      </c>
      <c r="B240" s="14" t="s">
        <v>518</v>
      </c>
      <c r="C240" s="14" t="s">
        <v>509</v>
      </c>
      <c r="D240" s="28" t="s">
        <v>2587</v>
      </c>
      <c r="E240" s="37" t="s">
        <v>128</v>
      </c>
      <c r="F240" s="31" t="n">
        <f aca="false">WBS!S59</f>
        <v>2</v>
      </c>
      <c r="G240" s="14" t="str">
        <f aca="false">WBS!H59</f>
        <v>P1</v>
      </c>
      <c r="H240" s="14" t="str">
        <f aca="false">WBS!G59</f>
        <v>Must</v>
      </c>
      <c r="I240" s="6" t="s">
        <v>2584</v>
      </c>
      <c r="J240" s="14"/>
      <c r="K240" s="6"/>
      <c r="L240" s="41" t="s">
        <v>2065</v>
      </c>
    </row>
    <row r="241" customFormat="false" ht="15" hidden="false" customHeight="false" outlineLevel="0" collapsed="false">
      <c r="A241" s="14" t="s">
        <v>2588</v>
      </c>
      <c r="B241" s="14" t="s">
        <v>518</v>
      </c>
      <c r="C241" s="14" t="s">
        <v>509</v>
      </c>
      <c r="D241" s="28" t="s">
        <v>2589</v>
      </c>
      <c r="E241" s="42" t="s">
        <v>2068</v>
      </c>
      <c r="F241" s="31" t="n">
        <f aca="false">WBS!P59</f>
        <v>3</v>
      </c>
      <c r="G241" s="14" t="str">
        <f aca="false">WBS!H59</f>
        <v>P1</v>
      </c>
      <c r="H241" s="14" t="str">
        <f aca="false">WBS!G59</f>
        <v>Must</v>
      </c>
      <c r="I241" s="6" t="s">
        <v>2584</v>
      </c>
      <c r="J241" s="14"/>
      <c r="K241" s="6"/>
      <c r="L241" s="41" t="s">
        <v>2065</v>
      </c>
    </row>
    <row r="242" customFormat="false" ht="15" hidden="false" customHeight="false" outlineLevel="0" collapsed="false">
      <c r="A242" s="14" t="s">
        <v>2590</v>
      </c>
      <c r="B242" s="14" t="s">
        <v>518</v>
      </c>
      <c r="C242" s="14" t="s">
        <v>509</v>
      </c>
      <c r="D242" s="28" t="s">
        <v>2591</v>
      </c>
      <c r="E242" s="22" t="s">
        <v>2071</v>
      </c>
      <c r="F242" s="31" t="n">
        <f aca="false">WBS!Q59</f>
        <v>5</v>
      </c>
      <c r="G242" s="14" t="str">
        <f aca="false">WBS!H59</f>
        <v>P1</v>
      </c>
      <c r="H242" s="14" t="str">
        <f aca="false">WBS!G59</f>
        <v>Must</v>
      </c>
      <c r="I242" s="6" t="s">
        <v>2586</v>
      </c>
      <c r="J242" s="14"/>
      <c r="K242" s="6"/>
      <c r="L242" s="41" t="s">
        <v>2065</v>
      </c>
    </row>
    <row r="243" customFormat="false" ht="15" hidden="false" customHeight="false" outlineLevel="0" collapsed="false">
      <c r="A243" s="14" t="s">
        <v>2592</v>
      </c>
      <c r="B243" s="14" t="s">
        <v>518</v>
      </c>
      <c r="C243" s="14" t="s">
        <v>509</v>
      </c>
      <c r="D243" s="28" t="s">
        <v>2593</v>
      </c>
      <c r="E243" s="43" t="s">
        <v>96</v>
      </c>
      <c r="F243" s="31" t="n">
        <f aca="false">WBS!T59</f>
        <v>2.8</v>
      </c>
      <c r="G243" s="14" t="str">
        <f aca="false">WBS!H59</f>
        <v>P1</v>
      </c>
      <c r="H243" s="14" t="str">
        <f aca="false">WBS!G59</f>
        <v>Must</v>
      </c>
      <c r="I243" s="6" t="s">
        <v>2594</v>
      </c>
      <c r="J243" s="14"/>
      <c r="K243" s="6"/>
      <c r="L243" s="41" t="s">
        <v>2065</v>
      </c>
    </row>
    <row r="244" customFormat="false" ht="15" hidden="false" customHeight="false" outlineLevel="0" collapsed="false">
      <c r="A244" s="14" t="s">
        <v>2595</v>
      </c>
      <c r="B244" s="14" t="s">
        <v>525</v>
      </c>
      <c r="C244" s="14" t="s">
        <v>509</v>
      </c>
      <c r="D244" s="28" t="s">
        <v>2596</v>
      </c>
      <c r="E244" s="40" t="s">
        <v>91</v>
      </c>
      <c r="F244" s="31" t="n">
        <f aca="false">WBS!R60</f>
        <v>1.6</v>
      </c>
      <c r="G244" s="14" t="str">
        <f aca="false">WBS!H60</f>
        <v>P1</v>
      </c>
      <c r="H244" s="14" t="str">
        <f aca="false">WBS!G60</f>
        <v>Must</v>
      </c>
      <c r="I244" s="6" t="s">
        <v>518</v>
      </c>
      <c r="J244" s="14"/>
      <c r="K244" s="6"/>
      <c r="L244" s="41" t="s">
        <v>2065</v>
      </c>
    </row>
    <row r="245" customFormat="false" ht="15" hidden="false" customHeight="false" outlineLevel="0" collapsed="false">
      <c r="A245" s="14" t="s">
        <v>2597</v>
      </c>
      <c r="B245" s="14" t="s">
        <v>525</v>
      </c>
      <c r="C245" s="14" t="s">
        <v>509</v>
      </c>
      <c r="D245" s="28" t="s">
        <v>2598</v>
      </c>
      <c r="E245" s="42" t="s">
        <v>2068</v>
      </c>
      <c r="F245" s="31" t="n">
        <f aca="false">WBS!P60</f>
        <v>3</v>
      </c>
      <c r="G245" s="14" t="str">
        <f aca="false">WBS!H60</f>
        <v>P1</v>
      </c>
      <c r="H245" s="14" t="str">
        <f aca="false">WBS!G60</f>
        <v>Must</v>
      </c>
      <c r="I245" s="6" t="s">
        <v>2595</v>
      </c>
      <c r="J245" s="14"/>
      <c r="K245" s="6"/>
      <c r="L245" s="41" t="s">
        <v>2065</v>
      </c>
    </row>
    <row r="246" customFormat="false" ht="22.35" hidden="false" customHeight="false" outlineLevel="0" collapsed="false">
      <c r="A246" s="14" t="s">
        <v>2599</v>
      </c>
      <c r="B246" s="14" t="s">
        <v>525</v>
      </c>
      <c r="C246" s="14" t="s">
        <v>509</v>
      </c>
      <c r="D246" s="28" t="s">
        <v>2600</v>
      </c>
      <c r="E246" s="22" t="s">
        <v>2071</v>
      </c>
      <c r="F246" s="31" t="n">
        <f aca="false">WBS!Q60</f>
        <v>10</v>
      </c>
      <c r="G246" s="14" t="str">
        <f aca="false">WBS!H60</f>
        <v>P1</v>
      </c>
      <c r="H246" s="14" t="str">
        <f aca="false">WBS!G60</f>
        <v>Must</v>
      </c>
      <c r="I246" s="6" t="s">
        <v>2595</v>
      </c>
      <c r="J246" s="14"/>
      <c r="K246" s="6"/>
      <c r="L246" s="41" t="s">
        <v>2065</v>
      </c>
    </row>
    <row r="247" customFormat="false" ht="15" hidden="false" customHeight="false" outlineLevel="0" collapsed="false">
      <c r="A247" s="14" t="s">
        <v>2601</v>
      </c>
      <c r="B247" s="14" t="s">
        <v>525</v>
      </c>
      <c r="C247" s="14" t="s">
        <v>509</v>
      </c>
      <c r="D247" s="28" t="s">
        <v>2602</v>
      </c>
      <c r="E247" s="43" t="s">
        <v>96</v>
      </c>
      <c r="F247" s="31" t="n">
        <f aca="false">WBS!T60</f>
        <v>4.6</v>
      </c>
      <c r="G247" s="14" t="str">
        <f aca="false">WBS!H60</f>
        <v>P1</v>
      </c>
      <c r="H247" s="14" t="str">
        <f aca="false">WBS!G60</f>
        <v>Must</v>
      </c>
      <c r="I247" s="6" t="s">
        <v>2603</v>
      </c>
      <c r="J247" s="14"/>
      <c r="K247" s="6"/>
      <c r="L247" s="41" t="s">
        <v>2065</v>
      </c>
    </row>
    <row r="248" customFormat="false" ht="15" hidden="false" customHeight="false" outlineLevel="0" collapsed="false">
      <c r="A248" s="14" t="s">
        <v>2604</v>
      </c>
      <c r="B248" s="14" t="s">
        <v>531</v>
      </c>
      <c r="C248" s="14" t="s">
        <v>509</v>
      </c>
      <c r="D248" s="28" t="s">
        <v>2605</v>
      </c>
      <c r="E248" s="40" t="s">
        <v>91</v>
      </c>
      <c r="F248" s="31" t="n">
        <f aca="false">WBS!R61</f>
        <v>1.8</v>
      </c>
      <c r="G248" s="14" t="str">
        <f aca="false">WBS!H61</f>
        <v>P1</v>
      </c>
      <c r="H248" s="14" t="str">
        <f aca="false">WBS!G61</f>
        <v>Should</v>
      </c>
      <c r="I248" s="6" t="s">
        <v>168</v>
      </c>
      <c r="J248" s="14"/>
      <c r="K248" s="6"/>
      <c r="L248" s="41" t="s">
        <v>2065</v>
      </c>
    </row>
    <row r="249" customFormat="false" ht="15" hidden="false" customHeight="false" outlineLevel="0" collapsed="false">
      <c r="A249" s="14" t="s">
        <v>2606</v>
      </c>
      <c r="B249" s="14" t="s">
        <v>531</v>
      </c>
      <c r="C249" s="14" t="s">
        <v>509</v>
      </c>
      <c r="D249" s="28" t="s">
        <v>2607</v>
      </c>
      <c r="E249" s="37" t="s">
        <v>128</v>
      </c>
      <c r="F249" s="31" t="n">
        <f aca="false">WBS!S61</f>
        <v>2</v>
      </c>
      <c r="G249" s="14" t="str">
        <f aca="false">WBS!H61</f>
        <v>P1</v>
      </c>
      <c r="H249" s="14" t="str">
        <f aca="false">WBS!G61</f>
        <v>Should</v>
      </c>
      <c r="I249" s="6" t="s">
        <v>2604</v>
      </c>
      <c r="J249" s="14"/>
      <c r="K249" s="6"/>
      <c r="L249" s="41" t="s">
        <v>2065</v>
      </c>
    </row>
    <row r="250" customFormat="false" ht="22.35" hidden="false" customHeight="false" outlineLevel="0" collapsed="false">
      <c r="A250" s="14" t="s">
        <v>2608</v>
      </c>
      <c r="B250" s="14" t="s">
        <v>531</v>
      </c>
      <c r="C250" s="14" t="s">
        <v>509</v>
      </c>
      <c r="D250" s="28" t="s">
        <v>2609</v>
      </c>
      <c r="E250" s="42" t="s">
        <v>2068</v>
      </c>
      <c r="F250" s="31" t="n">
        <f aca="false">WBS!P61</f>
        <v>10</v>
      </c>
      <c r="G250" s="14" t="str">
        <f aca="false">WBS!H61</f>
        <v>P1</v>
      </c>
      <c r="H250" s="14" t="str">
        <f aca="false">WBS!G61</f>
        <v>Should</v>
      </c>
      <c r="I250" s="6" t="s">
        <v>2604</v>
      </c>
      <c r="J250" s="14"/>
      <c r="K250" s="6"/>
      <c r="L250" s="41" t="s">
        <v>2065</v>
      </c>
    </row>
    <row r="251" customFormat="false" ht="15" hidden="false" customHeight="false" outlineLevel="0" collapsed="false">
      <c r="A251" s="14" t="s">
        <v>2610</v>
      </c>
      <c r="B251" s="14" t="s">
        <v>531</v>
      </c>
      <c r="C251" s="14" t="s">
        <v>509</v>
      </c>
      <c r="D251" s="28" t="s">
        <v>2611</v>
      </c>
      <c r="E251" s="22" t="s">
        <v>2071</v>
      </c>
      <c r="F251" s="31" t="n">
        <f aca="false">WBS!Q61</f>
        <v>5</v>
      </c>
      <c r="G251" s="14" t="str">
        <f aca="false">WBS!H61</f>
        <v>P1</v>
      </c>
      <c r="H251" s="14" t="str">
        <f aca="false">WBS!G61</f>
        <v>Should</v>
      </c>
      <c r="I251" s="6" t="s">
        <v>2606</v>
      </c>
      <c r="J251" s="14"/>
      <c r="K251" s="6"/>
      <c r="L251" s="41" t="s">
        <v>2065</v>
      </c>
    </row>
    <row r="252" customFormat="false" ht="15" hidden="false" customHeight="false" outlineLevel="0" collapsed="false">
      <c r="A252" s="14" t="s">
        <v>2612</v>
      </c>
      <c r="B252" s="14" t="s">
        <v>531</v>
      </c>
      <c r="C252" s="14" t="s">
        <v>509</v>
      </c>
      <c r="D252" s="28" t="s">
        <v>2613</v>
      </c>
      <c r="E252" s="43" t="s">
        <v>96</v>
      </c>
      <c r="F252" s="31" t="n">
        <f aca="false">WBS!T61</f>
        <v>5.3</v>
      </c>
      <c r="G252" s="14" t="str">
        <f aca="false">WBS!H61</f>
        <v>P1</v>
      </c>
      <c r="H252" s="14" t="str">
        <f aca="false">WBS!G61</f>
        <v>Should</v>
      </c>
      <c r="I252" s="6" t="s">
        <v>2614</v>
      </c>
      <c r="J252" s="14"/>
      <c r="K252" s="6"/>
      <c r="L252" s="41" t="s">
        <v>2065</v>
      </c>
    </row>
    <row r="253" customFormat="false" ht="15" hidden="false" customHeight="false" outlineLevel="0" collapsed="false">
      <c r="A253" s="14" t="s">
        <v>2615</v>
      </c>
      <c r="B253" s="14" t="s">
        <v>539</v>
      </c>
      <c r="C253" s="14" t="s">
        <v>509</v>
      </c>
      <c r="D253" s="28" t="s">
        <v>2616</v>
      </c>
      <c r="E253" s="40" t="s">
        <v>91</v>
      </c>
      <c r="F253" s="31" t="n">
        <f aca="false">WBS!R62</f>
        <v>1</v>
      </c>
      <c r="G253" s="14" t="str">
        <f aca="false">WBS!H62</f>
        <v>P1</v>
      </c>
      <c r="H253" s="14" t="str">
        <f aca="false">WBS!G62</f>
        <v>Should</v>
      </c>
      <c r="I253" s="6" t="s">
        <v>508</v>
      </c>
      <c r="J253" s="14"/>
      <c r="K253" s="6"/>
      <c r="L253" s="41" t="s">
        <v>2065</v>
      </c>
    </row>
    <row r="254" customFormat="false" ht="15" hidden="false" customHeight="false" outlineLevel="0" collapsed="false">
      <c r="A254" s="14" t="s">
        <v>2617</v>
      </c>
      <c r="B254" s="14" t="s">
        <v>539</v>
      </c>
      <c r="C254" s="14" t="s">
        <v>509</v>
      </c>
      <c r="D254" s="28" t="s">
        <v>2618</v>
      </c>
      <c r="E254" s="37" t="s">
        <v>128</v>
      </c>
      <c r="F254" s="31" t="n">
        <f aca="false">WBS!S62</f>
        <v>2</v>
      </c>
      <c r="G254" s="14" t="str">
        <f aca="false">WBS!H62</f>
        <v>P1</v>
      </c>
      <c r="H254" s="14" t="str">
        <f aca="false">WBS!G62</f>
        <v>Should</v>
      </c>
      <c r="I254" s="6" t="s">
        <v>2615</v>
      </c>
      <c r="J254" s="14"/>
      <c r="K254" s="6"/>
      <c r="L254" s="41" t="s">
        <v>2065</v>
      </c>
    </row>
    <row r="255" customFormat="false" ht="15" hidden="false" customHeight="false" outlineLevel="0" collapsed="false">
      <c r="A255" s="14" t="s">
        <v>2619</v>
      </c>
      <c r="B255" s="14" t="s">
        <v>539</v>
      </c>
      <c r="C255" s="14" t="s">
        <v>509</v>
      </c>
      <c r="D255" s="28" t="s">
        <v>2620</v>
      </c>
      <c r="E255" s="42" t="s">
        <v>2068</v>
      </c>
      <c r="F255" s="31" t="n">
        <f aca="false">WBS!P62</f>
        <v>3</v>
      </c>
      <c r="G255" s="14" t="str">
        <f aca="false">WBS!H62</f>
        <v>P1</v>
      </c>
      <c r="H255" s="14" t="str">
        <f aca="false">WBS!G62</f>
        <v>Should</v>
      </c>
      <c r="I255" s="6" t="s">
        <v>2615</v>
      </c>
      <c r="J255" s="14"/>
      <c r="K255" s="6"/>
      <c r="L255" s="41" t="s">
        <v>2065</v>
      </c>
    </row>
    <row r="256" customFormat="false" ht="15" hidden="false" customHeight="false" outlineLevel="0" collapsed="false">
      <c r="A256" s="14" t="s">
        <v>2621</v>
      </c>
      <c r="B256" s="14" t="s">
        <v>539</v>
      </c>
      <c r="C256" s="14" t="s">
        <v>509</v>
      </c>
      <c r="D256" s="28" t="s">
        <v>2622</v>
      </c>
      <c r="E256" s="22" t="s">
        <v>2071</v>
      </c>
      <c r="F256" s="31" t="n">
        <f aca="false">WBS!Q62</f>
        <v>5</v>
      </c>
      <c r="G256" s="14" t="str">
        <f aca="false">WBS!H62</f>
        <v>P1</v>
      </c>
      <c r="H256" s="14" t="str">
        <f aca="false">WBS!G62</f>
        <v>Should</v>
      </c>
      <c r="I256" s="6" t="s">
        <v>2617</v>
      </c>
      <c r="J256" s="14"/>
      <c r="K256" s="6"/>
      <c r="L256" s="41" t="s">
        <v>2065</v>
      </c>
    </row>
    <row r="257" customFormat="false" ht="15" hidden="false" customHeight="false" outlineLevel="0" collapsed="false">
      <c r="A257" s="14" t="s">
        <v>2623</v>
      </c>
      <c r="B257" s="14" t="s">
        <v>539</v>
      </c>
      <c r="C257" s="14" t="s">
        <v>509</v>
      </c>
      <c r="D257" s="28" t="s">
        <v>2624</v>
      </c>
      <c r="E257" s="43" t="s">
        <v>96</v>
      </c>
      <c r="F257" s="31" t="n">
        <f aca="false">WBS!T62</f>
        <v>2.8</v>
      </c>
      <c r="G257" s="14" t="str">
        <f aca="false">WBS!H62</f>
        <v>P1</v>
      </c>
      <c r="H257" s="14" t="str">
        <f aca="false">WBS!G62</f>
        <v>Should</v>
      </c>
      <c r="I257" s="6" t="s">
        <v>2625</v>
      </c>
      <c r="J257" s="14"/>
      <c r="K257" s="6"/>
      <c r="L257" s="41" t="s">
        <v>2065</v>
      </c>
    </row>
    <row r="258" customFormat="false" ht="15" hidden="false" customHeight="false" outlineLevel="0" collapsed="false">
      <c r="A258" s="14" t="s">
        <v>2626</v>
      </c>
      <c r="B258" s="14" t="s">
        <v>547</v>
      </c>
      <c r="C258" s="14" t="s">
        <v>509</v>
      </c>
      <c r="D258" s="28" t="s">
        <v>2627</v>
      </c>
      <c r="E258" s="40" t="s">
        <v>91</v>
      </c>
      <c r="F258" s="31" t="n">
        <f aca="false">WBS!R63</f>
        <v>1.2</v>
      </c>
      <c r="G258" s="14" t="str">
        <f aca="false">WBS!H63</f>
        <v>P1</v>
      </c>
      <c r="H258" s="14" t="str">
        <f aca="false">WBS!G63</f>
        <v>Must</v>
      </c>
      <c r="I258" s="6" t="s">
        <v>554</v>
      </c>
      <c r="J258" s="14"/>
      <c r="K258" s="6"/>
      <c r="L258" s="41" t="s">
        <v>2065</v>
      </c>
    </row>
    <row r="259" customFormat="false" ht="15" hidden="false" customHeight="false" outlineLevel="0" collapsed="false">
      <c r="A259" s="14" t="s">
        <v>2628</v>
      </c>
      <c r="B259" s="14" t="s">
        <v>547</v>
      </c>
      <c r="C259" s="14" t="s">
        <v>509</v>
      </c>
      <c r="D259" s="28" t="s">
        <v>2629</v>
      </c>
      <c r="E259" s="37" t="s">
        <v>128</v>
      </c>
      <c r="F259" s="31" t="n">
        <f aca="false">WBS!S63</f>
        <v>2</v>
      </c>
      <c r="G259" s="14" t="str">
        <f aca="false">WBS!H63</f>
        <v>P1</v>
      </c>
      <c r="H259" s="14" t="str">
        <f aca="false">WBS!G63</f>
        <v>Must</v>
      </c>
      <c r="I259" s="6" t="s">
        <v>2626</v>
      </c>
      <c r="J259" s="14"/>
      <c r="K259" s="6"/>
      <c r="L259" s="41" t="s">
        <v>2065</v>
      </c>
    </row>
    <row r="260" customFormat="false" ht="22.35" hidden="false" customHeight="false" outlineLevel="0" collapsed="false">
      <c r="A260" s="14" t="s">
        <v>2630</v>
      </c>
      <c r="B260" s="14" t="s">
        <v>547</v>
      </c>
      <c r="C260" s="14" t="s">
        <v>509</v>
      </c>
      <c r="D260" s="28" t="s">
        <v>2631</v>
      </c>
      <c r="E260" s="42" t="s">
        <v>2068</v>
      </c>
      <c r="F260" s="31" t="n">
        <f aca="false">WBS!P63</f>
        <v>5</v>
      </c>
      <c r="G260" s="14" t="str">
        <f aca="false">WBS!H63</f>
        <v>P1</v>
      </c>
      <c r="H260" s="14" t="str">
        <f aca="false">WBS!G63</f>
        <v>Must</v>
      </c>
      <c r="I260" s="6" t="s">
        <v>2626</v>
      </c>
      <c r="J260" s="14"/>
      <c r="K260" s="6"/>
      <c r="L260" s="41" t="s">
        <v>2065</v>
      </c>
    </row>
    <row r="261" customFormat="false" ht="15" hidden="false" customHeight="false" outlineLevel="0" collapsed="false">
      <c r="A261" s="14" t="s">
        <v>2632</v>
      </c>
      <c r="B261" s="14" t="s">
        <v>547</v>
      </c>
      <c r="C261" s="14" t="s">
        <v>509</v>
      </c>
      <c r="D261" s="28" t="s">
        <v>2633</v>
      </c>
      <c r="E261" s="22" t="s">
        <v>2071</v>
      </c>
      <c r="F261" s="31" t="n">
        <f aca="false">WBS!Q63</f>
        <v>5</v>
      </c>
      <c r="G261" s="14" t="str">
        <f aca="false">WBS!H63</f>
        <v>P1</v>
      </c>
      <c r="H261" s="14" t="str">
        <f aca="false">WBS!G63</f>
        <v>Must</v>
      </c>
      <c r="I261" s="6" t="s">
        <v>2628</v>
      </c>
      <c r="J261" s="14"/>
      <c r="K261" s="6"/>
      <c r="L261" s="41" t="s">
        <v>2065</v>
      </c>
    </row>
    <row r="262" customFormat="false" ht="15" hidden="false" customHeight="false" outlineLevel="0" collapsed="false">
      <c r="A262" s="14" t="s">
        <v>2634</v>
      </c>
      <c r="B262" s="14" t="s">
        <v>547</v>
      </c>
      <c r="C262" s="14" t="s">
        <v>509</v>
      </c>
      <c r="D262" s="28" t="s">
        <v>2635</v>
      </c>
      <c r="E262" s="43" t="s">
        <v>96</v>
      </c>
      <c r="F262" s="31" t="n">
        <f aca="false">WBS!T63</f>
        <v>3.5</v>
      </c>
      <c r="G262" s="14" t="str">
        <f aca="false">WBS!H63</f>
        <v>P1</v>
      </c>
      <c r="H262" s="14" t="str">
        <f aca="false">WBS!G63</f>
        <v>Must</v>
      </c>
      <c r="I262" s="6" t="s">
        <v>2636</v>
      </c>
      <c r="J262" s="14"/>
      <c r="K262" s="6"/>
      <c r="L262" s="41" t="s">
        <v>2065</v>
      </c>
    </row>
    <row r="263" customFormat="false" ht="15" hidden="false" customHeight="false" outlineLevel="0" collapsed="false">
      <c r="A263" s="14" t="s">
        <v>2637</v>
      </c>
      <c r="B263" s="14" t="s">
        <v>556</v>
      </c>
      <c r="C263" s="14" t="s">
        <v>509</v>
      </c>
      <c r="D263" s="28" t="s">
        <v>2638</v>
      </c>
      <c r="E263" s="40" t="s">
        <v>91</v>
      </c>
      <c r="F263" s="31" t="n">
        <f aca="false">WBS!R64</f>
        <v>0.7</v>
      </c>
      <c r="G263" s="14" t="str">
        <f aca="false">WBS!H64</f>
        <v>P1</v>
      </c>
      <c r="H263" s="14" t="str">
        <f aca="false">WBS!G64</f>
        <v>Must</v>
      </c>
      <c r="I263" s="6" t="s">
        <v>563</v>
      </c>
      <c r="J263" s="14"/>
      <c r="K263" s="6"/>
      <c r="L263" s="41" t="s">
        <v>2065</v>
      </c>
    </row>
    <row r="264" customFormat="false" ht="15" hidden="false" customHeight="false" outlineLevel="0" collapsed="false">
      <c r="A264" s="14" t="s">
        <v>2639</v>
      </c>
      <c r="B264" s="14" t="s">
        <v>556</v>
      </c>
      <c r="C264" s="14" t="s">
        <v>509</v>
      </c>
      <c r="D264" s="28" t="s">
        <v>2640</v>
      </c>
      <c r="E264" s="42" t="s">
        <v>2068</v>
      </c>
      <c r="F264" s="31" t="n">
        <f aca="false">WBS!P64</f>
        <v>3</v>
      </c>
      <c r="G264" s="14" t="str">
        <f aca="false">WBS!H64</f>
        <v>P1</v>
      </c>
      <c r="H264" s="14" t="str">
        <f aca="false">WBS!G64</f>
        <v>Must</v>
      </c>
      <c r="I264" s="6" t="s">
        <v>2637</v>
      </c>
      <c r="J264" s="14"/>
      <c r="K264" s="6"/>
      <c r="L264" s="41" t="s">
        <v>2065</v>
      </c>
    </row>
    <row r="265" customFormat="false" ht="15" hidden="false" customHeight="false" outlineLevel="0" collapsed="false">
      <c r="A265" s="14" t="s">
        <v>2641</v>
      </c>
      <c r="B265" s="14" t="s">
        <v>556</v>
      </c>
      <c r="C265" s="14" t="s">
        <v>509</v>
      </c>
      <c r="D265" s="28" t="s">
        <v>2642</v>
      </c>
      <c r="E265" s="22" t="s">
        <v>2071</v>
      </c>
      <c r="F265" s="31" t="n">
        <f aca="false">WBS!Q64</f>
        <v>3</v>
      </c>
      <c r="G265" s="14" t="str">
        <f aca="false">WBS!H64</f>
        <v>P1</v>
      </c>
      <c r="H265" s="14" t="str">
        <f aca="false">WBS!G64</f>
        <v>Must</v>
      </c>
      <c r="I265" s="6" t="s">
        <v>2637</v>
      </c>
      <c r="J265" s="14"/>
      <c r="K265" s="6"/>
      <c r="L265" s="41" t="s">
        <v>2065</v>
      </c>
    </row>
    <row r="266" customFormat="false" ht="15" hidden="false" customHeight="false" outlineLevel="0" collapsed="false">
      <c r="A266" s="14" t="s">
        <v>2643</v>
      </c>
      <c r="B266" s="14" t="s">
        <v>556</v>
      </c>
      <c r="C266" s="14" t="s">
        <v>509</v>
      </c>
      <c r="D266" s="28" t="s">
        <v>2644</v>
      </c>
      <c r="E266" s="43" t="s">
        <v>96</v>
      </c>
      <c r="F266" s="31" t="n">
        <f aca="false">WBS!T64</f>
        <v>2.1</v>
      </c>
      <c r="G266" s="14" t="str">
        <f aca="false">WBS!H64</f>
        <v>P1</v>
      </c>
      <c r="H266" s="14" t="str">
        <f aca="false">WBS!G64</f>
        <v>Must</v>
      </c>
      <c r="I266" s="6" t="s">
        <v>2645</v>
      </c>
      <c r="J266" s="14"/>
      <c r="K266" s="6"/>
      <c r="L266" s="41" t="s">
        <v>2065</v>
      </c>
    </row>
    <row r="267" customFormat="false" ht="15" hidden="false" customHeight="false" outlineLevel="0" collapsed="false">
      <c r="A267" s="14" t="s">
        <v>2646</v>
      </c>
      <c r="B267" s="14" t="s">
        <v>564</v>
      </c>
      <c r="C267" s="14" t="s">
        <v>509</v>
      </c>
      <c r="D267" s="28" t="s">
        <v>2647</v>
      </c>
      <c r="E267" s="40" t="s">
        <v>91</v>
      </c>
      <c r="F267" s="31" t="n">
        <f aca="false">WBS!R65</f>
        <v>1.2</v>
      </c>
      <c r="G267" s="14" t="str">
        <f aca="false">WBS!H65</f>
        <v>P1</v>
      </c>
      <c r="H267" s="14" t="str">
        <f aca="false">WBS!G65</f>
        <v>Must</v>
      </c>
      <c r="I267" s="6" t="s">
        <v>571</v>
      </c>
      <c r="J267" s="14"/>
      <c r="K267" s="6"/>
      <c r="L267" s="41" t="s">
        <v>2065</v>
      </c>
    </row>
    <row r="268" customFormat="false" ht="15" hidden="false" customHeight="false" outlineLevel="0" collapsed="false">
      <c r="A268" s="14" t="s">
        <v>2648</v>
      </c>
      <c r="B268" s="14" t="s">
        <v>564</v>
      </c>
      <c r="C268" s="14" t="s">
        <v>509</v>
      </c>
      <c r="D268" s="28" t="s">
        <v>2649</v>
      </c>
      <c r="E268" s="37" t="s">
        <v>128</v>
      </c>
      <c r="F268" s="31" t="n">
        <f aca="false">WBS!S65</f>
        <v>2</v>
      </c>
      <c r="G268" s="14" t="str">
        <f aca="false">WBS!H65</f>
        <v>P1</v>
      </c>
      <c r="H268" s="14" t="str">
        <f aca="false">WBS!G65</f>
        <v>Must</v>
      </c>
      <c r="I268" s="6" t="s">
        <v>2646</v>
      </c>
      <c r="J268" s="14"/>
      <c r="K268" s="6"/>
      <c r="L268" s="41" t="s">
        <v>2065</v>
      </c>
    </row>
    <row r="269" customFormat="false" ht="22.35" hidden="false" customHeight="false" outlineLevel="0" collapsed="false">
      <c r="A269" s="14" t="s">
        <v>2650</v>
      </c>
      <c r="B269" s="14" t="s">
        <v>564</v>
      </c>
      <c r="C269" s="14" t="s">
        <v>509</v>
      </c>
      <c r="D269" s="28" t="s">
        <v>2651</v>
      </c>
      <c r="E269" s="42" t="s">
        <v>2068</v>
      </c>
      <c r="F269" s="31" t="n">
        <f aca="false">WBS!P65</f>
        <v>5</v>
      </c>
      <c r="G269" s="14" t="str">
        <f aca="false">WBS!H65</f>
        <v>P1</v>
      </c>
      <c r="H269" s="14" t="str">
        <f aca="false">WBS!G65</f>
        <v>Must</v>
      </c>
      <c r="I269" s="6" t="s">
        <v>2646</v>
      </c>
      <c r="J269" s="14"/>
      <c r="K269" s="6"/>
      <c r="L269" s="41" t="s">
        <v>2065</v>
      </c>
    </row>
    <row r="270" customFormat="false" ht="15" hidden="false" customHeight="false" outlineLevel="0" collapsed="false">
      <c r="A270" s="14" t="s">
        <v>2652</v>
      </c>
      <c r="B270" s="14" t="s">
        <v>564</v>
      </c>
      <c r="C270" s="14" t="s">
        <v>509</v>
      </c>
      <c r="D270" s="28" t="s">
        <v>2653</v>
      </c>
      <c r="E270" s="22" t="s">
        <v>2071</v>
      </c>
      <c r="F270" s="31" t="n">
        <f aca="false">WBS!Q65</f>
        <v>5</v>
      </c>
      <c r="G270" s="14" t="str">
        <f aca="false">WBS!H65</f>
        <v>P1</v>
      </c>
      <c r="H270" s="14" t="str">
        <f aca="false">WBS!G65</f>
        <v>Must</v>
      </c>
      <c r="I270" s="6" t="s">
        <v>2648</v>
      </c>
      <c r="J270" s="14"/>
      <c r="K270" s="6"/>
      <c r="L270" s="41" t="s">
        <v>2065</v>
      </c>
    </row>
    <row r="271" customFormat="false" ht="15" hidden="false" customHeight="false" outlineLevel="0" collapsed="false">
      <c r="A271" s="14" t="s">
        <v>2654</v>
      </c>
      <c r="B271" s="14" t="s">
        <v>564</v>
      </c>
      <c r="C271" s="14" t="s">
        <v>509</v>
      </c>
      <c r="D271" s="28" t="s">
        <v>2655</v>
      </c>
      <c r="E271" s="43" t="s">
        <v>96</v>
      </c>
      <c r="F271" s="31" t="n">
        <f aca="false">WBS!T65</f>
        <v>3.5</v>
      </c>
      <c r="G271" s="14" t="str">
        <f aca="false">WBS!H65</f>
        <v>P1</v>
      </c>
      <c r="H271" s="14" t="str">
        <f aca="false">WBS!G65</f>
        <v>Must</v>
      </c>
      <c r="I271" s="6" t="s">
        <v>2656</v>
      </c>
      <c r="J271" s="14"/>
      <c r="K271" s="6"/>
      <c r="L271" s="41" t="s">
        <v>2065</v>
      </c>
    </row>
    <row r="272" customFormat="false" ht="15" hidden="false" customHeight="false" outlineLevel="0" collapsed="false">
      <c r="A272" s="14" t="s">
        <v>2657</v>
      </c>
      <c r="B272" s="14" t="s">
        <v>572</v>
      </c>
      <c r="C272" s="14" t="s">
        <v>509</v>
      </c>
      <c r="D272" s="28" t="s">
        <v>2658</v>
      </c>
      <c r="E272" s="40" t="s">
        <v>91</v>
      </c>
      <c r="F272" s="31" t="n">
        <f aca="false">WBS!R66</f>
        <v>1</v>
      </c>
      <c r="G272" s="14" t="str">
        <f aca="false">WBS!H66</f>
        <v>P1</v>
      </c>
      <c r="H272" s="14" t="str">
        <f aca="false">WBS!G66</f>
        <v>Must</v>
      </c>
      <c r="I272" s="6" t="s">
        <v>192</v>
      </c>
      <c r="J272" s="14"/>
      <c r="K272" s="6"/>
      <c r="L272" s="41" t="s">
        <v>2065</v>
      </c>
    </row>
    <row r="273" customFormat="false" ht="15" hidden="false" customHeight="false" outlineLevel="0" collapsed="false">
      <c r="A273" s="14" t="s">
        <v>2659</v>
      </c>
      <c r="B273" s="14" t="s">
        <v>572</v>
      </c>
      <c r="C273" s="14" t="s">
        <v>509</v>
      </c>
      <c r="D273" s="28" t="s">
        <v>2660</v>
      </c>
      <c r="E273" s="42" t="s">
        <v>2068</v>
      </c>
      <c r="F273" s="31" t="n">
        <f aca="false">WBS!P66</f>
        <v>5</v>
      </c>
      <c r="G273" s="14" t="str">
        <f aca="false">WBS!H66</f>
        <v>P1</v>
      </c>
      <c r="H273" s="14" t="str">
        <f aca="false">WBS!G66</f>
        <v>Must</v>
      </c>
      <c r="I273" s="6" t="s">
        <v>2657</v>
      </c>
      <c r="J273" s="14"/>
      <c r="K273" s="6"/>
      <c r="L273" s="41" t="s">
        <v>2065</v>
      </c>
    </row>
    <row r="274" customFormat="false" ht="15" hidden="false" customHeight="false" outlineLevel="0" collapsed="false">
      <c r="A274" s="14" t="s">
        <v>2661</v>
      </c>
      <c r="B274" s="14" t="s">
        <v>572</v>
      </c>
      <c r="C274" s="14" t="s">
        <v>509</v>
      </c>
      <c r="D274" s="28" t="s">
        <v>2662</v>
      </c>
      <c r="E274" s="22" t="s">
        <v>2071</v>
      </c>
      <c r="F274" s="31" t="n">
        <f aca="false">WBS!Q66</f>
        <v>3</v>
      </c>
      <c r="G274" s="14" t="str">
        <f aca="false">WBS!H66</f>
        <v>P1</v>
      </c>
      <c r="H274" s="14" t="str">
        <f aca="false">WBS!G66</f>
        <v>Must</v>
      </c>
      <c r="I274" s="6" t="s">
        <v>2657</v>
      </c>
      <c r="J274" s="14"/>
      <c r="K274" s="6"/>
      <c r="L274" s="41" t="s">
        <v>2065</v>
      </c>
    </row>
    <row r="275" customFormat="false" ht="15" hidden="false" customHeight="false" outlineLevel="0" collapsed="false">
      <c r="A275" s="14" t="s">
        <v>2663</v>
      </c>
      <c r="B275" s="14" t="s">
        <v>572</v>
      </c>
      <c r="C275" s="14" t="s">
        <v>509</v>
      </c>
      <c r="D275" s="28" t="s">
        <v>2664</v>
      </c>
      <c r="E275" s="43" t="s">
        <v>96</v>
      </c>
      <c r="F275" s="31" t="n">
        <f aca="false">WBS!T66</f>
        <v>2.8</v>
      </c>
      <c r="G275" s="14" t="str">
        <f aca="false">WBS!H66</f>
        <v>P1</v>
      </c>
      <c r="H275" s="14" t="str">
        <f aca="false">WBS!G66</f>
        <v>Must</v>
      </c>
      <c r="I275" s="6" t="s">
        <v>2665</v>
      </c>
      <c r="J275" s="14"/>
      <c r="K275" s="6"/>
      <c r="L275" s="41" t="s">
        <v>2065</v>
      </c>
    </row>
    <row r="276" customFormat="false" ht="15" hidden="false" customHeight="false" outlineLevel="0" collapsed="false">
      <c r="A276" s="14" t="s">
        <v>2666</v>
      </c>
      <c r="B276" s="14" t="s">
        <v>579</v>
      </c>
      <c r="C276" s="14" t="s">
        <v>509</v>
      </c>
      <c r="D276" s="28" t="s">
        <v>2667</v>
      </c>
      <c r="E276" s="40" t="s">
        <v>91</v>
      </c>
      <c r="F276" s="31" t="n">
        <f aca="false">WBS!R67</f>
        <v>1</v>
      </c>
      <c r="G276" s="14" t="str">
        <f aca="false">WBS!H67</f>
        <v>P1</v>
      </c>
      <c r="H276" s="14" t="str">
        <f aca="false">WBS!G67</f>
        <v>Must</v>
      </c>
      <c r="I276" s="6" t="s">
        <v>586</v>
      </c>
      <c r="J276" s="14"/>
      <c r="K276" s="6"/>
      <c r="L276" s="41" t="s">
        <v>2065</v>
      </c>
    </row>
    <row r="277" customFormat="false" ht="22.35" hidden="false" customHeight="false" outlineLevel="0" collapsed="false">
      <c r="A277" s="14" t="s">
        <v>2668</v>
      </c>
      <c r="B277" s="14" t="s">
        <v>579</v>
      </c>
      <c r="C277" s="14" t="s">
        <v>509</v>
      </c>
      <c r="D277" s="28" t="s">
        <v>2669</v>
      </c>
      <c r="E277" s="42" t="s">
        <v>2068</v>
      </c>
      <c r="F277" s="31" t="n">
        <f aca="false">WBS!P67</f>
        <v>5</v>
      </c>
      <c r="G277" s="14" t="str">
        <f aca="false">WBS!H67</f>
        <v>P1</v>
      </c>
      <c r="H277" s="14" t="str">
        <f aca="false">WBS!G67</f>
        <v>Must</v>
      </c>
      <c r="I277" s="6" t="s">
        <v>2666</v>
      </c>
      <c r="J277" s="14"/>
      <c r="K277" s="6"/>
      <c r="L277" s="41" t="s">
        <v>2065</v>
      </c>
    </row>
    <row r="278" customFormat="false" ht="15" hidden="false" customHeight="false" outlineLevel="0" collapsed="false">
      <c r="A278" s="14" t="s">
        <v>2670</v>
      </c>
      <c r="B278" s="14" t="s">
        <v>579</v>
      </c>
      <c r="C278" s="14" t="s">
        <v>509</v>
      </c>
      <c r="D278" s="28" t="s">
        <v>2671</v>
      </c>
      <c r="E278" s="22" t="s">
        <v>2071</v>
      </c>
      <c r="F278" s="31" t="n">
        <f aca="false">WBS!Q67</f>
        <v>3</v>
      </c>
      <c r="G278" s="14" t="str">
        <f aca="false">WBS!H67</f>
        <v>P1</v>
      </c>
      <c r="H278" s="14" t="str">
        <f aca="false">WBS!G67</f>
        <v>Must</v>
      </c>
      <c r="I278" s="6" t="s">
        <v>2666</v>
      </c>
      <c r="J278" s="14"/>
      <c r="K278" s="6"/>
      <c r="L278" s="41" t="s">
        <v>2065</v>
      </c>
    </row>
    <row r="279" customFormat="false" ht="15" hidden="false" customHeight="false" outlineLevel="0" collapsed="false">
      <c r="A279" s="14" t="s">
        <v>2672</v>
      </c>
      <c r="B279" s="14" t="s">
        <v>579</v>
      </c>
      <c r="C279" s="14" t="s">
        <v>509</v>
      </c>
      <c r="D279" s="28" t="s">
        <v>2673</v>
      </c>
      <c r="E279" s="43" t="s">
        <v>96</v>
      </c>
      <c r="F279" s="31" t="n">
        <f aca="false">WBS!T67</f>
        <v>2.8</v>
      </c>
      <c r="G279" s="14" t="str">
        <f aca="false">WBS!H67</f>
        <v>P1</v>
      </c>
      <c r="H279" s="14" t="str">
        <f aca="false">WBS!G67</f>
        <v>Must</v>
      </c>
      <c r="I279" s="6" t="s">
        <v>2674</v>
      </c>
      <c r="J279" s="14"/>
      <c r="K279" s="6"/>
      <c r="L279" s="41" t="s">
        <v>2065</v>
      </c>
    </row>
    <row r="280" customFormat="false" ht="15" hidden="false" customHeight="false" outlineLevel="0" collapsed="false">
      <c r="A280" s="14" t="s">
        <v>2675</v>
      </c>
      <c r="B280" s="14" t="s">
        <v>587</v>
      </c>
      <c r="C280" s="14" t="s">
        <v>509</v>
      </c>
      <c r="D280" s="28" t="s">
        <v>2676</v>
      </c>
      <c r="E280" s="40" t="s">
        <v>91</v>
      </c>
      <c r="F280" s="31" t="n">
        <f aca="false">WBS!R68</f>
        <v>1.2</v>
      </c>
      <c r="G280" s="14" t="str">
        <f aca="false">WBS!H68</f>
        <v>P1</v>
      </c>
      <c r="H280" s="14" t="str">
        <f aca="false">WBS!G68</f>
        <v>Must</v>
      </c>
      <c r="I280" s="6" t="s">
        <v>593</v>
      </c>
      <c r="J280" s="14"/>
      <c r="K280" s="6"/>
      <c r="L280" s="41" t="s">
        <v>2065</v>
      </c>
    </row>
    <row r="281" customFormat="false" ht="15" hidden="false" customHeight="false" outlineLevel="0" collapsed="false">
      <c r="A281" s="14" t="s">
        <v>2677</v>
      </c>
      <c r="B281" s="14" t="s">
        <v>587</v>
      </c>
      <c r="C281" s="14" t="s">
        <v>509</v>
      </c>
      <c r="D281" s="28" t="s">
        <v>2678</v>
      </c>
      <c r="E281" s="37" t="s">
        <v>128</v>
      </c>
      <c r="F281" s="31" t="n">
        <f aca="false">WBS!S68</f>
        <v>2</v>
      </c>
      <c r="G281" s="14" t="str">
        <f aca="false">WBS!H68</f>
        <v>P1</v>
      </c>
      <c r="H281" s="14" t="str">
        <f aca="false">WBS!G68</f>
        <v>Must</v>
      </c>
      <c r="I281" s="6" t="s">
        <v>2675</v>
      </c>
      <c r="J281" s="14"/>
      <c r="K281" s="6"/>
      <c r="L281" s="41" t="s">
        <v>2065</v>
      </c>
    </row>
    <row r="282" customFormat="false" ht="22.35" hidden="false" customHeight="false" outlineLevel="0" collapsed="false">
      <c r="A282" s="14" t="s">
        <v>2679</v>
      </c>
      <c r="B282" s="14" t="s">
        <v>587</v>
      </c>
      <c r="C282" s="14" t="s">
        <v>509</v>
      </c>
      <c r="D282" s="28" t="s">
        <v>2680</v>
      </c>
      <c r="E282" s="42" t="s">
        <v>2068</v>
      </c>
      <c r="F282" s="31" t="n">
        <f aca="false">WBS!P68</f>
        <v>5</v>
      </c>
      <c r="G282" s="14" t="str">
        <f aca="false">WBS!H68</f>
        <v>P1</v>
      </c>
      <c r="H282" s="14" t="str">
        <f aca="false">WBS!G68</f>
        <v>Must</v>
      </c>
      <c r="I282" s="6" t="s">
        <v>2675</v>
      </c>
      <c r="J282" s="14"/>
      <c r="K282" s="6"/>
      <c r="L282" s="41" t="s">
        <v>2065</v>
      </c>
    </row>
    <row r="283" customFormat="false" ht="15" hidden="false" customHeight="false" outlineLevel="0" collapsed="false">
      <c r="A283" s="14" t="s">
        <v>2681</v>
      </c>
      <c r="B283" s="14" t="s">
        <v>587</v>
      </c>
      <c r="C283" s="14" t="s">
        <v>509</v>
      </c>
      <c r="D283" s="28" t="s">
        <v>2682</v>
      </c>
      <c r="E283" s="22" t="s">
        <v>2071</v>
      </c>
      <c r="F283" s="31" t="n">
        <f aca="false">WBS!Q68</f>
        <v>5</v>
      </c>
      <c r="G283" s="14" t="str">
        <f aca="false">WBS!H68</f>
        <v>P1</v>
      </c>
      <c r="H283" s="14" t="str">
        <f aca="false">WBS!G68</f>
        <v>Must</v>
      </c>
      <c r="I283" s="6" t="s">
        <v>2677</v>
      </c>
      <c r="J283" s="14"/>
      <c r="K283" s="6"/>
      <c r="L283" s="41" t="s">
        <v>2065</v>
      </c>
    </row>
    <row r="284" customFormat="false" ht="15" hidden="false" customHeight="false" outlineLevel="0" collapsed="false">
      <c r="A284" s="14" t="s">
        <v>2683</v>
      </c>
      <c r="B284" s="14" t="s">
        <v>587</v>
      </c>
      <c r="C284" s="14" t="s">
        <v>509</v>
      </c>
      <c r="D284" s="28" t="s">
        <v>2684</v>
      </c>
      <c r="E284" s="43" t="s">
        <v>96</v>
      </c>
      <c r="F284" s="31" t="n">
        <f aca="false">WBS!T68</f>
        <v>3.5</v>
      </c>
      <c r="G284" s="14" t="str">
        <f aca="false">WBS!H68</f>
        <v>P1</v>
      </c>
      <c r="H284" s="14" t="str">
        <f aca="false">WBS!G68</f>
        <v>Must</v>
      </c>
      <c r="I284" s="6" t="s">
        <v>2685</v>
      </c>
      <c r="J284" s="14"/>
      <c r="K284" s="6"/>
      <c r="L284" s="41" t="s">
        <v>2065</v>
      </c>
    </row>
    <row r="285" customFormat="false" ht="15" hidden="false" customHeight="false" outlineLevel="0" collapsed="false">
      <c r="A285" s="14" t="s">
        <v>2686</v>
      </c>
      <c r="B285" s="14" t="s">
        <v>594</v>
      </c>
      <c r="C285" s="14" t="s">
        <v>509</v>
      </c>
      <c r="D285" s="28" t="s">
        <v>2687</v>
      </c>
      <c r="E285" s="40" t="s">
        <v>91</v>
      </c>
      <c r="F285" s="31" t="n">
        <f aca="false">WBS!R69</f>
        <v>1.6</v>
      </c>
      <c r="G285" s="14" t="str">
        <f aca="false">WBS!H69</f>
        <v>P1</v>
      </c>
      <c r="H285" s="14" t="str">
        <f aca="false">WBS!G69</f>
        <v>Must</v>
      </c>
      <c r="I285" s="6" t="s">
        <v>600</v>
      </c>
      <c r="J285" s="14"/>
      <c r="K285" s="6"/>
      <c r="L285" s="41" t="s">
        <v>2065</v>
      </c>
    </row>
    <row r="286" customFormat="false" ht="22.35" hidden="false" customHeight="false" outlineLevel="0" collapsed="false">
      <c r="A286" s="14" t="s">
        <v>2688</v>
      </c>
      <c r="B286" s="14" t="s">
        <v>594</v>
      </c>
      <c r="C286" s="14" t="s">
        <v>509</v>
      </c>
      <c r="D286" s="28" t="s">
        <v>2689</v>
      </c>
      <c r="E286" s="42" t="s">
        <v>2068</v>
      </c>
      <c r="F286" s="31" t="n">
        <f aca="false">WBS!P69</f>
        <v>10</v>
      </c>
      <c r="G286" s="14" t="str">
        <f aca="false">WBS!H69</f>
        <v>P1</v>
      </c>
      <c r="H286" s="14" t="str">
        <f aca="false">WBS!G69</f>
        <v>Must</v>
      </c>
      <c r="I286" s="6" t="s">
        <v>2686</v>
      </c>
      <c r="J286" s="14"/>
      <c r="K286" s="6"/>
      <c r="L286" s="41" t="s">
        <v>2065</v>
      </c>
    </row>
    <row r="287" customFormat="false" ht="15" hidden="false" customHeight="false" outlineLevel="0" collapsed="false">
      <c r="A287" s="14" t="s">
        <v>2690</v>
      </c>
      <c r="B287" s="14" t="s">
        <v>594</v>
      </c>
      <c r="C287" s="14" t="s">
        <v>509</v>
      </c>
      <c r="D287" s="28" t="s">
        <v>2691</v>
      </c>
      <c r="E287" s="22" t="s">
        <v>2071</v>
      </c>
      <c r="F287" s="31" t="n">
        <f aca="false">WBS!Q69</f>
        <v>3</v>
      </c>
      <c r="G287" s="14" t="str">
        <f aca="false">WBS!H69</f>
        <v>P1</v>
      </c>
      <c r="H287" s="14" t="str">
        <f aca="false">WBS!G69</f>
        <v>Must</v>
      </c>
      <c r="I287" s="6" t="s">
        <v>2686</v>
      </c>
      <c r="J287" s="14"/>
      <c r="K287" s="6"/>
      <c r="L287" s="41" t="s">
        <v>2065</v>
      </c>
    </row>
    <row r="288" customFormat="false" ht="22.35" hidden="false" customHeight="false" outlineLevel="0" collapsed="false">
      <c r="A288" s="14" t="s">
        <v>2692</v>
      </c>
      <c r="B288" s="14" t="s">
        <v>594</v>
      </c>
      <c r="C288" s="14" t="s">
        <v>509</v>
      </c>
      <c r="D288" s="28" t="s">
        <v>2693</v>
      </c>
      <c r="E288" s="43" t="s">
        <v>96</v>
      </c>
      <c r="F288" s="31" t="n">
        <f aca="false">WBS!T69</f>
        <v>4.6</v>
      </c>
      <c r="G288" s="14" t="str">
        <f aca="false">WBS!H69</f>
        <v>P1</v>
      </c>
      <c r="H288" s="14" t="str">
        <f aca="false">WBS!G69</f>
        <v>Must</v>
      </c>
      <c r="I288" s="6" t="s">
        <v>2694</v>
      </c>
      <c r="J288" s="14"/>
      <c r="K288" s="6"/>
      <c r="L288" s="41" t="s">
        <v>2065</v>
      </c>
    </row>
    <row r="289" customFormat="false" ht="15" hidden="false" customHeight="false" outlineLevel="0" collapsed="false">
      <c r="A289" s="14" t="s">
        <v>2695</v>
      </c>
      <c r="B289" s="14" t="s">
        <v>602</v>
      </c>
      <c r="C289" s="14" t="s">
        <v>509</v>
      </c>
      <c r="D289" s="28" t="s">
        <v>2696</v>
      </c>
      <c r="E289" s="40" t="s">
        <v>91</v>
      </c>
      <c r="F289" s="31" t="n">
        <f aca="false">WBS!R70</f>
        <v>1.6</v>
      </c>
      <c r="G289" s="14" t="str">
        <f aca="false">WBS!H70</f>
        <v>P1</v>
      </c>
      <c r="H289" s="14" t="str">
        <f aca="false">WBS!G70</f>
        <v>Must</v>
      </c>
      <c r="I289" s="6" t="s">
        <v>608</v>
      </c>
      <c r="J289" s="14"/>
      <c r="K289" s="6"/>
      <c r="L289" s="41" t="s">
        <v>2065</v>
      </c>
    </row>
    <row r="290" customFormat="false" ht="22.35" hidden="false" customHeight="false" outlineLevel="0" collapsed="false">
      <c r="A290" s="14" t="s">
        <v>2697</v>
      </c>
      <c r="B290" s="14" t="s">
        <v>602</v>
      </c>
      <c r="C290" s="14" t="s">
        <v>509</v>
      </c>
      <c r="D290" s="28" t="s">
        <v>2698</v>
      </c>
      <c r="E290" s="42" t="s">
        <v>2068</v>
      </c>
      <c r="F290" s="31" t="n">
        <f aca="false">WBS!P70</f>
        <v>10</v>
      </c>
      <c r="G290" s="14" t="str">
        <f aca="false">WBS!H70</f>
        <v>P1</v>
      </c>
      <c r="H290" s="14" t="str">
        <f aca="false">WBS!G70</f>
        <v>Must</v>
      </c>
      <c r="I290" s="6" t="s">
        <v>2695</v>
      </c>
      <c r="J290" s="14"/>
      <c r="K290" s="6"/>
      <c r="L290" s="41" t="s">
        <v>2065</v>
      </c>
    </row>
    <row r="291" customFormat="false" ht="15" hidden="false" customHeight="false" outlineLevel="0" collapsed="false">
      <c r="A291" s="14" t="s">
        <v>2699</v>
      </c>
      <c r="B291" s="14" t="s">
        <v>602</v>
      </c>
      <c r="C291" s="14" t="s">
        <v>509</v>
      </c>
      <c r="D291" s="28" t="s">
        <v>2700</v>
      </c>
      <c r="E291" s="22" t="s">
        <v>2071</v>
      </c>
      <c r="F291" s="31" t="n">
        <f aca="false">WBS!Q70</f>
        <v>3</v>
      </c>
      <c r="G291" s="14" t="str">
        <f aca="false">WBS!H70</f>
        <v>P1</v>
      </c>
      <c r="H291" s="14" t="str">
        <f aca="false">WBS!G70</f>
        <v>Must</v>
      </c>
      <c r="I291" s="6" t="s">
        <v>2695</v>
      </c>
      <c r="J291" s="14"/>
      <c r="K291" s="6"/>
      <c r="L291" s="41" t="s">
        <v>2065</v>
      </c>
    </row>
    <row r="292" customFormat="false" ht="15" hidden="false" customHeight="false" outlineLevel="0" collapsed="false">
      <c r="A292" s="14" t="s">
        <v>2701</v>
      </c>
      <c r="B292" s="14" t="s">
        <v>602</v>
      </c>
      <c r="C292" s="14" t="s">
        <v>509</v>
      </c>
      <c r="D292" s="28" t="s">
        <v>2702</v>
      </c>
      <c r="E292" s="43" t="s">
        <v>96</v>
      </c>
      <c r="F292" s="31" t="n">
        <f aca="false">WBS!T70</f>
        <v>4.6</v>
      </c>
      <c r="G292" s="14" t="str">
        <f aca="false">WBS!H70</f>
        <v>P1</v>
      </c>
      <c r="H292" s="14" t="str">
        <f aca="false">WBS!G70</f>
        <v>Must</v>
      </c>
      <c r="I292" s="6" t="s">
        <v>2703</v>
      </c>
      <c r="J292" s="14"/>
      <c r="K292" s="6"/>
      <c r="L292" s="41" t="s">
        <v>2065</v>
      </c>
    </row>
    <row r="293" customFormat="false" ht="15" hidden="false" customHeight="false" outlineLevel="0" collapsed="false">
      <c r="A293" s="14" t="s">
        <v>2704</v>
      </c>
      <c r="B293" s="14" t="s">
        <v>609</v>
      </c>
      <c r="C293" s="14" t="s">
        <v>509</v>
      </c>
      <c r="D293" s="28" t="s">
        <v>2705</v>
      </c>
      <c r="E293" s="40" t="s">
        <v>91</v>
      </c>
      <c r="F293" s="31" t="n">
        <f aca="false">WBS!R71</f>
        <v>0.5</v>
      </c>
      <c r="G293" s="14" t="str">
        <f aca="false">WBS!H71</f>
        <v>P1</v>
      </c>
      <c r="H293" s="14" t="str">
        <f aca="false">WBS!G71</f>
        <v>Must</v>
      </c>
      <c r="I293" s="6" t="s">
        <v>222</v>
      </c>
      <c r="J293" s="14"/>
      <c r="K293" s="6"/>
      <c r="L293" s="41" t="s">
        <v>2065</v>
      </c>
    </row>
    <row r="294" customFormat="false" ht="15" hidden="false" customHeight="false" outlineLevel="0" collapsed="false">
      <c r="A294" s="14" t="s">
        <v>2706</v>
      </c>
      <c r="B294" s="14" t="s">
        <v>609</v>
      </c>
      <c r="C294" s="14" t="s">
        <v>509</v>
      </c>
      <c r="D294" s="28" t="s">
        <v>2707</v>
      </c>
      <c r="E294" s="42" t="s">
        <v>2068</v>
      </c>
      <c r="F294" s="31" t="n">
        <f aca="false">WBS!P71</f>
        <v>3</v>
      </c>
      <c r="G294" s="14" t="str">
        <f aca="false">WBS!H71</f>
        <v>P1</v>
      </c>
      <c r="H294" s="14" t="str">
        <f aca="false">WBS!G71</f>
        <v>Must</v>
      </c>
      <c r="I294" s="6" t="s">
        <v>2704</v>
      </c>
      <c r="J294" s="14"/>
      <c r="K294" s="6"/>
      <c r="L294" s="41" t="s">
        <v>2065</v>
      </c>
    </row>
    <row r="295" customFormat="false" ht="15" hidden="false" customHeight="false" outlineLevel="0" collapsed="false">
      <c r="A295" s="14" t="s">
        <v>2708</v>
      </c>
      <c r="B295" s="14" t="s">
        <v>609</v>
      </c>
      <c r="C295" s="14" t="s">
        <v>509</v>
      </c>
      <c r="D295" s="28" t="s">
        <v>2709</v>
      </c>
      <c r="E295" s="22" t="s">
        <v>2071</v>
      </c>
      <c r="F295" s="31" t="n">
        <f aca="false">WBS!Q71</f>
        <v>1</v>
      </c>
      <c r="G295" s="14" t="str">
        <f aca="false">WBS!H71</f>
        <v>P1</v>
      </c>
      <c r="H295" s="14" t="str">
        <f aca="false">WBS!G71</f>
        <v>Must</v>
      </c>
      <c r="I295" s="6" t="s">
        <v>2704</v>
      </c>
      <c r="J295" s="14"/>
      <c r="K295" s="6"/>
      <c r="L295" s="41" t="s">
        <v>2065</v>
      </c>
    </row>
    <row r="296" customFormat="false" ht="15" hidden="false" customHeight="false" outlineLevel="0" collapsed="false">
      <c r="A296" s="14" t="s">
        <v>2710</v>
      </c>
      <c r="B296" s="14" t="s">
        <v>609</v>
      </c>
      <c r="C296" s="14" t="s">
        <v>509</v>
      </c>
      <c r="D296" s="28" t="s">
        <v>2711</v>
      </c>
      <c r="E296" s="43" t="s">
        <v>96</v>
      </c>
      <c r="F296" s="31" t="n">
        <f aca="false">WBS!T71</f>
        <v>1.4</v>
      </c>
      <c r="G296" s="14" t="str">
        <f aca="false">WBS!H71</f>
        <v>P1</v>
      </c>
      <c r="H296" s="14" t="str">
        <f aca="false">WBS!G71</f>
        <v>Must</v>
      </c>
      <c r="I296" s="6" t="s">
        <v>2712</v>
      </c>
      <c r="J296" s="14"/>
      <c r="K296" s="6"/>
      <c r="L296" s="41" t="s">
        <v>2065</v>
      </c>
    </row>
    <row r="297" customFormat="false" ht="15" hidden="false" customHeight="false" outlineLevel="0" collapsed="false">
      <c r="A297" s="14" t="s">
        <v>2713</v>
      </c>
      <c r="B297" s="14" t="s">
        <v>616</v>
      </c>
      <c r="C297" s="14" t="s">
        <v>509</v>
      </c>
      <c r="D297" s="28" t="s">
        <v>2714</v>
      </c>
      <c r="E297" s="40" t="s">
        <v>91</v>
      </c>
      <c r="F297" s="31" t="n">
        <f aca="false">WBS!R72</f>
        <v>1.2</v>
      </c>
      <c r="G297" s="14" t="str">
        <f aca="false">WBS!H72</f>
        <v>P1</v>
      </c>
      <c r="H297" s="14" t="str">
        <f aca="false">WBS!G72</f>
        <v>Should</v>
      </c>
      <c r="I297" s="6" t="s">
        <v>622</v>
      </c>
      <c r="J297" s="14"/>
      <c r="K297" s="6"/>
      <c r="L297" s="41" t="s">
        <v>2065</v>
      </c>
    </row>
    <row r="298" customFormat="false" ht="15" hidden="false" customHeight="false" outlineLevel="0" collapsed="false">
      <c r="A298" s="14" t="s">
        <v>2715</v>
      </c>
      <c r="B298" s="14" t="s">
        <v>616</v>
      </c>
      <c r="C298" s="14" t="s">
        <v>509</v>
      </c>
      <c r="D298" s="28" t="s">
        <v>2716</v>
      </c>
      <c r="E298" s="37" t="s">
        <v>128</v>
      </c>
      <c r="F298" s="31" t="n">
        <f aca="false">WBS!S72</f>
        <v>2</v>
      </c>
      <c r="G298" s="14" t="str">
        <f aca="false">WBS!H72</f>
        <v>P1</v>
      </c>
      <c r="H298" s="14" t="str">
        <f aca="false">WBS!G72</f>
        <v>Should</v>
      </c>
      <c r="I298" s="6" t="s">
        <v>2713</v>
      </c>
      <c r="J298" s="14"/>
      <c r="K298" s="6"/>
      <c r="L298" s="41" t="s">
        <v>2065</v>
      </c>
    </row>
    <row r="299" customFormat="false" ht="15" hidden="false" customHeight="false" outlineLevel="0" collapsed="false">
      <c r="A299" s="14" t="s">
        <v>2717</v>
      </c>
      <c r="B299" s="14" t="s">
        <v>616</v>
      </c>
      <c r="C299" s="14" t="s">
        <v>509</v>
      </c>
      <c r="D299" s="28" t="s">
        <v>2718</v>
      </c>
      <c r="E299" s="42" t="s">
        <v>2068</v>
      </c>
      <c r="F299" s="31" t="n">
        <f aca="false">WBS!P72</f>
        <v>5</v>
      </c>
      <c r="G299" s="14" t="str">
        <f aca="false">WBS!H72</f>
        <v>P1</v>
      </c>
      <c r="H299" s="14" t="str">
        <f aca="false">WBS!G72</f>
        <v>Should</v>
      </c>
      <c r="I299" s="6" t="s">
        <v>2713</v>
      </c>
      <c r="J299" s="14"/>
      <c r="K299" s="6"/>
      <c r="L299" s="41" t="s">
        <v>2065</v>
      </c>
    </row>
    <row r="300" customFormat="false" ht="15" hidden="false" customHeight="false" outlineLevel="0" collapsed="false">
      <c r="A300" s="14" t="s">
        <v>2719</v>
      </c>
      <c r="B300" s="14" t="s">
        <v>616</v>
      </c>
      <c r="C300" s="14" t="s">
        <v>509</v>
      </c>
      <c r="D300" s="28" t="s">
        <v>2720</v>
      </c>
      <c r="E300" s="22" t="s">
        <v>2071</v>
      </c>
      <c r="F300" s="31" t="n">
        <f aca="false">WBS!Q72</f>
        <v>5</v>
      </c>
      <c r="G300" s="14" t="str">
        <f aca="false">WBS!H72</f>
        <v>P1</v>
      </c>
      <c r="H300" s="14" t="str">
        <f aca="false">WBS!G72</f>
        <v>Should</v>
      </c>
      <c r="I300" s="6" t="s">
        <v>2715</v>
      </c>
      <c r="J300" s="14"/>
      <c r="K300" s="6"/>
      <c r="L300" s="41" t="s">
        <v>2065</v>
      </c>
    </row>
    <row r="301" customFormat="false" ht="15" hidden="false" customHeight="false" outlineLevel="0" collapsed="false">
      <c r="A301" s="14" t="s">
        <v>2721</v>
      </c>
      <c r="B301" s="14" t="s">
        <v>616</v>
      </c>
      <c r="C301" s="14" t="s">
        <v>509</v>
      </c>
      <c r="D301" s="28" t="s">
        <v>2722</v>
      </c>
      <c r="E301" s="43" t="s">
        <v>96</v>
      </c>
      <c r="F301" s="31" t="n">
        <f aca="false">WBS!T72</f>
        <v>3.5</v>
      </c>
      <c r="G301" s="14" t="str">
        <f aca="false">WBS!H72</f>
        <v>P1</v>
      </c>
      <c r="H301" s="14" t="str">
        <f aca="false">WBS!G72</f>
        <v>Should</v>
      </c>
      <c r="I301" s="6" t="s">
        <v>2723</v>
      </c>
      <c r="J301" s="14"/>
      <c r="K301" s="6"/>
      <c r="L301" s="41" t="s">
        <v>2065</v>
      </c>
    </row>
    <row r="302" customFormat="false" ht="15" hidden="false" customHeight="false" outlineLevel="0" collapsed="false">
      <c r="A302" s="14" t="s">
        <v>2724</v>
      </c>
      <c r="B302" s="14" t="s">
        <v>624</v>
      </c>
      <c r="C302" s="14" t="s">
        <v>509</v>
      </c>
      <c r="D302" s="28" t="s">
        <v>2725</v>
      </c>
      <c r="E302" s="40" t="s">
        <v>91</v>
      </c>
      <c r="F302" s="31" t="n">
        <f aca="false">WBS!R73</f>
        <v>0.7</v>
      </c>
      <c r="G302" s="14" t="str">
        <f aca="false">WBS!H73</f>
        <v>P1</v>
      </c>
      <c r="H302" s="14" t="str">
        <f aca="false">WBS!G73</f>
        <v>Should</v>
      </c>
      <c r="I302" s="6" t="s">
        <v>359</v>
      </c>
      <c r="J302" s="14"/>
      <c r="K302" s="6"/>
      <c r="L302" s="41" t="s">
        <v>2065</v>
      </c>
    </row>
    <row r="303" customFormat="false" ht="15" hidden="false" customHeight="false" outlineLevel="0" collapsed="false">
      <c r="A303" s="14" t="s">
        <v>2726</v>
      </c>
      <c r="B303" s="14" t="s">
        <v>624</v>
      </c>
      <c r="C303" s="14" t="s">
        <v>509</v>
      </c>
      <c r="D303" s="28" t="s">
        <v>2727</v>
      </c>
      <c r="E303" s="42" t="s">
        <v>2068</v>
      </c>
      <c r="F303" s="31" t="n">
        <f aca="false">WBS!P73</f>
        <v>3</v>
      </c>
      <c r="G303" s="14" t="str">
        <f aca="false">WBS!H73</f>
        <v>P1</v>
      </c>
      <c r="H303" s="14" t="str">
        <f aca="false">WBS!G73</f>
        <v>Should</v>
      </c>
      <c r="I303" s="6" t="s">
        <v>2724</v>
      </c>
      <c r="J303" s="14"/>
      <c r="K303" s="6"/>
      <c r="L303" s="41" t="s">
        <v>2065</v>
      </c>
    </row>
    <row r="304" customFormat="false" ht="15" hidden="false" customHeight="false" outlineLevel="0" collapsed="false">
      <c r="A304" s="14" t="s">
        <v>2728</v>
      </c>
      <c r="B304" s="14" t="s">
        <v>624</v>
      </c>
      <c r="C304" s="14" t="s">
        <v>509</v>
      </c>
      <c r="D304" s="28" t="s">
        <v>2729</v>
      </c>
      <c r="E304" s="22" t="s">
        <v>2071</v>
      </c>
      <c r="F304" s="31" t="n">
        <f aca="false">WBS!Q73</f>
        <v>3</v>
      </c>
      <c r="G304" s="14" t="str">
        <f aca="false">WBS!H73</f>
        <v>P1</v>
      </c>
      <c r="H304" s="14" t="str">
        <f aca="false">WBS!G73</f>
        <v>Should</v>
      </c>
      <c r="I304" s="6" t="s">
        <v>2724</v>
      </c>
      <c r="J304" s="14"/>
      <c r="K304" s="6"/>
      <c r="L304" s="41" t="s">
        <v>2065</v>
      </c>
    </row>
    <row r="305" customFormat="false" ht="15" hidden="false" customHeight="false" outlineLevel="0" collapsed="false">
      <c r="A305" s="14" t="s">
        <v>2730</v>
      </c>
      <c r="B305" s="14" t="s">
        <v>624</v>
      </c>
      <c r="C305" s="14" t="s">
        <v>509</v>
      </c>
      <c r="D305" s="28" t="s">
        <v>2731</v>
      </c>
      <c r="E305" s="43" t="s">
        <v>96</v>
      </c>
      <c r="F305" s="31" t="n">
        <f aca="false">WBS!T73</f>
        <v>2.1</v>
      </c>
      <c r="G305" s="14" t="str">
        <f aca="false">WBS!H73</f>
        <v>P1</v>
      </c>
      <c r="H305" s="14" t="str">
        <f aca="false">WBS!G73</f>
        <v>Should</v>
      </c>
      <c r="I305" s="6" t="s">
        <v>2732</v>
      </c>
      <c r="J305" s="14"/>
      <c r="K305" s="6"/>
      <c r="L305" s="41" t="s">
        <v>2065</v>
      </c>
    </row>
    <row r="306" customFormat="false" ht="15" hidden="false" customHeight="false" outlineLevel="0" collapsed="false">
      <c r="A306" s="14" t="s">
        <v>2733</v>
      </c>
      <c r="B306" s="14" t="s">
        <v>630</v>
      </c>
      <c r="C306" s="14" t="s">
        <v>509</v>
      </c>
      <c r="D306" s="28" t="s">
        <v>2734</v>
      </c>
      <c r="E306" s="40" t="s">
        <v>91</v>
      </c>
      <c r="F306" s="31" t="n">
        <f aca="false">WBS!R74</f>
        <v>1.2</v>
      </c>
      <c r="G306" s="14" t="str">
        <f aca="false">WBS!H74</f>
        <v>P1</v>
      </c>
      <c r="H306" s="14" t="str">
        <f aca="false">WBS!G74</f>
        <v>Should</v>
      </c>
      <c r="I306" s="6" t="s">
        <v>256</v>
      </c>
      <c r="J306" s="14"/>
      <c r="K306" s="6"/>
      <c r="L306" s="41" t="s">
        <v>2065</v>
      </c>
    </row>
    <row r="307" customFormat="false" ht="15" hidden="false" customHeight="false" outlineLevel="0" collapsed="false">
      <c r="A307" s="14" t="s">
        <v>2735</v>
      </c>
      <c r="B307" s="14" t="s">
        <v>630</v>
      </c>
      <c r="C307" s="14" t="s">
        <v>509</v>
      </c>
      <c r="D307" s="28" t="s">
        <v>2736</v>
      </c>
      <c r="E307" s="37" t="s">
        <v>128</v>
      </c>
      <c r="F307" s="31" t="n">
        <f aca="false">WBS!S74</f>
        <v>2</v>
      </c>
      <c r="G307" s="14" t="str">
        <f aca="false">WBS!H74</f>
        <v>P1</v>
      </c>
      <c r="H307" s="14" t="str">
        <f aca="false">WBS!G74</f>
        <v>Should</v>
      </c>
      <c r="I307" s="6" t="s">
        <v>2733</v>
      </c>
      <c r="J307" s="14"/>
      <c r="K307" s="6"/>
      <c r="L307" s="41" t="s">
        <v>2065</v>
      </c>
    </row>
    <row r="308" customFormat="false" ht="22.35" hidden="false" customHeight="false" outlineLevel="0" collapsed="false">
      <c r="A308" s="14" t="s">
        <v>2737</v>
      </c>
      <c r="B308" s="14" t="s">
        <v>630</v>
      </c>
      <c r="C308" s="14" t="s">
        <v>509</v>
      </c>
      <c r="D308" s="28" t="s">
        <v>2738</v>
      </c>
      <c r="E308" s="42" t="s">
        <v>2068</v>
      </c>
      <c r="F308" s="31" t="n">
        <f aca="false">WBS!P74</f>
        <v>5</v>
      </c>
      <c r="G308" s="14" t="str">
        <f aca="false">WBS!H74</f>
        <v>P1</v>
      </c>
      <c r="H308" s="14" t="str">
        <f aca="false">WBS!G74</f>
        <v>Should</v>
      </c>
      <c r="I308" s="6" t="s">
        <v>2733</v>
      </c>
      <c r="J308" s="14"/>
      <c r="K308" s="6"/>
      <c r="L308" s="41" t="s">
        <v>2065</v>
      </c>
    </row>
    <row r="309" customFormat="false" ht="15" hidden="false" customHeight="false" outlineLevel="0" collapsed="false">
      <c r="A309" s="14" t="s">
        <v>2739</v>
      </c>
      <c r="B309" s="14" t="s">
        <v>630</v>
      </c>
      <c r="C309" s="14" t="s">
        <v>509</v>
      </c>
      <c r="D309" s="28" t="s">
        <v>2740</v>
      </c>
      <c r="E309" s="22" t="s">
        <v>2071</v>
      </c>
      <c r="F309" s="31" t="n">
        <f aca="false">WBS!Q74</f>
        <v>5</v>
      </c>
      <c r="G309" s="14" t="str">
        <f aca="false">WBS!H74</f>
        <v>P1</v>
      </c>
      <c r="H309" s="14" t="str">
        <f aca="false">WBS!G74</f>
        <v>Should</v>
      </c>
      <c r="I309" s="6" t="s">
        <v>2735</v>
      </c>
      <c r="J309" s="14"/>
      <c r="K309" s="6"/>
      <c r="L309" s="41" t="s">
        <v>2065</v>
      </c>
    </row>
    <row r="310" customFormat="false" ht="22.35" hidden="false" customHeight="false" outlineLevel="0" collapsed="false">
      <c r="A310" s="14" t="s">
        <v>2741</v>
      </c>
      <c r="B310" s="14" t="s">
        <v>630</v>
      </c>
      <c r="C310" s="14" t="s">
        <v>509</v>
      </c>
      <c r="D310" s="28" t="s">
        <v>2742</v>
      </c>
      <c r="E310" s="43" t="s">
        <v>96</v>
      </c>
      <c r="F310" s="31" t="n">
        <f aca="false">WBS!T74</f>
        <v>3.5</v>
      </c>
      <c r="G310" s="14" t="str">
        <f aca="false">WBS!H74</f>
        <v>P1</v>
      </c>
      <c r="H310" s="14" t="str">
        <f aca="false">WBS!G74</f>
        <v>Should</v>
      </c>
      <c r="I310" s="6" t="s">
        <v>2743</v>
      </c>
      <c r="J310" s="14"/>
      <c r="K310" s="6"/>
      <c r="L310" s="41" t="s">
        <v>2065</v>
      </c>
    </row>
    <row r="311" customFormat="false" ht="15" hidden="false" customHeight="false" outlineLevel="0" collapsed="false">
      <c r="A311" s="14" t="s">
        <v>2744</v>
      </c>
      <c r="B311" s="14" t="s">
        <v>638</v>
      </c>
      <c r="C311" s="14" t="s">
        <v>509</v>
      </c>
      <c r="D311" s="28" t="s">
        <v>2745</v>
      </c>
      <c r="E311" s="40" t="s">
        <v>91</v>
      </c>
      <c r="F311" s="31" t="n">
        <f aca="false">WBS!R75</f>
        <v>1</v>
      </c>
      <c r="G311" s="14" t="str">
        <f aca="false">WBS!H75</f>
        <v>P1</v>
      </c>
      <c r="H311" s="14" t="str">
        <f aca="false">WBS!G75</f>
        <v>Should</v>
      </c>
      <c r="I311" s="6" t="s">
        <v>644</v>
      </c>
      <c r="J311" s="14"/>
      <c r="K311" s="6"/>
      <c r="L311" s="41" t="s">
        <v>2065</v>
      </c>
    </row>
    <row r="312" customFormat="false" ht="15" hidden="false" customHeight="false" outlineLevel="0" collapsed="false">
      <c r="A312" s="14" t="s">
        <v>2746</v>
      </c>
      <c r="B312" s="14" t="s">
        <v>638</v>
      </c>
      <c r="C312" s="14" t="s">
        <v>509</v>
      </c>
      <c r="D312" s="28" t="s">
        <v>2747</v>
      </c>
      <c r="E312" s="42" t="s">
        <v>2068</v>
      </c>
      <c r="F312" s="31" t="n">
        <f aca="false">WBS!P75</f>
        <v>5</v>
      </c>
      <c r="G312" s="14" t="str">
        <f aca="false">WBS!H75</f>
        <v>P1</v>
      </c>
      <c r="H312" s="14" t="str">
        <f aca="false">WBS!G75</f>
        <v>Should</v>
      </c>
      <c r="I312" s="6" t="s">
        <v>2744</v>
      </c>
      <c r="J312" s="14"/>
      <c r="K312" s="6"/>
      <c r="L312" s="41" t="s">
        <v>2065</v>
      </c>
    </row>
    <row r="313" customFormat="false" ht="15" hidden="false" customHeight="false" outlineLevel="0" collapsed="false">
      <c r="A313" s="14" t="s">
        <v>2748</v>
      </c>
      <c r="B313" s="14" t="s">
        <v>638</v>
      </c>
      <c r="C313" s="14" t="s">
        <v>509</v>
      </c>
      <c r="D313" s="28" t="s">
        <v>2749</v>
      </c>
      <c r="E313" s="22" t="s">
        <v>2071</v>
      </c>
      <c r="F313" s="31" t="n">
        <f aca="false">WBS!Q75</f>
        <v>3</v>
      </c>
      <c r="G313" s="14" t="str">
        <f aca="false">WBS!H75</f>
        <v>P1</v>
      </c>
      <c r="H313" s="14" t="str">
        <f aca="false">WBS!G75</f>
        <v>Should</v>
      </c>
      <c r="I313" s="6" t="s">
        <v>2744</v>
      </c>
      <c r="J313" s="14"/>
      <c r="K313" s="6"/>
      <c r="L313" s="41" t="s">
        <v>2065</v>
      </c>
    </row>
    <row r="314" customFormat="false" ht="15" hidden="false" customHeight="false" outlineLevel="0" collapsed="false">
      <c r="A314" s="14" t="s">
        <v>2750</v>
      </c>
      <c r="B314" s="14" t="s">
        <v>638</v>
      </c>
      <c r="C314" s="14" t="s">
        <v>509</v>
      </c>
      <c r="D314" s="28" t="s">
        <v>2751</v>
      </c>
      <c r="E314" s="43" t="s">
        <v>96</v>
      </c>
      <c r="F314" s="31" t="n">
        <f aca="false">WBS!T75</f>
        <v>2.8</v>
      </c>
      <c r="G314" s="14" t="str">
        <f aca="false">WBS!H75</f>
        <v>P1</v>
      </c>
      <c r="H314" s="14" t="str">
        <f aca="false">WBS!G75</f>
        <v>Should</v>
      </c>
      <c r="I314" s="6" t="s">
        <v>2752</v>
      </c>
      <c r="J314" s="14"/>
      <c r="K314" s="6"/>
      <c r="L314" s="41" t="s">
        <v>2065</v>
      </c>
    </row>
    <row r="315" customFormat="false" ht="15" hidden="false" customHeight="false" outlineLevel="0" collapsed="false">
      <c r="A315" s="14" t="s">
        <v>2753</v>
      </c>
      <c r="B315" s="14" t="s">
        <v>646</v>
      </c>
      <c r="C315" s="14" t="s">
        <v>509</v>
      </c>
      <c r="D315" s="28" t="s">
        <v>2754</v>
      </c>
      <c r="E315" s="40" t="s">
        <v>91</v>
      </c>
      <c r="F315" s="31" t="n">
        <f aca="false">WBS!R76</f>
        <v>0.7</v>
      </c>
      <c r="G315" s="14" t="str">
        <f aca="false">WBS!H76</f>
        <v>P3</v>
      </c>
      <c r="H315" s="14" t="str">
        <f aca="false">WBS!G76</f>
        <v>Should</v>
      </c>
      <c r="I315" s="6" t="s">
        <v>531</v>
      </c>
      <c r="J315" s="14"/>
      <c r="K315" s="6"/>
      <c r="L315" s="41" t="s">
        <v>2065</v>
      </c>
    </row>
    <row r="316" customFormat="false" ht="15" hidden="false" customHeight="false" outlineLevel="0" collapsed="false">
      <c r="A316" s="14" t="s">
        <v>2755</v>
      </c>
      <c r="B316" s="14" t="s">
        <v>646</v>
      </c>
      <c r="C316" s="14" t="s">
        <v>509</v>
      </c>
      <c r="D316" s="28" t="s">
        <v>2756</v>
      </c>
      <c r="E316" s="42" t="s">
        <v>2068</v>
      </c>
      <c r="F316" s="31" t="n">
        <f aca="false">WBS!P76</f>
        <v>3</v>
      </c>
      <c r="G316" s="14" t="str">
        <f aca="false">WBS!H76</f>
        <v>P3</v>
      </c>
      <c r="H316" s="14" t="str">
        <f aca="false">WBS!G76</f>
        <v>Should</v>
      </c>
      <c r="I316" s="6" t="s">
        <v>2753</v>
      </c>
      <c r="J316" s="14"/>
      <c r="K316" s="6"/>
      <c r="L316" s="41" t="s">
        <v>2065</v>
      </c>
    </row>
    <row r="317" customFormat="false" ht="15" hidden="false" customHeight="false" outlineLevel="0" collapsed="false">
      <c r="A317" s="14" t="s">
        <v>2757</v>
      </c>
      <c r="B317" s="14" t="s">
        <v>646</v>
      </c>
      <c r="C317" s="14" t="s">
        <v>509</v>
      </c>
      <c r="D317" s="28" t="s">
        <v>2758</v>
      </c>
      <c r="E317" s="22" t="s">
        <v>2071</v>
      </c>
      <c r="F317" s="31" t="n">
        <f aca="false">WBS!Q76</f>
        <v>3</v>
      </c>
      <c r="G317" s="14" t="str">
        <f aca="false">WBS!H76</f>
        <v>P3</v>
      </c>
      <c r="H317" s="14" t="str">
        <f aca="false">WBS!G76</f>
        <v>Should</v>
      </c>
      <c r="I317" s="6" t="s">
        <v>2753</v>
      </c>
      <c r="J317" s="14"/>
      <c r="K317" s="6"/>
      <c r="L317" s="41" t="s">
        <v>2065</v>
      </c>
    </row>
    <row r="318" customFormat="false" ht="15" hidden="false" customHeight="false" outlineLevel="0" collapsed="false">
      <c r="A318" s="14" t="s">
        <v>2759</v>
      </c>
      <c r="B318" s="14" t="s">
        <v>646</v>
      </c>
      <c r="C318" s="14" t="s">
        <v>509</v>
      </c>
      <c r="D318" s="28" t="s">
        <v>2760</v>
      </c>
      <c r="E318" s="43" t="s">
        <v>96</v>
      </c>
      <c r="F318" s="31" t="n">
        <f aca="false">WBS!T76</f>
        <v>2.1</v>
      </c>
      <c r="G318" s="14" t="str">
        <f aca="false">WBS!H76</f>
        <v>P3</v>
      </c>
      <c r="H318" s="14" t="str">
        <f aca="false">WBS!G76</f>
        <v>Should</v>
      </c>
      <c r="I318" s="6" t="s">
        <v>2761</v>
      </c>
      <c r="J318" s="14"/>
      <c r="K318" s="6"/>
      <c r="L318" s="41" t="s">
        <v>2065</v>
      </c>
    </row>
    <row r="319" customFormat="false" ht="15" hidden="false" customHeight="false" outlineLevel="0" collapsed="false">
      <c r="A319" s="14" t="s">
        <v>2762</v>
      </c>
      <c r="B319" s="14" t="s">
        <v>652</v>
      </c>
      <c r="C319" s="14" t="s">
        <v>509</v>
      </c>
      <c r="D319" s="28" t="s">
        <v>2763</v>
      </c>
      <c r="E319" s="40" t="s">
        <v>91</v>
      </c>
      <c r="F319" s="31" t="n">
        <f aca="false">WBS!R77</f>
        <v>1.8</v>
      </c>
      <c r="G319" s="14" t="str">
        <f aca="false">WBS!H77</f>
        <v>P3</v>
      </c>
      <c r="H319" s="14" t="str">
        <f aca="false">WBS!G77</f>
        <v>Should</v>
      </c>
      <c r="I319" s="6" t="s">
        <v>602</v>
      </c>
      <c r="J319" s="14"/>
      <c r="K319" s="6"/>
      <c r="L319" s="41" t="s">
        <v>2065</v>
      </c>
    </row>
    <row r="320" customFormat="false" ht="15" hidden="false" customHeight="false" outlineLevel="0" collapsed="false">
      <c r="A320" s="14" t="s">
        <v>2764</v>
      </c>
      <c r="B320" s="14" t="s">
        <v>652</v>
      </c>
      <c r="C320" s="14" t="s">
        <v>509</v>
      </c>
      <c r="D320" s="28" t="s">
        <v>2765</v>
      </c>
      <c r="E320" s="42" t="s">
        <v>2068</v>
      </c>
      <c r="F320" s="31" t="n">
        <f aca="false">WBS!P77</f>
        <v>5</v>
      </c>
      <c r="G320" s="14" t="str">
        <f aca="false">WBS!H77</f>
        <v>P3</v>
      </c>
      <c r="H320" s="14" t="str">
        <f aca="false">WBS!G77</f>
        <v>Should</v>
      </c>
      <c r="I320" s="6" t="s">
        <v>2762</v>
      </c>
      <c r="J320" s="14"/>
      <c r="K320" s="6"/>
      <c r="L320" s="41" t="s">
        <v>2065</v>
      </c>
    </row>
    <row r="321" customFormat="false" ht="22.35" hidden="false" customHeight="false" outlineLevel="0" collapsed="false">
      <c r="A321" s="14" t="s">
        <v>2766</v>
      </c>
      <c r="B321" s="14" t="s">
        <v>652</v>
      </c>
      <c r="C321" s="14" t="s">
        <v>509</v>
      </c>
      <c r="D321" s="28" t="s">
        <v>2767</v>
      </c>
      <c r="E321" s="22" t="s">
        <v>2071</v>
      </c>
      <c r="F321" s="31" t="n">
        <f aca="false">WBS!Q77</f>
        <v>10</v>
      </c>
      <c r="G321" s="14" t="str">
        <f aca="false">WBS!H77</f>
        <v>P3</v>
      </c>
      <c r="H321" s="14" t="str">
        <f aca="false">WBS!G77</f>
        <v>Should</v>
      </c>
      <c r="I321" s="6" t="s">
        <v>2762</v>
      </c>
      <c r="J321" s="14"/>
      <c r="K321" s="6"/>
      <c r="L321" s="41" t="s">
        <v>2065</v>
      </c>
    </row>
    <row r="322" customFormat="false" ht="15" hidden="false" customHeight="false" outlineLevel="0" collapsed="false">
      <c r="A322" s="14" t="s">
        <v>2768</v>
      </c>
      <c r="B322" s="14" t="s">
        <v>652</v>
      </c>
      <c r="C322" s="14" t="s">
        <v>509</v>
      </c>
      <c r="D322" s="28" t="s">
        <v>2769</v>
      </c>
      <c r="E322" s="43" t="s">
        <v>96</v>
      </c>
      <c r="F322" s="31" t="n">
        <f aca="false">WBS!T77</f>
        <v>5.3</v>
      </c>
      <c r="G322" s="14" t="str">
        <f aca="false">WBS!H77</f>
        <v>P3</v>
      </c>
      <c r="H322" s="14" t="str">
        <f aca="false">WBS!G77</f>
        <v>Should</v>
      </c>
      <c r="I322" s="6" t="s">
        <v>2770</v>
      </c>
      <c r="J322" s="14"/>
      <c r="K322" s="6"/>
      <c r="L322" s="41" t="s">
        <v>2065</v>
      </c>
    </row>
    <row r="323" customFormat="false" ht="15" hidden="false" customHeight="false" outlineLevel="0" collapsed="false">
      <c r="A323" s="14" t="s">
        <v>2771</v>
      </c>
      <c r="B323" s="14" t="s">
        <v>660</v>
      </c>
      <c r="C323" s="14" t="s">
        <v>509</v>
      </c>
      <c r="D323" s="28" t="s">
        <v>2772</v>
      </c>
      <c r="E323" s="40" t="s">
        <v>91</v>
      </c>
      <c r="F323" s="31" t="n">
        <f aca="false">WBS!R78</f>
        <v>1</v>
      </c>
      <c r="G323" s="14" t="str">
        <f aca="false">WBS!H78</f>
        <v>P3</v>
      </c>
      <c r="H323" s="14" t="str">
        <f aca="false">WBS!G78</f>
        <v>Should</v>
      </c>
      <c r="I323" s="6" t="s">
        <v>168</v>
      </c>
      <c r="J323" s="14"/>
      <c r="K323" s="6"/>
      <c r="L323" s="41" t="s">
        <v>2065</v>
      </c>
    </row>
    <row r="324" customFormat="false" ht="22.35" hidden="false" customHeight="false" outlineLevel="0" collapsed="false">
      <c r="A324" s="14" t="s">
        <v>2773</v>
      </c>
      <c r="B324" s="14" t="s">
        <v>660</v>
      </c>
      <c r="C324" s="14" t="s">
        <v>509</v>
      </c>
      <c r="D324" s="28" t="s">
        <v>2774</v>
      </c>
      <c r="E324" s="42" t="s">
        <v>2068</v>
      </c>
      <c r="F324" s="31" t="n">
        <f aca="false">WBS!P78</f>
        <v>5</v>
      </c>
      <c r="G324" s="14" t="str">
        <f aca="false">WBS!H78</f>
        <v>P3</v>
      </c>
      <c r="H324" s="14" t="str">
        <f aca="false">WBS!G78</f>
        <v>Should</v>
      </c>
      <c r="I324" s="6" t="s">
        <v>2771</v>
      </c>
      <c r="J324" s="14"/>
      <c r="K324" s="6"/>
      <c r="L324" s="41" t="s">
        <v>2065</v>
      </c>
    </row>
    <row r="325" customFormat="false" ht="15" hidden="false" customHeight="false" outlineLevel="0" collapsed="false">
      <c r="A325" s="14" t="s">
        <v>2775</v>
      </c>
      <c r="B325" s="14" t="s">
        <v>660</v>
      </c>
      <c r="C325" s="14" t="s">
        <v>509</v>
      </c>
      <c r="D325" s="28" t="s">
        <v>2776</v>
      </c>
      <c r="E325" s="22" t="s">
        <v>2071</v>
      </c>
      <c r="F325" s="31" t="n">
        <f aca="false">WBS!Q78</f>
        <v>3</v>
      </c>
      <c r="G325" s="14" t="str">
        <f aca="false">WBS!H78</f>
        <v>P3</v>
      </c>
      <c r="H325" s="14" t="str">
        <f aca="false">WBS!G78</f>
        <v>Should</v>
      </c>
      <c r="I325" s="6" t="s">
        <v>2771</v>
      </c>
      <c r="J325" s="14"/>
      <c r="K325" s="6"/>
      <c r="L325" s="41" t="s">
        <v>2065</v>
      </c>
    </row>
    <row r="326" customFormat="false" ht="15" hidden="false" customHeight="false" outlineLevel="0" collapsed="false">
      <c r="A326" s="14" t="s">
        <v>2777</v>
      </c>
      <c r="B326" s="14" t="s">
        <v>660</v>
      </c>
      <c r="C326" s="14" t="s">
        <v>509</v>
      </c>
      <c r="D326" s="28" t="s">
        <v>2778</v>
      </c>
      <c r="E326" s="43" t="s">
        <v>96</v>
      </c>
      <c r="F326" s="31" t="n">
        <f aca="false">WBS!T78</f>
        <v>2.8</v>
      </c>
      <c r="G326" s="14" t="str">
        <f aca="false">WBS!H78</f>
        <v>P3</v>
      </c>
      <c r="H326" s="14" t="str">
        <f aca="false">WBS!G78</f>
        <v>Should</v>
      </c>
      <c r="I326" s="6" t="s">
        <v>2779</v>
      </c>
      <c r="J326" s="14"/>
      <c r="K326" s="6"/>
      <c r="L326" s="41" t="s">
        <v>2065</v>
      </c>
    </row>
    <row r="327" customFormat="false" ht="15" hidden="false" customHeight="false" outlineLevel="0" collapsed="false">
      <c r="A327" s="14" t="s">
        <v>2780</v>
      </c>
      <c r="B327" s="14" t="s">
        <v>666</v>
      </c>
      <c r="C327" s="14" t="s">
        <v>509</v>
      </c>
      <c r="D327" s="28" t="s">
        <v>2781</v>
      </c>
      <c r="E327" s="40" t="s">
        <v>91</v>
      </c>
      <c r="F327" s="31" t="n">
        <f aca="false">WBS!R79</f>
        <v>0.7</v>
      </c>
      <c r="G327" s="14" t="str">
        <f aca="false">WBS!H79</f>
        <v>P3</v>
      </c>
      <c r="H327" s="14" t="str">
        <f aca="false">WBS!G79</f>
        <v>Should</v>
      </c>
      <c r="I327" s="6" t="s">
        <v>359</v>
      </c>
      <c r="J327" s="14"/>
      <c r="K327" s="6"/>
      <c r="L327" s="41" t="s">
        <v>2065</v>
      </c>
    </row>
    <row r="328" customFormat="false" ht="15" hidden="false" customHeight="false" outlineLevel="0" collapsed="false">
      <c r="A328" s="14" t="s">
        <v>2782</v>
      </c>
      <c r="B328" s="14" t="s">
        <v>666</v>
      </c>
      <c r="C328" s="14" t="s">
        <v>509</v>
      </c>
      <c r="D328" s="28" t="s">
        <v>2783</v>
      </c>
      <c r="E328" s="42" t="s">
        <v>2068</v>
      </c>
      <c r="F328" s="31" t="n">
        <f aca="false">WBS!P79</f>
        <v>3</v>
      </c>
      <c r="G328" s="14" t="str">
        <f aca="false">WBS!H79</f>
        <v>P3</v>
      </c>
      <c r="H328" s="14" t="str">
        <f aca="false">WBS!G79</f>
        <v>Should</v>
      </c>
      <c r="I328" s="6" t="s">
        <v>2780</v>
      </c>
      <c r="J328" s="14"/>
      <c r="K328" s="6"/>
      <c r="L328" s="41" t="s">
        <v>2065</v>
      </c>
    </row>
    <row r="329" customFormat="false" ht="15" hidden="false" customHeight="false" outlineLevel="0" collapsed="false">
      <c r="A329" s="14" t="s">
        <v>2784</v>
      </c>
      <c r="B329" s="14" t="s">
        <v>666</v>
      </c>
      <c r="C329" s="14" t="s">
        <v>509</v>
      </c>
      <c r="D329" s="28" t="s">
        <v>2785</v>
      </c>
      <c r="E329" s="22" t="s">
        <v>2071</v>
      </c>
      <c r="F329" s="31" t="n">
        <f aca="false">WBS!Q79</f>
        <v>3</v>
      </c>
      <c r="G329" s="14" t="str">
        <f aca="false">WBS!H79</f>
        <v>P3</v>
      </c>
      <c r="H329" s="14" t="str">
        <f aca="false">WBS!G79</f>
        <v>Should</v>
      </c>
      <c r="I329" s="6" t="s">
        <v>2780</v>
      </c>
      <c r="J329" s="14"/>
      <c r="K329" s="6"/>
      <c r="L329" s="41" t="s">
        <v>2065</v>
      </c>
    </row>
    <row r="330" customFormat="false" ht="15" hidden="false" customHeight="false" outlineLevel="0" collapsed="false">
      <c r="A330" s="14" t="s">
        <v>2786</v>
      </c>
      <c r="B330" s="14" t="s">
        <v>666</v>
      </c>
      <c r="C330" s="14" t="s">
        <v>509</v>
      </c>
      <c r="D330" s="28" t="s">
        <v>2787</v>
      </c>
      <c r="E330" s="43" t="s">
        <v>96</v>
      </c>
      <c r="F330" s="31" t="n">
        <f aca="false">WBS!T79</f>
        <v>2.1</v>
      </c>
      <c r="G330" s="14" t="str">
        <f aca="false">WBS!H79</f>
        <v>P3</v>
      </c>
      <c r="H330" s="14" t="str">
        <f aca="false">WBS!G79</f>
        <v>Should</v>
      </c>
      <c r="I330" s="6" t="s">
        <v>2788</v>
      </c>
      <c r="J330" s="14"/>
      <c r="K330" s="6"/>
      <c r="L330" s="41" t="s">
        <v>2065</v>
      </c>
    </row>
    <row r="331" customFormat="false" ht="15" hidden="false" customHeight="false" outlineLevel="0" collapsed="false">
      <c r="A331" s="14" t="s">
        <v>2789</v>
      </c>
      <c r="B331" s="14" t="s">
        <v>672</v>
      </c>
      <c r="C331" s="14" t="s">
        <v>509</v>
      </c>
      <c r="D331" s="28" t="s">
        <v>2790</v>
      </c>
      <c r="E331" s="40" t="s">
        <v>91</v>
      </c>
      <c r="F331" s="31" t="n">
        <f aca="false">WBS!R80</f>
        <v>1.2</v>
      </c>
      <c r="G331" s="14" t="str">
        <f aca="false">WBS!H80</f>
        <v>P3</v>
      </c>
      <c r="H331" s="14" t="str">
        <f aca="false">WBS!G80</f>
        <v>Should</v>
      </c>
      <c r="I331" s="6" t="s">
        <v>678</v>
      </c>
      <c r="J331" s="14"/>
      <c r="K331" s="6"/>
      <c r="L331" s="41" t="s">
        <v>2065</v>
      </c>
    </row>
    <row r="332" customFormat="false" ht="15" hidden="false" customHeight="false" outlineLevel="0" collapsed="false">
      <c r="A332" s="14" t="s">
        <v>2791</v>
      </c>
      <c r="B332" s="14" t="s">
        <v>672</v>
      </c>
      <c r="C332" s="14" t="s">
        <v>509</v>
      </c>
      <c r="D332" s="28" t="s">
        <v>2792</v>
      </c>
      <c r="E332" s="37" t="s">
        <v>128</v>
      </c>
      <c r="F332" s="31" t="n">
        <f aca="false">WBS!S80</f>
        <v>2</v>
      </c>
      <c r="G332" s="14" t="str">
        <f aca="false">WBS!H80</f>
        <v>P3</v>
      </c>
      <c r="H332" s="14" t="str">
        <f aca="false">WBS!G80</f>
        <v>Should</v>
      </c>
      <c r="I332" s="6" t="s">
        <v>2789</v>
      </c>
      <c r="J332" s="14"/>
      <c r="K332" s="6"/>
      <c r="L332" s="41" t="s">
        <v>2065</v>
      </c>
    </row>
    <row r="333" customFormat="false" ht="15" hidden="false" customHeight="false" outlineLevel="0" collapsed="false">
      <c r="A333" s="14" t="s">
        <v>2793</v>
      </c>
      <c r="B333" s="14" t="s">
        <v>672</v>
      </c>
      <c r="C333" s="14" t="s">
        <v>509</v>
      </c>
      <c r="D333" s="28" t="s">
        <v>2794</v>
      </c>
      <c r="E333" s="42" t="s">
        <v>2068</v>
      </c>
      <c r="F333" s="31" t="n">
        <f aca="false">WBS!P80</f>
        <v>5</v>
      </c>
      <c r="G333" s="14" t="str">
        <f aca="false">WBS!H80</f>
        <v>P3</v>
      </c>
      <c r="H333" s="14" t="str">
        <f aca="false">WBS!G80</f>
        <v>Should</v>
      </c>
      <c r="I333" s="6" t="s">
        <v>2789</v>
      </c>
      <c r="J333" s="14"/>
      <c r="K333" s="6"/>
      <c r="L333" s="41" t="s">
        <v>2065</v>
      </c>
    </row>
    <row r="334" customFormat="false" ht="15" hidden="false" customHeight="false" outlineLevel="0" collapsed="false">
      <c r="A334" s="14" t="s">
        <v>2795</v>
      </c>
      <c r="B334" s="14" t="s">
        <v>672</v>
      </c>
      <c r="C334" s="14" t="s">
        <v>509</v>
      </c>
      <c r="D334" s="28" t="s">
        <v>2796</v>
      </c>
      <c r="E334" s="22" t="s">
        <v>2071</v>
      </c>
      <c r="F334" s="31" t="n">
        <f aca="false">WBS!Q80</f>
        <v>5</v>
      </c>
      <c r="G334" s="14" t="str">
        <f aca="false">WBS!H80</f>
        <v>P3</v>
      </c>
      <c r="H334" s="14" t="str">
        <f aca="false">WBS!G80</f>
        <v>Should</v>
      </c>
      <c r="I334" s="6" t="s">
        <v>2791</v>
      </c>
      <c r="J334" s="14"/>
      <c r="K334" s="6"/>
      <c r="L334" s="41" t="s">
        <v>2065</v>
      </c>
    </row>
    <row r="335" customFormat="false" ht="15" hidden="false" customHeight="false" outlineLevel="0" collapsed="false">
      <c r="A335" s="14" t="s">
        <v>2797</v>
      </c>
      <c r="B335" s="14" t="s">
        <v>672</v>
      </c>
      <c r="C335" s="14" t="s">
        <v>509</v>
      </c>
      <c r="D335" s="28" t="s">
        <v>2798</v>
      </c>
      <c r="E335" s="43" t="s">
        <v>96</v>
      </c>
      <c r="F335" s="31" t="n">
        <f aca="false">WBS!T80</f>
        <v>3.5</v>
      </c>
      <c r="G335" s="14" t="str">
        <f aca="false">WBS!H80</f>
        <v>P3</v>
      </c>
      <c r="H335" s="14" t="str">
        <f aca="false">WBS!G80</f>
        <v>Should</v>
      </c>
      <c r="I335" s="6" t="s">
        <v>2799</v>
      </c>
      <c r="J335" s="14"/>
      <c r="K335" s="6"/>
      <c r="L335" s="41" t="s">
        <v>2065</v>
      </c>
    </row>
    <row r="336" customFormat="false" ht="15" hidden="false" customHeight="false" outlineLevel="0" collapsed="false">
      <c r="A336" s="14" t="s">
        <v>2800</v>
      </c>
      <c r="B336" s="14" t="s">
        <v>679</v>
      </c>
      <c r="C336" s="14" t="s">
        <v>509</v>
      </c>
      <c r="D336" s="28" t="s">
        <v>2801</v>
      </c>
      <c r="E336" s="40" t="s">
        <v>91</v>
      </c>
      <c r="F336" s="31" t="n">
        <f aca="false">WBS!R81</f>
        <v>1.2</v>
      </c>
      <c r="G336" s="14" t="str">
        <f aca="false">WBS!H81</f>
        <v>P4</v>
      </c>
      <c r="H336" s="14" t="str">
        <f aca="false">WBS!G81</f>
        <v>Nice-to-have</v>
      </c>
      <c r="I336" s="6" t="s">
        <v>686</v>
      </c>
      <c r="J336" s="14"/>
      <c r="K336" s="6"/>
      <c r="L336" s="41" t="s">
        <v>2065</v>
      </c>
    </row>
    <row r="337" customFormat="false" ht="15" hidden="false" customHeight="false" outlineLevel="0" collapsed="false">
      <c r="A337" s="14" t="s">
        <v>2802</v>
      </c>
      <c r="B337" s="14" t="s">
        <v>679</v>
      </c>
      <c r="C337" s="14" t="s">
        <v>509</v>
      </c>
      <c r="D337" s="28" t="s">
        <v>2803</v>
      </c>
      <c r="E337" s="37" t="s">
        <v>128</v>
      </c>
      <c r="F337" s="31" t="n">
        <f aca="false">WBS!S81</f>
        <v>2</v>
      </c>
      <c r="G337" s="14" t="str">
        <f aca="false">WBS!H81</f>
        <v>P4</v>
      </c>
      <c r="H337" s="14" t="str">
        <f aca="false">WBS!G81</f>
        <v>Nice-to-have</v>
      </c>
      <c r="I337" s="6" t="s">
        <v>2800</v>
      </c>
      <c r="J337" s="14"/>
      <c r="K337" s="6"/>
      <c r="L337" s="41" t="s">
        <v>2065</v>
      </c>
    </row>
    <row r="338" customFormat="false" ht="15" hidden="false" customHeight="false" outlineLevel="0" collapsed="false">
      <c r="A338" s="14" t="s">
        <v>2804</v>
      </c>
      <c r="B338" s="14" t="s">
        <v>679</v>
      </c>
      <c r="C338" s="14" t="s">
        <v>509</v>
      </c>
      <c r="D338" s="28" t="s">
        <v>2805</v>
      </c>
      <c r="E338" s="42" t="s">
        <v>2068</v>
      </c>
      <c r="F338" s="31" t="n">
        <f aca="false">WBS!P81</f>
        <v>5</v>
      </c>
      <c r="G338" s="14" t="str">
        <f aca="false">WBS!H81</f>
        <v>P4</v>
      </c>
      <c r="H338" s="14" t="str">
        <f aca="false">WBS!G81</f>
        <v>Nice-to-have</v>
      </c>
      <c r="I338" s="6" t="s">
        <v>2800</v>
      </c>
      <c r="J338" s="14"/>
      <c r="K338" s="6"/>
      <c r="L338" s="41" t="s">
        <v>2065</v>
      </c>
    </row>
    <row r="339" customFormat="false" ht="15" hidden="false" customHeight="false" outlineLevel="0" collapsed="false">
      <c r="A339" s="14" t="s">
        <v>2806</v>
      </c>
      <c r="B339" s="14" t="s">
        <v>679</v>
      </c>
      <c r="C339" s="14" t="s">
        <v>509</v>
      </c>
      <c r="D339" s="28" t="s">
        <v>2807</v>
      </c>
      <c r="E339" s="22" t="s">
        <v>2071</v>
      </c>
      <c r="F339" s="31" t="n">
        <f aca="false">WBS!Q81</f>
        <v>5</v>
      </c>
      <c r="G339" s="14" t="str">
        <f aca="false">WBS!H81</f>
        <v>P4</v>
      </c>
      <c r="H339" s="14" t="str">
        <f aca="false">WBS!G81</f>
        <v>Nice-to-have</v>
      </c>
      <c r="I339" s="6" t="s">
        <v>2802</v>
      </c>
      <c r="J339" s="14"/>
      <c r="K339" s="6"/>
      <c r="L339" s="41" t="s">
        <v>2065</v>
      </c>
    </row>
    <row r="340" customFormat="false" ht="15" hidden="false" customHeight="false" outlineLevel="0" collapsed="false">
      <c r="A340" s="14" t="s">
        <v>2808</v>
      </c>
      <c r="B340" s="14" t="s">
        <v>679</v>
      </c>
      <c r="C340" s="14" t="s">
        <v>509</v>
      </c>
      <c r="D340" s="28" t="s">
        <v>2809</v>
      </c>
      <c r="E340" s="43" t="s">
        <v>96</v>
      </c>
      <c r="F340" s="31" t="n">
        <f aca="false">WBS!T81</f>
        <v>3.5</v>
      </c>
      <c r="G340" s="14" t="str">
        <f aca="false">WBS!H81</f>
        <v>P4</v>
      </c>
      <c r="H340" s="14" t="str">
        <f aca="false">WBS!G81</f>
        <v>Nice-to-have</v>
      </c>
      <c r="I340" s="6" t="s">
        <v>2810</v>
      </c>
      <c r="J340" s="14"/>
      <c r="K340" s="6"/>
      <c r="L340" s="41" t="s">
        <v>2065</v>
      </c>
    </row>
    <row r="341" customFormat="false" ht="15" hidden="false" customHeight="false" outlineLevel="0" collapsed="false">
      <c r="A341" s="14" t="s">
        <v>2811</v>
      </c>
      <c r="B341" s="14" t="s">
        <v>687</v>
      </c>
      <c r="C341" s="14" t="s">
        <v>688</v>
      </c>
      <c r="D341" s="28" t="s">
        <v>2812</v>
      </c>
      <c r="E341" s="40" t="s">
        <v>91</v>
      </c>
      <c r="F341" s="31" t="n">
        <f aca="false">WBS!R82</f>
        <v>1.8</v>
      </c>
      <c r="G341" s="14" t="str">
        <f aca="false">WBS!H82</f>
        <v>P1</v>
      </c>
      <c r="H341" s="14" t="str">
        <f aca="false">WBS!G82</f>
        <v>Must</v>
      </c>
      <c r="I341" s="6" t="s">
        <v>696</v>
      </c>
      <c r="J341" s="14"/>
      <c r="K341" s="6"/>
      <c r="L341" s="41" t="s">
        <v>2065</v>
      </c>
    </row>
    <row r="342" customFormat="false" ht="15" hidden="false" customHeight="false" outlineLevel="0" collapsed="false">
      <c r="A342" s="14" t="s">
        <v>2813</v>
      </c>
      <c r="B342" s="14" t="s">
        <v>687</v>
      </c>
      <c r="C342" s="14" t="s">
        <v>688</v>
      </c>
      <c r="D342" s="28" t="s">
        <v>2814</v>
      </c>
      <c r="E342" s="37" t="s">
        <v>128</v>
      </c>
      <c r="F342" s="31" t="n">
        <f aca="false">WBS!S82</f>
        <v>4</v>
      </c>
      <c r="G342" s="14" t="str">
        <f aca="false">WBS!H82</f>
        <v>P1</v>
      </c>
      <c r="H342" s="14" t="str">
        <f aca="false">WBS!G82</f>
        <v>Must</v>
      </c>
      <c r="I342" s="6" t="s">
        <v>2811</v>
      </c>
      <c r="J342" s="14"/>
      <c r="K342" s="6"/>
      <c r="L342" s="41" t="s">
        <v>2065</v>
      </c>
    </row>
    <row r="343" customFormat="false" ht="22.35" hidden="false" customHeight="false" outlineLevel="0" collapsed="false">
      <c r="A343" s="14" t="s">
        <v>2815</v>
      </c>
      <c r="B343" s="14" t="s">
        <v>687</v>
      </c>
      <c r="C343" s="14" t="s">
        <v>688</v>
      </c>
      <c r="D343" s="28" t="s">
        <v>2816</v>
      </c>
      <c r="E343" s="42" t="s">
        <v>2068</v>
      </c>
      <c r="F343" s="31" t="n">
        <f aca="false">WBS!P82</f>
        <v>5</v>
      </c>
      <c r="G343" s="14" t="str">
        <f aca="false">WBS!H82</f>
        <v>P1</v>
      </c>
      <c r="H343" s="14" t="str">
        <f aca="false">WBS!G82</f>
        <v>Must</v>
      </c>
      <c r="I343" s="6" t="s">
        <v>2811</v>
      </c>
      <c r="J343" s="14"/>
      <c r="K343" s="6"/>
      <c r="L343" s="41" t="s">
        <v>2065</v>
      </c>
    </row>
    <row r="344" customFormat="false" ht="15" hidden="false" customHeight="false" outlineLevel="0" collapsed="false">
      <c r="A344" s="14" t="s">
        <v>2817</v>
      </c>
      <c r="B344" s="14" t="s">
        <v>687</v>
      </c>
      <c r="C344" s="14" t="s">
        <v>688</v>
      </c>
      <c r="D344" s="28" t="s">
        <v>2818</v>
      </c>
      <c r="E344" s="22" t="s">
        <v>2071</v>
      </c>
      <c r="F344" s="31" t="n">
        <f aca="false">WBS!Q82</f>
        <v>10</v>
      </c>
      <c r="G344" s="14" t="str">
        <f aca="false">WBS!H82</f>
        <v>P1</v>
      </c>
      <c r="H344" s="14" t="str">
        <f aca="false">WBS!G82</f>
        <v>Must</v>
      </c>
      <c r="I344" s="6" t="s">
        <v>2813</v>
      </c>
      <c r="J344" s="14"/>
      <c r="K344" s="6"/>
      <c r="L344" s="41" t="s">
        <v>2065</v>
      </c>
    </row>
    <row r="345" customFormat="false" ht="15" hidden="false" customHeight="false" outlineLevel="0" collapsed="false">
      <c r="A345" s="14" t="s">
        <v>2819</v>
      </c>
      <c r="B345" s="14" t="s">
        <v>687</v>
      </c>
      <c r="C345" s="14" t="s">
        <v>688</v>
      </c>
      <c r="D345" s="28" t="s">
        <v>2820</v>
      </c>
      <c r="E345" s="43" t="s">
        <v>96</v>
      </c>
      <c r="F345" s="31" t="n">
        <f aca="false">WBS!T82</f>
        <v>5.3</v>
      </c>
      <c r="G345" s="14" t="str">
        <f aca="false">WBS!H82</f>
        <v>P1</v>
      </c>
      <c r="H345" s="14" t="str">
        <f aca="false">WBS!G82</f>
        <v>Must</v>
      </c>
      <c r="I345" s="6" t="s">
        <v>2821</v>
      </c>
      <c r="J345" s="14"/>
      <c r="K345" s="6"/>
      <c r="L345" s="41" t="s">
        <v>2065</v>
      </c>
    </row>
    <row r="346" customFormat="false" ht="15" hidden="false" customHeight="false" outlineLevel="0" collapsed="false">
      <c r="A346" s="14" t="s">
        <v>2822</v>
      </c>
      <c r="B346" s="14" t="s">
        <v>698</v>
      </c>
      <c r="C346" s="14" t="s">
        <v>688</v>
      </c>
      <c r="D346" s="28" t="s">
        <v>2823</v>
      </c>
      <c r="E346" s="40" t="s">
        <v>91</v>
      </c>
      <c r="F346" s="31" t="n">
        <f aca="false">WBS!R83</f>
        <v>0.7</v>
      </c>
      <c r="G346" s="14" t="str">
        <f aca="false">WBS!H83</f>
        <v>P1</v>
      </c>
      <c r="H346" s="14" t="str">
        <f aca="false">WBS!G83</f>
        <v>Must</v>
      </c>
      <c r="I346" s="6" t="s">
        <v>687</v>
      </c>
      <c r="J346" s="14"/>
      <c r="K346" s="6"/>
      <c r="L346" s="41" t="s">
        <v>2065</v>
      </c>
    </row>
    <row r="347" customFormat="false" ht="15" hidden="false" customHeight="false" outlineLevel="0" collapsed="false">
      <c r="A347" s="14" t="s">
        <v>2824</v>
      </c>
      <c r="B347" s="14" t="s">
        <v>698</v>
      </c>
      <c r="C347" s="14" t="s">
        <v>688</v>
      </c>
      <c r="D347" s="28" t="s">
        <v>2825</v>
      </c>
      <c r="E347" s="42" t="s">
        <v>2068</v>
      </c>
      <c r="F347" s="31" t="n">
        <f aca="false">WBS!P83</f>
        <v>3</v>
      </c>
      <c r="G347" s="14" t="str">
        <f aca="false">WBS!H83</f>
        <v>P1</v>
      </c>
      <c r="H347" s="14" t="str">
        <f aca="false">WBS!G83</f>
        <v>Must</v>
      </c>
      <c r="I347" s="6" t="s">
        <v>2822</v>
      </c>
      <c r="J347" s="14"/>
      <c r="K347" s="6"/>
      <c r="L347" s="41" t="s">
        <v>2065</v>
      </c>
    </row>
    <row r="348" customFormat="false" ht="15" hidden="false" customHeight="false" outlineLevel="0" collapsed="false">
      <c r="A348" s="14" t="s">
        <v>2826</v>
      </c>
      <c r="B348" s="14" t="s">
        <v>698</v>
      </c>
      <c r="C348" s="14" t="s">
        <v>688</v>
      </c>
      <c r="D348" s="28" t="s">
        <v>2827</v>
      </c>
      <c r="E348" s="22" t="s">
        <v>2071</v>
      </c>
      <c r="F348" s="31" t="n">
        <f aca="false">WBS!Q83</f>
        <v>3</v>
      </c>
      <c r="G348" s="14" t="str">
        <f aca="false">WBS!H83</f>
        <v>P1</v>
      </c>
      <c r="H348" s="14" t="str">
        <f aca="false">WBS!G83</f>
        <v>Must</v>
      </c>
      <c r="I348" s="6" t="s">
        <v>2822</v>
      </c>
      <c r="J348" s="14"/>
      <c r="K348" s="6"/>
      <c r="L348" s="41" t="s">
        <v>2065</v>
      </c>
    </row>
    <row r="349" customFormat="false" ht="15" hidden="false" customHeight="false" outlineLevel="0" collapsed="false">
      <c r="A349" s="14" t="s">
        <v>2828</v>
      </c>
      <c r="B349" s="14" t="s">
        <v>698</v>
      </c>
      <c r="C349" s="14" t="s">
        <v>688</v>
      </c>
      <c r="D349" s="28" t="s">
        <v>2829</v>
      </c>
      <c r="E349" s="43" t="s">
        <v>96</v>
      </c>
      <c r="F349" s="31" t="n">
        <f aca="false">WBS!T83</f>
        <v>2.1</v>
      </c>
      <c r="G349" s="14" t="str">
        <f aca="false">WBS!H83</f>
        <v>P1</v>
      </c>
      <c r="H349" s="14" t="str">
        <f aca="false">WBS!G83</f>
        <v>Must</v>
      </c>
      <c r="I349" s="6" t="s">
        <v>2830</v>
      </c>
      <c r="J349" s="14"/>
      <c r="K349" s="6"/>
      <c r="L349" s="41" t="s">
        <v>2065</v>
      </c>
    </row>
    <row r="350" customFormat="false" ht="15" hidden="false" customHeight="false" outlineLevel="0" collapsed="false">
      <c r="A350" s="14" t="s">
        <v>2831</v>
      </c>
      <c r="B350" s="14" t="s">
        <v>706</v>
      </c>
      <c r="C350" s="14" t="s">
        <v>688</v>
      </c>
      <c r="D350" s="28" t="s">
        <v>2832</v>
      </c>
      <c r="E350" s="40" t="s">
        <v>91</v>
      </c>
      <c r="F350" s="31" t="n">
        <f aca="false">WBS!R84</f>
        <v>0.7</v>
      </c>
      <c r="G350" s="14" t="str">
        <f aca="false">WBS!H84</f>
        <v>P1</v>
      </c>
      <c r="H350" s="14" t="str">
        <f aca="false">WBS!G84</f>
        <v>Must</v>
      </c>
      <c r="I350" s="6" t="s">
        <v>713</v>
      </c>
      <c r="J350" s="14"/>
      <c r="K350" s="6"/>
      <c r="L350" s="41" t="s">
        <v>2065</v>
      </c>
    </row>
    <row r="351" customFormat="false" ht="15" hidden="false" customHeight="false" outlineLevel="0" collapsed="false">
      <c r="A351" s="14" t="s">
        <v>2833</v>
      </c>
      <c r="B351" s="14" t="s">
        <v>706</v>
      </c>
      <c r="C351" s="14" t="s">
        <v>688</v>
      </c>
      <c r="D351" s="28" t="s">
        <v>2834</v>
      </c>
      <c r="E351" s="42" t="s">
        <v>2068</v>
      </c>
      <c r="F351" s="31" t="n">
        <f aca="false">WBS!P84</f>
        <v>3</v>
      </c>
      <c r="G351" s="14" t="str">
        <f aca="false">WBS!H84</f>
        <v>P1</v>
      </c>
      <c r="H351" s="14" t="str">
        <f aca="false">WBS!G84</f>
        <v>Must</v>
      </c>
      <c r="I351" s="6" t="s">
        <v>2831</v>
      </c>
      <c r="J351" s="14"/>
      <c r="K351" s="6"/>
      <c r="L351" s="41" t="s">
        <v>2065</v>
      </c>
    </row>
    <row r="352" customFormat="false" ht="15" hidden="false" customHeight="false" outlineLevel="0" collapsed="false">
      <c r="A352" s="14" t="s">
        <v>2835</v>
      </c>
      <c r="B352" s="14" t="s">
        <v>706</v>
      </c>
      <c r="C352" s="14" t="s">
        <v>688</v>
      </c>
      <c r="D352" s="28" t="s">
        <v>2836</v>
      </c>
      <c r="E352" s="22" t="s">
        <v>2071</v>
      </c>
      <c r="F352" s="31" t="n">
        <f aca="false">WBS!Q84</f>
        <v>3</v>
      </c>
      <c r="G352" s="14" t="str">
        <f aca="false">WBS!H84</f>
        <v>P1</v>
      </c>
      <c r="H352" s="14" t="str">
        <f aca="false">WBS!G84</f>
        <v>Must</v>
      </c>
      <c r="I352" s="6" t="s">
        <v>2831</v>
      </c>
      <c r="J352" s="14"/>
      <c r="K352" s="6"/>
      <c r="L352" s="41" t="s">
        <v>2065</v>
      </c>
    </row>
    <row r="353" customFormat="false" ht="15" hidden="false" customHeight="false" outlineLevel="0" collapsed="false">
      <c r="A353" s="14" t="s">
        <v>2837</v>
      </c>
      <c r="B353" s="14" t="s">
        <v>706</v>
      </c>
      <c r="C353" s="14" t="s">
        <v>688</v>
      </c>
      <c r="D353" s="28" t="s">
        <v>2838</v>
      </c>
      <c r="E353" s="43" t="s">
        <v>96</v>
      </c>
      <c r="F353" s="31" t="n">
        <f aca="false">WBS!T84</f>
        <v>2.1</v>
      </c>
      <c r="G353" s="14" t="str">
        <f aca="false">WBS!H84</f>
        <v>P1</v>
      </c>
      <c r="H353" s="14" t="str">
        <f aca="false">WBS!G84</f>
        <v>Must</v>
      </c>
      <c r="I353" s="6" t="s">
        <v>2839</v>
      </c>
      <c r="J353" s="14"/>
      <c r="K353" s="6"/>
      <c r="L353" s="41" t="s">
        <v>2065</v>
      </c>
    </row>
    <row r="354" customFormat="false" ht="15" hidden="false" customHeight="false" outlineLevel="0" collapsed="false">
      <c r="A354" s="14" t="s">
        <v>2840</v>
      </c>
      <c r="B354" s="14" t="s">
        <v>714</v>
      </c>
      <c r="C354" s="14" t="s">
        <v>688</v>
      </c>
      <c r="D354" s="28" t="s">
        <v>2841</v>
      </c>
      <c r="E354" s="40" t="s">
        <v>91</v>
      </c>
      <c r="F354" s="31" t="n">
        <f aca="false">WBS!R85</f>
        <v>1</v>
      </c>
      <c r="G354" s="14" t="str">
        <f aca="false">WBS!H85</f>
        <v>P1</v>
      </c>
      <c r="H354" s="14" t="str">
        <f aca="false">WBS!G85</f>
        <v>Must</v>
      </c>
      <c r="I354" s="6" t="s">
        <v>721</v>
      </c>
      <c r="J354" s="14"/>
      <c r="K354" s="6"/>
      <c r="L354" s="41" t="s">
        <v>2065</v>
      </c>
    </row>
    <row r="355" customFormat="false" ht="22.35" hidden="false" customHeight="false" outlineLevel="0" collapsed="false">
      <c r="A355" s="14" t="s">
        <v>2842</v>
      </c>
      <c r="B355" s="14" t="s">
        <v>714</v>
      </c>
      <c r="C355" s="14" t="s">
        <v>688</v>
      </c>
      <c r="D355" s="28" t="s">
        <v>2843</v>
      </c>
      <c r="E355" s="42" t="s">
        <v>2068</v>
      </c>
      <c r="F355" s="31" t="n">
        <f aca="false">WBS!P85</f>
        <v>5</v>
      </c>
      <c r="G355" s="14" t="str">
        <f aca="false">WBS!H85</f>
        <v>P1</v>
      </c>
      <c r="H355" s="14" t="str">
        <f aca="false">WBS!G85</f>
        <v>Must</v>
      </c>
      <c r="I355" s="6" t="s">
        <v>2840</v>
      </c>
      <c r="J355" s="14"/>
      <c r="K355" s="6"/>
      <c r="L355" s="41" t="s">
        <v>2065</v>
      </c>
    </row>
    <row r="356" customFormat="false" ht="15" hidden="false" customHeight="false" outlineLevel="0" collapsed="false">
      <c r="A356" s="14" t="s">
        <v>2844</v>
      </c>
      <c r="B356" s="14" t="s">
        <v>714</v>
      </c>
      <c r="C356" s="14" t="s">
        <v>688</v>
      </c>
      <c r="D356" s="28" t="s">
        <v>2845</v>
      </c>
      <c r="E356" s="22" t="s">
        <v>2071</v>
      </c>
      <c r="F356" s="31" t="n">
        <f aca="false">WBS!Q85</f>
        <v>3</v>
      </c>
      <c r="G356" s="14" t="str">
        <f aca="false">WBS!H85</f>
        <v>P1</v>
      </c>
      <c r="H356" s="14" t="str">
        <f aca="false">WBS!G85</f>
        <v>Must</v>
      </c>
      <c r="I356" s="6" t="s">
        <v>2840</v>
      </c>
      <c r="J356" s="14"/>
      <c r="K356" s="6"/>
      <c r="L356" s="41" t="s">
        <v>2065</v>
      </c>
    </row>
    <row r="357" customFormat="false" ht="15" hidden="false" customHeight="false" outlineLevel="0" collapsed="false">
      <c r="A357" s="14" t="s">
        <v>2846</v>
      </c>
      <c r="B357" s="14" t="s">
        <v>714</v>
      </c>
      <c r="C357" s="14" t="s">
        <v>688</v>
      </c>
      <c r="D357" s="28" t="s">
        <v>2847</v>
      </c>
      <c r="E357" s="43" t="s">
        <v>96</v>
      </c>
      <c r="F357" s="31" t="n">
        <f aca="false">WBS!T85</f>
        <v>2.8</v>
      </c>
      <c r="G357" s="14" t="str">
        <f aca="false">WBS!H85</f>
        <v>P1</v>
      </c>
      <c r="H357" s="14" t="str">
        <f aca="false">WBS!G85</f>
        <v>Must</v>
      </c>
      <c r="I357" s="6" t="s">
        <v>2848</v>
      </c>
      <c r="J357" s="14"/>
      <c r="K357" s="6"/>
      <c r="L357" s="41" t="s">
        <v>2065</v>
      </c>
    </row>
    <row r="358" customFormat="false" ht="15" hidden="false" customHeight="false" outlineLevel="0" collapsed="false">
      <c r="A358" s="14" t="s">
        <v>2849</v>
      </c>
      <c r="B358" s="14" t="s">
        <v>722</v>
      </c>
      <c r="C358" s="14" t="s">
        <v>688</v>
      </c>
      <c r="D358" s="28" t="s">
        <v>2850</v>
      </c>
      <c r="E358" s="40" t="s">
        <v>91</v>
      </c>
      <c r="F358" s="31" t="n">
        <f aca="false">WBS!R86</f>
        <v>0.7</v>
      </c>
      <c r="G358" s="14" t="str">
        <f aca="false">WBS!H86</f>
        <v>P1</v>
      </c>
      <c r="H358" s="14" t="str">
        <f aca="false">WBS!G86</f>
        <v>Must</v>
      </c>
      <c r="I358" s="6" t="s">
        <v>156</v>
      </c>
      <c r="J358" s="14"/>
      <c r="K358" s="6"/>
      <c r="L358" s="41" t="s">
        <v>2065</v>
      </c>
    </row>
    <row r="359" customFormat="false" ht="15" hidden="false" customHeight="false" outlineLevel="0" collapsed="false">
      <c r="A359" s="14" t="s">
        <v>2851</v>
      </c>
      <c r="B359" s="14" t="s">
        <v>722</v>
      </c>
      <c r="C359" s="14" t="s">
        <v>688</v>
      </c>
      <c r="D359" s="28" t="s">
        <v>2852</v>
      </c>
      <c r="E359" s="42" t="s">
        <v>2068</v>
      </c>
      <c r="F359" s="31" t="n">
        <f aca="false">WBS!P86</f>
        <v>3</v>
      </c>
      <c r="G359" s="14" t="str">
        <f aca="false">WBS!H86</f>
        <v>P1</v>
      </c>
      <c r="H359" s="14" t="str">
        <f aca="false">WBS!G86</f>
        <v>Must</v>
      </c>
      <c r="I359" s="6" t="s">
        <v>2849</v>
      </c>
      <c r="J359" s="14"/>
      <c r="K359" s="6"/>
      <c r="L359" s="41" t="s">
        <v>2065</v>
      </c>
    </row>
    <row r="360" customFormat="false" ht="15" hidden="false" customHeight="false" outlineLevel="0" collapsed="false">
      <c r="A360" s="14" t="s">
        <v>2853</v>
      </c>
      <c r="B360" s="14" t="s">
        <v>722</v>
      </c>
      <c r="C360" s="14" t="s">
        <v>688</v>
      </c>
      <c r="D360" s="28" t="s">
        <v>2854</v>
      </c>
      <c r="E360" s="22" t="s">
        <v>2071</v>
      </c>
      <c r="F360" s="31" t="n">
        <f aca="false">WBS!Q86</f>
        <v>3</v>
      </c>
      <c r="G360" s="14" t="str">
        <f aca="false">WBS!H86</f>
        <v>P1</v>
      </c>
      <c r="H360" s="14" t="str">
        <f aca="false">WBS!G86</f>
        <v>Must</v>
      </c>
      <c r="I360" s="6" t="s">
        <v>2849</v>
      </c>
      <c r="J360" s="14"/>
      <c r="K360" s="6"/>
      <c r="L360" s="41" t="s">
        <v>2065</v>
      </c>
    </row>
    <row r="361" customFormat="false" ht="15" hidden="false" customHeight="false" outlineLevel="0" collapsed="false">
      <c r="A361" s="14" t="s">
        <v>2855</v>
      </c>
      <c r="B361" s="14" t="s">
        <v>722</v>
      </c>
      <c r="C361" s="14" t="s">
        <v>688</v>
      </c>
      <c r="D361" s="28" t="s">
        <v>2856</v>
      </c>
      <c r="E361" s="43" t="s">
        <v>96</v>
      </c>
      <c r="F361" s="31" t="n">
        <f aca="false">WBS!T86</f>
        <v>2.1</v>
      </c>
      <c r="G361" s="14" t="str">
        <f aca="false">WBS!H86</f>
        <v>P1</v>
      </c>
      <c r="H361" s="14" t="str">
        <f aca="false">WBS!G86</f>
        <v>Must</v>
      </c>
      <c r="I361" s="6" t="s">
        <v>2857</v>
      </c>
      <c r="J361" s="14"/>
      <c r="K361" s="6"/>
      <c r="L361" s="41" t="s">
        <v>2065</v>
      </c>
    </row>
    <row r="362" customFormat="false" ht="15" hidden="false" customHeight="false" outlineLevel="0" collapsed="false">
      <c r="A362" s="14" t="s">
        <v>2858</v>
      </c>
      <c r="B362" s="14" t="s">
        <v>728</v>
      </c>
      <c r="C362" s="14" t="s">
        <v>688</v>
      </c>
      <c r="D362" s="28" t="s">
        <v>2859</v>
      </c>
      <c r="E362" s="40" t="s">
        <v>91</v>
      </c>
      <c r="F362" s="31" t="n">
        <f aca="false">WBS!R87</f>
        <v>0.7</v>
      </c>
      <c r="G362" s="14" t="str">
        <f aca="false">WBS!H87</f>
        <v>P1</v>
      </c>
      <c r="H362" s="14" t="str">
        <f aca="false">WBS!G87</f>
        <v>Must</v>
      </c>
      <c r="I362" s="6" t="s">
        <v>192</v>
      </c>
      <c r="J362" s="14"/>
      <c r="K362" s="6"/>
      <c r="L362" s="41" t="s">
        <v>2065</v>
      </c>
    </row>
    <row r="363" customFormat="false" ht="15" hidden="false" customHeight="false" outlineLevel="0" collapsed="false">
      <c r="A363" s="14" t="s">
        <v>2860</v>
      </c>
      <c r="B363" s="14" t="s">
        <v>728</v>
      </c>
      <c r="C363" s="14" t="s">
        <v>688</v>
      </c>
      <c r="D363" s="28" t="s">
        <v>2861</v>
      </c>
      <c r="E363" s="42" t="s">
        <v>2068</v>
      </c>
      <c r="F363" s="31" t="n">
        <f aca="false">WBS!P87</f>
        <v>3</v>
      </c>
      <c r="G363" s="14" t="str">
        <f aca="false">WBS!H87</f>
        <v>P1</v>
      </c>
      <c r="H363" s="14" t="str">
        <f aca="false">WBS!G87</f>
        <v>Must</v>
      </c>
      <c r="I363" s="6" t="s">
        <v>2858</v>
      </c>
      <c r="J363" s="14"/>
      <c r="K363" s="6"/>
      <c r="L363" s="41" t="s">
        <v>2065</v>
      </c>
    </row>
    <row r="364" customFormat="false" ht="15" hidden="false" customHeight="false" outlineLevel="0" collapsed="false">
      <c r="A364" s="14" t="s">
        <v>2862</v>
      </c>
      <c r="B364" s="14" t="s">
        <v>728</v>
      </c>
      <c r="C364" s="14" t="s">
        <v>688</v>
      </c>
      <c r="D364" s="28" t="s">
        <v>2863</v>
      </c>
      <c r="E364" s="22" t="s">
        <v>2071</v>
      </c>
      <c r="F364" s="31" t="n">
        <f aca="false">WBS!Q87</f>
        <v>3</v>
      </c>
      <c r="G364" s="14" t="str">
        <f aca="false">WBS!H87</f>
        <v>P1</v>
      </c>
      <c r="H364" s="14" t="str">
        <f aca="false">WBS!G87</f>
        <v>Must</v>
      </c>
      <c r="I364" s="6" t="s">
        <v>2858</v>
      </c>
      <c r="J364" s="14"/>
      <c r="K364" s="6"/>
      <c r="L364" s="41" t="s">
        <v>2065</v>
      </c>
    </row>
    <row r="365" customFormat="false" ht="15" hidden="false" customHeight="false" outlineLevel="0" collapsed="false">
      <c r="A365" s="14" t="s">
        <v>2864</v>
      </c>
      <c r="B365" s="14" t="s">
        <v>728</v>
      </c>
      <c r="C365" s="14" t="s">
        <v>688</v>
      </c>
      <c r="D365" s="28" t="s">
        <v>2865</v>
      </c>
      <c r="E365" s="43" t="s">
        <v>96</v>
      </c>
      <c r="F365" s="31" t="n">
        <f aca="false">WBS!T87</f>
        <v>2.1</v>
      </c>
      <c r="G365" s="14" t="str">
        <f aca="false">WBS!H87</f>
        <v>P1</v>
      </c>
      <c r="H365" s="14" t="str">
        <f aca="false">WBS!G87</f>
        <v>Must</v>
      </c>
      <c r="I365" s="6" t="s">
        <v>2866</v>
      </c>
      <c r="J365" s="14"/>
      <c r="K365" s="6"/>
      <c r="L365" s="41" t="s">
        <v>2065</v>
      </c>
    </row>
    <row r="366" customFormat="false" ht="15" hidden="false" customHeight="false" outlineLevel="0" collapsed="false">
      <c r="A366" s="14" t="s">
        <v>2867</v>
      </c>
      <c r="B366" s="14" t="s">
        <v>734</v>
      </c>
      <c r="C366" s="14" t="s">
        <v>688</v>
      </c>
      <c r="D366" s="28" t="s">
        <v>2868</v>
      </c>
      <c r="E366" s="40" t="s">
        <v>91</v>
      </c>
      <c r="F366" s="31" t="n">
        <f aca="false">WBS!R88</f>
        <v>1</v>
      </c>
      <c r="G366" s="14" t="str">
        <f aca="false">WBS!H88</f>
        <v>P1</v>
      </c>
      <c r="H366" s="14" t="str">
        <f aca="false">WBS!G88</f>
        <v>Must</v>
      </c>
      <c r="I366" s="6" t="s">
        <v>741</v>
      </c>
      <c r="J366" s="14"/>
      <c r="K366" s="6"/>
      <c r="L366" s="41" t="s">
        <v>2065</v>
      </c>
    </row>
    <row r="367" customFormat="false" ht="22.35" hidden="false" customHeight="false" outlineLevel="0" collapsed="false">
      <c r="A367" s="14" t="s">
        <v>2869</v>
      </c>
      <c r="B367" s="14" t="s">
        <v>734</v>
      </c>
      <c r="C367" s="14" t="s">
        <v>688</v>
      </c>
      <c r="D367" s="28" t="s">
        <v>2870</v>
      </c>
      <c r="E367" s="42" t="s">
        <v>2068</v>
      </c>
      <c r="F367" s="31" t="n">
        <f aca="false">WBS!P88</f>
        <v>5</v>
      </c>
      <c r="G367" s="14" t="str">
        <f aca="false">WBS!H88</f>
        <v>P1</v>
      </c>
      <c r="H367" s="14" t="str">
        <f aca="false">WBS!G88</f>
        <v>Must</v>
      </c>
      <c r="I367" s="6" t="s">
        <v>2867</v>
      </c>
      <c r="J367" s="14"/>
      <c r="K367" s="6"/>
      <c r="L367" s="41" t="s">
        <v>2065</v>
      </c>
    </row>
    <row r="368" customFormat="false" ht="15" hidden="false" customHeight="false" outlineLevel="0" collapsed="false">
      <c r="A368" s="14" t="s">
        <v>2871</v>
      </c>
      <c r="B368" s="14" t="s">
        <v>734</v>
      </c>
      <c r="C368" s="14" t="s">
        <v>688</v>
      </c>
      <c r="D368" s="28" t="s">
        <v>2872</v>
      </c>
      <c r="E368" s="22" t="s">
        <v>2071</v>
      </c>
      <c r="F368" s="31" t="n">
        <f aca="false">WBS!Q88</f>
        <v>3</v>
      </c>
      <c r="G368" s="14" t="str">
        <f aca="false">WBS!H88</f>
        <v>P1</v>
      </c>
      <c r="H368" s="14" t="str">
        <f aca="false">WBS!G88</f>
        <v>Must</v>
      </c>
      <c r="I368" s="6" t="s">
        <v>2867</v>
      </c>
      <c r="J368" s="14"/>
      <c r="K368" s="6"/>
      <c r="L368" s="41" t="s">
        <v>2065</v>
      </c>
    </row>
    <row r="369" customFormat="false" ht="15" hidden="false" customHeight="false" outlineLevel="0" collapsed="false">
      <c r="A369" s="14" t="s">
        <v>2873</v>
      </c>
      <c r="B369" s="14" t="s">
        <v>734</v>
      </c>
      <c r="C369" s="14" t="s">
        <v>688</v>
      </c>
      <c r="D369" s="28" t="s">
        <v>2874</v>
      </c>
      <c r="E369" s="43" t="s">
        <v>96</v>
      </c>
      <c r="F369" s="31" t="n">
        <f aca="false">WBS!T88</f>
        <v>2.8</v>
      </c>
      <c r="G369" s="14" t="str">
        <f aca="false">WBS!H88</f>
        <v>P1</v>
      </c>
      <c r="H369" s="14" t="str">
        <f aca="false">WBS!G88</f>
        <v>Must</v>
      </c>
      <c r="I369" s="6" t="s">
        <v>2875</v>
      </c>
      <c r="J369" s="14"/>
      <c r="K369" s="6"/>
      <c r="L369" s="41" t="s">
        <v>2065</v>
      </c>
    </row>
    <row r="370" customFormat="false" ht="15" hidden="false" customHeight="false" outlineLevel="0" collapsed="false">
      <c r="A370" s="14" t="s">
        <v>2876</v>
      </c>
      <c r="B370" s="14" t="s">
        <v>742</v>
      </c>
      <c r="C370" s="14" t="s">
        <v>688</v>
      </c>
      <c r="D370" s="28" t="s">
        <v>2877</v>
      </c>
      <c r="E370" s="40" t="s">
        <v>91</v>
      </c>
      <c r="F370" s="31" t="n">
        <f aca="false">WBS!R89</f>
        <v>1</v>
      </c>
      <c r="G370" s="14" t="str">
        <f aca="false">WBS!H89</f>
        <v>P1</v>
      </c>
      <c r="H370" s="14" t="str">
        <f aca="false">WBS!G89</f>
        <v>Should</v>
      </c>
      <c r="I370" s="6" t="s">
        <v>250</v>
      </c>
      <c r="J370" s="14"/>
      <c r="K370" s="6"/>
      <c r="L370" s="41" t="s">
        <v>2065</v>
      </c>
    </row>
    <row r="371" customFormat="false" ht="15" hidden="false" customHeight="false" outlineLevel="0" collapsed="false">
      <c r="A371" s="14" t="s">
        <v>2878</v>
      </c>
      <c r="B371" s="14" t="s">
        <v>742</v>
      </c>
      <c r="C371" s="14" t="s">
        <v>688</v>
      </c>
      <c r="D371" s="28" t="s">
        <v>2879</v>
      </c>
      <c r="E371" s="37" t="s">
        <v>128</v>
      </c>
      <c r="F371" s="31" t="n">
        <f aca="false">WBS!S89</f>
        <v>2</v>
      </c>
      <c r="G371" s="14" t="str">
        <f aca="false">WBS!H89</f>
        <v>P1</v>
      </c>
      <c r="H371" s="14" t="str">
        <f aca="false">WBS!G89</f>
        <v>Should</v>
      </c>
      <c r="I371" s="6" t="s">
        <v>2876</v>
      </c>
      <c r="J371" s="14"/>
      <c r="K371" s="6"/>
      <c r="L371" s="41" t="s">
        <v>2065</v>
      </c>
    </row>
    <row r="372" customFormat="false" ht="15" hidden="false" customHeight="false" outlineLevel="0" collapsed="false">
      <c r="A372" s="14" t="s">
        <v>2880</v>
      </c>
      <c r="B372" s="14" t="s">
        <v>742</v>
      </c>
      <c r="C372" s="14" t="s">
        <v>688</v>
      </c>
      <c r="D372" s="28" t="s">
        <v>2881</v>
      </c>
      <c r="E372" s="42" t="s">
        <v>2068</v>
      </c>
      <c r="F372" s="31" t="n">
        <f aca="false">WBS!P89</f>
        <v>3</v>
      </c>
      <c r="G372" s="14" t="str">
        <f aca="false">WBS!H89</f>
        <v>P1</v>
      </c>
      <c r="H372" s="14" t="str">
        <f aca="false">WBS!G89</f>
        <v>Should</v>
      </c>
      <c r="I372" s="6" t="s">
        <v>2876</v>
      </c>
      <c r="J372" s="14"/>
      <c r="K372" s="6"/>
      <c r="L372" s="41" t="s">
        <v>2065</v>
      </c>
    </row>
    <row r="373" customFormat="false" ht="15" hidden="false" customHeight="false" outlineLevel="0" collapsed="false">
      <c r="A373" s="14" t="s">
        <v>2882</v>
      </c>
      <c r="B373" s="14" t="s">
        <v>742</v>
      </c>
      <c r="C373" s="14" t="s">
        <v>688</v>
      </c>
      <c r="D373" s="28" t="s">
        <v>2883</v>
      </c>
      <c r="E373" s="22" t="s">
        <v>2071</v>
      </c>
      <c r="F373" s="31" t="n">
        <f aca="false">WBS!Q89</f>
        <v>5</v>
      </c>
      <c r="G373" s="14" t="str">
        <f aca="false">WBS!H89</f>
        <v>P1</v>
      </c>
      <c r="H373" s="14" t="str">
        <f aca="false">WBS!G89</f>
        <v>Should</v>
      </c>
      <c r="I373" s="6" t="s">
        <v>2878</v>
      </c>
      <c r="J373" s="14"/>
      <c r="K373" s="6"/>
      <c r="L373" s="41" t="s">
        <v>2065</v>
      </c>
    </row>
    <row r="374" customFormat="false" ht="15" hidden="false" customHeight="false" outlineLevel="0" collapsed="false">
      <c r="A374" s="14" t="s">
        <v>2884</v>
      </c>
      <c r="B374" s="14" t="s">
        <v>742</v>
      </c>
      <c r="C374" s="14" t="s">
        <v>688</v>
      </c>
      <c r="D374" s="28" t="s">
        <v>2885</v>
      </c>
      <c r="E374" s="43" t="s">
        <v>96</v>
      </c>
      <c r="F374" s="31" t="n">
        <f aca="false">WBS!T89</f>
        <v>2.8</v>
      </c>
      <c r="G374" s="14" t="str">
        <f aca="false">WBS!H89</f>
        <v>P1</v>
      </c>
      <c r="H374" s="14" t="str">
        <f aca="false">WBS!G89</f>
        <v>Should</v>
      </c>
      <c r="I374" s="6" t="s">
        <v>2886</v>
      </c>
      <c r="J374" s="14"/>
      <c r="K374" s="6"/>
      <c r="L374" s="41" t="s">
        <v>2065</v>
      </c>
    </row>
    <row r="375" customFormat="false" ht="15" hidden="false" customHeight="false" outlineLevel="0" collapsed="false">
      <c r="A375" s="14" t="s">
        <v>2887</v>
      </c>
      <c r="B375" s="14" t="s">
        <v>750</v>
      </c>
      <c r="C375" s="14" t="s">
        <v>688</v>
      </c>
      <c r="D375" s="28" t="s">
        <v>2888</v>
      </c>
      <c r="E375" s="40" t="s">
        <v>91</v>
      </c>
      <c r="F375" s="31" t="n">
        <f aca="false">WBS!R90</f>
        <v>0.5</v>
      </c>
      <c r="G375" s="14" t="str">
        <f aca="false">WBS!H90</f>
        <v>P1</v>
      </c>
      <c r="H375" s="14" t="str">
        <f aca="false">WBS!G90</f>
        <v>Should</v>
      </c>
      <c r="I375" s="6" t="s">
        <v>192</v>
      </c>
      <c r="J375" s="14"/>
      <c r="K375" s="6"/>
      <c r="L375" s="41" t="s">
        <v>2065</v>
      </c>
    </row>
    <row r="376" customFormat="false" ht="15" hidden="false" customHeight="false" outlineLevel="0" collapsed="false">
      <c r="A376" s="14" t="s">
        <v>2889</v>
      </c>
      <c r="B376" s="14" t="s">
        <v>750</v>
      </c>
      <c r="C376" s="14" t="s">
        <v>688</v>
      </c>
      <c r="D376" s="28" t="s">
        <v>2890</v>
      </c>
      <c r="E376" s="42" t="s">
        <v>2068</v>
      </c>
      <c r="F376" s="31" t="n">
        <f aca="false">WBS!P90</f>
        <v>1</v>
      </c>
      <c r="G376" s="14" t="str">
        <f aca="false">WBS!H90</f>
        <v>P1</v>
      </c>
      <c r="H376" s="14" t="str">
        <f aca="false">WBS!G90</f>
        <v>Should</v>
      </c>
      <c r="I376" s="6" t="s">
        <v>2887</v>
      </c>
      <c r="J376" s="14"/>
      <c r="K376" s="6"/>
      <c r="L376" s="41" t="s">
        <v>2065</v>
      </c>
    </row>
    <row r="377" customFormat="false" ht="15" hidden="false" customHeight="false" outlineLevel="0" collapsed="false">
      <c r="A377" s="14" t="s">
        <v>2891</v>
      </c>
      <c r="B377" s="14" t="s">
        <v>750</v>
      </c>
      <c r="C377" s="14" t="s">
        <v>688</v>
      </c>
      <c r="D377" s="28" t="s">
        <v>2892</v>
      </c>
      <c r="E377" s="22" t="s">
        <v>2071</v>
      </c>
      <c r="F377" s="31" t="n">
        <f aca="false">WBS!Q90</f>
        <v>3</v>
      </c>
      <c r="G377" s="14" t="str">
        <f aca="false">WBS!H90</f>
        <v>P1</v>
      </c>
      <c r="H377" s="14" t="str">
        <f aca="false">WBS!G90</f>
        <v>Should</v>
      </c>
      <c r="I377" s="6" t="s">
        <v>2887</v>
      </c>
      <c r="J377" s="14"/>
      <c r="K377" s="6"/>
      <c r="L377" s="41" t="s">
        <v>2065</v>
      </c>
    </row>
    <row r="378" customFormat="false" ht="15" hidden="false" customHeight="false" outlineLevel="0" collapsed="false">
      <c r="A378" s="14" t="s">
        <v>2893</v>
      </c>
      <c r="B378" s="14" t="s">
        <v>750</v>
      </c>
      <c r="C378" s="14" t="s">
        <v>688</v>
      </c>
      <c r="D378" s="28" t="s">
        <v>2894</v>
      </c>
      <c r="E378" s="43" t="s">
        <v>96</v>
      </c>
      <c r="F378" s="31" t="n">
        <f aca="false">WBS!T90</f>
        <v>1.4</v>
      </c>
      <c r="G378" s="14" t="str">
        <f aca="false">WBS!H90</f>
        <v>P1</v>
      </c>
      <c r="H378" s="14" t="str">
        <f aca="false">WBS!G90</f>
        <v>Should</v>
      </c>
      <c r="I378" s="6" t="s">
        <v>2895</v>
      </c>
      <c r="J378" s="14"/>
      <c r="K378" s="6"/>
      <c r="L378" s="41" t="s">
        <v>2065</v>
      </c>
    </row>
    <row r="379" customFormat="false" ht="15" hidden="false" customHeight="false" outlineLevel="0" collapsed="false">
      <c r="A379" s="14" t="s">
        <v>2896</v>
      </c>
      <c r="B379" s="14" t="s">
        <v>757</v>
      </c>
      <c r="C379" s="14" t="s">
        <v>688</v>
      </c>
      <c r="D379" s="28" t="s">
        <v>2897</v>
      </c>
      <c r="E379" s="40" t="s">
        <v>91</v>
      </c>
      <c r="F379" s="31" t="n">
        <f aca="false">WBS!R91</f>
        <v>0.7</v>
      </c>
      <c r="G379" s="14" t="str">
        <f aca="false">WBS!H91</f>
        <v>P3</v>
      </c>
      <c r="H379" s="14" t="str">
        <f aca="false">WBS!G91</f>
        <v>Should</v>
      </c>
      <c r="I379" s="6" t="s">
        <v>250</v>
      </c>
      <c r="J379" s="14"/>
      <c r="K379" s="6"/>
      <c r="L379" s="41" t="s">
        <v>2065</v>
      </c>
    </row>
    <row r="380" customFormat="false" ht="15" hidden="false" customHeight="false" outlineLevel="0" collapsed="false">
      <c r="A380" s="14" t="s">
        <v>2898</v>
      </c>
      <c r="B380" s="14" t="s">
        <v>757</v>
      </c>
      <c r="C380" s="14" t="s">
        <v>688</v>
      </c>
      <c r="D380" s="28" t="s">
        <v>2899</v>
      </c>
      <c r="E380" s="42" t="s">
        <v>2068</v>
      </c>
      <c r="F380" s="31" t="n">
        <f aca="false">WBS!P91</f>
        <v>3</v>
      </c>
      <c r="G380" s="14" t="str">
        <f aca="false">WBS!H91</f>
        <v>P3</v>
      </c>
      <c r="H380" s="14" t="str">
        <f aca="false">WBS!G91</f>
        <v>Should</v>
      </c>
      <c r="I380" s="6" t="s">
        <v>2896</v>
      </c>
      <c r="J380" s="14"/>
      <c r="K380" s="6"/>
      <c r="L380" s="41" t="s">
        <v>2065</v>
      </c>
    </row>
    <row r="381" customFormat="false" ht="15" hidden="false" customHeight="false" outlineLevel="0" collapsed="false">
      <c r="A381" s="14" t="s">
        <v>2900</v>
      </c>
      <c r="B381" s="14" t="s">
        <v>757</v>
      </c>
      <c r="C381" s="14" t="s">
        <v>688</v>
      </c>
      <c r="D381" s="28" t="s">
        <v>2901</v>
      </c>
      <c r="E381" s="22" t="s">
        <v>2071</v>
      </c>
      <c r="F381" s="31" t="n">
        <f aca="false">WBS!Q91</f>
        <v>3</v>
      </c>
      <c r="G381" s="14" t="str">
        <f aca="false">WBS!H91</f>
        <v>P3</v>
      </c>
      <c r="H381" s="14" t="str">
        <f aca="false">WBS!G91</f>
        <v>Should</v>
      </c>
      <c r="I381" s="6" t="s">
        <v>2896</v>
      </c>
      <c r="J381" s="14"/>
      <c r="K381" s="6"/>
      <c r="L381" s="41" t="s">
        <v>2065</v>
      </c>
    </row>
    <row r="382" customFormat="false" ht="15" hidden="false" customHeight="false" outlineLevel="0" collapsed="false">
      <c r="A382" s="14" t="s">
        <v>2902</v>
      </c>
      <c r="B382" s="14" t="s">
        <v>757</v>
      </c>
      <c r="C382" s="14" t="s">
        <v>688</v>
      </c>
      <c r="D382" s="28" t="s">
        <v>2903</v>
      </c>
      <c r="E382" s="43" t="s">
        <v>96</v>
      </c>
      <c r="F382" s="31" t="n">
        <f aca="false">WBS!T91</f>
        <v>2.1</v>
      </c>
      <c r="G382" s="14" t="str">
        <f aca="false">WBS!H91</f>
        <v>P3</v>
      </c>
      <c r="H382" s="14" t="str">
        <f aca="false">WBS!G91</f>
        <v>Should</v>
      </c>
      <c r="I382" s="6" t="s">
        <v>2904</v>
      </c>
      <c r="J382" s="14"/>
      <c r="K382" s="6"/>
      <c r="L382" s="41" t="s">
        <v>2065</v>
      </c>
    </row>
    <row r="383" customFormat="false" ht="15" hidden="false" customHeight="false" outlineLevel="0" collapsed="false">
      <c r="A383" s="14" t="s">
        <v>2905</v>
      </c>
      <c r="B383" s="14" t="s">
        <v>763</v>
      </c>
      <c r="C383" s="14" t="s">
        <v>688</v>
      </c>
      <c r="D383" s="28" t="s">
        <v>2906</v>
      </c>
      <c r="E383" s="40" t="s">
        <v>91</v>
      </c>
      <c r="F383" s="31" t="n">
        <f aca="false">WBS!R92</f>
        <v>1</v>
      </c>
      <c r="G383" s="14" t="str">
        <f aca="false">WBS!H92</f>
        <v>P3</v>
      </c>
      <c r="H383" s="14" t="str">
        <f aca="false">WBS!G92</f>
        <v>Should</v>
      </c>
      <c r="I383" s="6" t="s">
        <v>770</v>
      </c>
      <c r="J383" s="14"/>
      <c r="K383" s="6"/>
      <c r="L383" s="41" t="s">
        <v>2065</v>
      </c>
    </row>
    <row r="384" customFormat="false" ht="22.35" hidden="false" customHeight="false" outlineLevel="0" collapsed="false">
      <c r="A384" s="14" t="s">
        <v>2907</v>
      </c>
      <c r="B384" s="14" t="s">
        <v>763</v>
      </c>
      <c r="C384" s="14" t="s">
        <v>688</v>
      </c>
      <c r="D384" s="28" t="s">
        <v>2908</v>
      </c>
      <c r="E384" s="42" t="s">
        <v>2068</v>
      </c>
      <c r="F384" s="31" t="n">
        <f aca="false">WBS!P92</f>
        <v>5</v>
      </c>
      <c r="G384" s="14" t="str">
        <f aca="false">WBS!H92</f>
        <v>P3</v>
      </c>
      <c r="H384" s="14" t="str">
        <f aca="false">WBS!G92</f>
        <v>Should</v>
      </c>
      <c r="I384" s="6" t="s">
        <v>2905</v>
      </c>
      <c r="J384" s="14"/>
      <c r="K384" s="6"/>
      <c r="L384" s="41" t="s">
        <v>2065</v>
      </c>
    </row>
    <row r="385" customFormat="false" ht="15" hidden="false" customHeight="false" outlineLevel="0" collapsed="false">
      <c r="A385" s="14" t="s">
        <v>2909</v>
      </c>
      <c r="B385" s="14" t="s">
        <v>763</v>
      </c>
      <c r="C385" s="14" t="s">
        <v>688</v>
      </c>
      <c r="D385" s="28" t="s">
        <v>2910</v>
      </c>
      <c r="E385" s="22" t="s">
        <v>2071</v>
      </c>
      <c r="F385" s="31" t="n">
        <f aca="false">WBS!Q92</f>
        <v>3</v>
      </c>
      <c r="G385" s="14" t="str">
        <f aca="false">WBS!H92</f>
        <v>P3</v>
      </c>
      <c r="H385" s="14" t="str">
        <f aca="false">WBS!G92</f>
        <v>Should</v>
      </c>
      <c r="I385" s="6" t="s">
        <v>2905</v>
      </c>
      <c r="J385" s="14"/>
      <c r="K385" s="6"/>
      <c r="L385" s="41" t="s">
        <v>2065</v>
      </c>
    </row>
    <row r="386" customFormat="false" ht="15" hidden="false" customHeight="false" outlineLevel="0" collapsed="false">
      <c r="A386" s="14" t="s">
        <v>2911</v>
      </c>
      <c r="B386" s="14" t="s">
        <v>763</v>
      </c>
      <c r="C386" s="14" t="s">
        <v>688</v>
      </c>
      <c r="D386" s="28" t="s">
        <v>2912</v>
      </c>
      <c r="E386" s="43" t="s">
        <v>96</v>
      </c>
      <c r="F386" s="31" t="n">
        <f aca="false">WBS!T92</f>
        <v>2.8</v>
      </c>
      <c r="G386" s="14" t="str">
        <f aca="false">WBS!H92</f>
        <v>P3</v>
      </c>
      <c r="H386" s="14" t="str">
        <f aca="false">WBS!G92</f>
        <v>Should</v>
      </c>
      <c r="I386" s="6" t="s">
        <v>2913</v>
      </c>
      <c r="J386" s="14"/>
      <c r="K386" s="6"/>
      <c r="L386" s="41" t="s">
        <v>2065</v>
      </c>
    </row>
    <row r="387" customFormat="false" ht="15" hidden="false" customHeight="false" outlineLevel="0" collapsed="false">
      <c r="A387" s="14" t="s">
        <v>2914</v>
      </c>
      <c r="B387" s="14" t="s">
        <v>771</v>
      </c>
      <c r="C387" s="14" t="s">
        <v>688</v>
      </c>
      <c r="D387" s="28" t="s">
        <v>2915</v>
      </c>
      <c r="E387" s="40" t="s">
        <v>91</v>
      </c>
      <c r="F387" s="31" t="n">
        <f aca="false">WBS!R93</f>
        <v>0.5</v>
      </c>
      <c r="G387" s="14" t="str">
        <f aca="false">WBS!H93</f>
        <v>P3</v>
      </c>
      <c r="H387" s="14" t="str">
        <f aca="false">WBS!G93</f>
        <v>Should</v>
      </c>
      <c r="I387" s="6" t="s">
        <v>777</v>
      </c>
      <c r="J387" s="14"/>
      <c r="K387" s="6"/>
      <c r="L387" s="41" t="s">
        <v>2065</v>
      </c>
    </row>
    <row r="388" customFormat="false" ht="15" hidden="false" customHeight="false" outlineLevel="0" collapsed="false">
      <c r="A388" s="14" t="s">
        <v>2916</v>
      </c>
      <c r="B388" s="14" t="s">
        <v>771</v>
      </c>
      <c r="C388" s="14" t="s">
        <v>688</v>
      </c>
      <c r="D388" s="28" t="s">
        <v>2917</v>
      </c>
      <c r="E388" s="42" t="s">
        <v>2068</v>
      </c>
      <c r="F388" s="31" t="n">
        <f aca="false">WBS!P93</f>
        <v>1</v>
      </c>
      <c r="G388" s="14" t="str">
        <f aca="false">WBS!H93</f>
        <v>P3</v>
      </c>
      <c r="H388" s="14" t="str">
        <f aca="false">WBS!G93</f>
        <v>Should</v>
      </c>
      <c r="I388" s="6" t="s">
        <v>2914</v>
      </c>
      <c r="J388" s="14"/>
      <c r="K388" s="6"/>
      <c r="L388" s="41" t="s">
        <v>2065</v>
      </c>
    </row>
    <row r="389" customFormat="false" ht="15" hidden="false" customHeight="false" outlineLevel="0" collapsed="false">
      <c r="A389" s="14" t="s">
        <v>2918</v>
      </c>
      <c r="B389" s="14" t="s">
        <v>771</v>
      </c>
      <c r="C389" s="14" t="s">
        <v>688</v>
      </c>
      <c r="D389" s="28" t="s">
        <v>2919</v>
      </c>
      <c r="E389" s="22" t="s">
        <v>2071</v>
      </c>
      <c r="F389" s="31" t="n">
        <f aca="false">WBS!Q93</f>
        <v>3</v>
      </c>
      <c r="G389" s="14" t="str">
        <f aca="false">WBS!H93</f>
        <v>P3</v>
      </c>
      <c r="H389" s="14" t="str">
        <f aca="false">WBS!G93</f>
        <v>Should</v>
      </c>
      <c r="I389" s="6" t="s">
        <v>2914</v>
      </c>
      <c r="J389" s="14"/>
      <c r="K389" s="6"/>
      <c r="L389" s="41" t="s">
        <v>2065</v>
      </c>
    </row>
    <row r="390" customFormat="false" ht="15" hidden="false" customHeight="false" outlineLevel="0" collapsed="false">
      <c r="A390" s="14" t="s">
        <v>2920</v>
      </c>
      <c r="B390" s="14" t="s">
        <v>771</v>
      </c>
      <c r="C390" s="14" t="s">
        <v>688</v>
      </c>
      <c r="D390" s="28" t="s">
        <v>2921</v>
      </c>
      <c r="E390" s="43" t="s">
        <v>96</v>
      </c>
      <c r="F390" s="31" t="n">
        <f aca="false">WBS!T93</f>
        <v>1.4</v>
      </c>
      <c r="G390" s="14" t="str">
        <f aca="false">WBS!H93</f>
        <v>P3</v>
      </c>
      <c r="H390" s="14" t="str">
        <f aca="false">WBS!G93</f>
        <v>Should</v>
      </c>
      <c r="I390" s="6" t="s">
        <v>2922</v>
      </c>
      <c r="J390" s="14"/>
      <c r="K390" s="6"/>
      <c r="L390" s="41" t="s">
        <v>2065</v>
      </c>
    </row>
    <row r="391" customFormat="false" ht="15" hidden="false" customHeight="false" outlineLevel="0" collapsed="false">
      <c r="A391" s="14" t="s">
        <v>2923</v>
      </c>
      <c r="B391" s="14" t="s">
        <v>778</v>
      </c>
      <c r="C391" s="14" t="s">
        <v>688</v>
      </c>
      <c r="D391" s="28" t="s">
        <v>2924</v>
      </c>
      <c r="E391" s="40" t="s">
        <v>91</v>
      </c>
      <c r="F391" s="31" t="n">
        <f aca="false">WBS!R94</f>
        <v>1</v>
      </c>
      <c r="G391" s="14" t="str">
        <f aca="false">WBS!H94</f>
        <v>P3</v>
      </c>
      <c r="H391" s="14" t="str">
        <f aca="false">WBS!G94</f>
        <v>Should</v>
      </c>
      <c r="I391" s="6" t="s">
        <v>742</v>
      </c>
      <c r="J391" s="14"/>
      <c r="K391" s="6"/>
      <c r="L391" s="41" t="s">
        <v>2065</v>
      </c>
    </row>
    <row r="392" customFormat="false" ht="15" hidden="false" customHeight="false" outlineLevel="0" collapsed="false">
      <c r="A392" s="14" t="s">
        <v>2925</v>
      </c>
      <c r="B392" s="14" t="s">
        <v>778</v>
      </c>
      <c r="C392" s="14" t="s">
        <v>688</v>
      </c>
      <c r="D392" s="28" t="s">
        <v>2926</v>
      </c>
      <c r="E392" s="37" t="s">
        <v>128</v>
      </c>
      <c r="F392" s="31" t="n">
        <f aca="false">WBS!S94</f>
        <v>2</v>
      </c>
      <c r="G392" s="14" t="str">
        <f aca="false">WBS!H94</f>
        <v>P3</v>
      </c>
      <c r="H392" s="14" t="str">
        <f aca="false">WBS!G94</f>
        <v>Should</v>
      </c>
      <c r="I392" s="6" t="s">
        <v>2923</v>
      </c>
      <c r="J392" s="14"/>
      <c r="K392" s="6"/>
      <c r="L392" s="41" t="s">
        <v>2065</v>
      </c>
    </row>
    <row r="393" customFormat="false" ht="15" hidden="false" customHeight="false" outlineLevel="0" collapsed="false">
      <c r="A393" s="14" t="s">
        <v>2927</v>
      </c>
      <c r="B393" s="14" t="s">
        <v>778</v>
      </c>
      <c r="C393" s="14" t="s">
        <v>688</v>
      </c>
      <c r="D393" s="28" t="s">
        <v>2928</v>
      </c>
      <c r="E393" s="42" t="s">
        <v>2068</v>
      </c>
      <c r="F393" s="31" t="n">
        <f aca="false">WBS!P94</f>
        <v>3</v>
      </c>
      <c r="G393" s="14" t="str">
        <f aca="false">WBS!H94</f>
        <v>P3</v>
      </c>
      <c r="H393" s="14" t="str">
        <f aca="false">WBS!G94</f>
        <v>Should</v>
      </c>
      <c r="I393" s="6" t="s">
        <v>2923</v>
      </c>
      <c r="J393" s="14"/>
      <c r="K393" s="6"/>
      <c r="L393" s="41" t="s">
        <v>2065</v>
      </c>
    </row>
    <row r="394" customFormat="false" ht="15" hidden="false" customHeight="false" outlineLevel="0" collapsed="false">
      <c r="A394" s="14" t="s">
        <v>2929</v>
      </c>
      <c r="B394" s="14" t="s">
        <v>778</v>
      </c>
      <c r="C394" s="14" t="s">
        <v>688</v>
      </c>
      <c r="D394" s="28" t="s">
        <v>2930</v>
      </c>
      <c r="E394" s="22" t="s">
        <v>2071</v>
      </c>
      <c r="F394" s="31" t="n">
        <f aca="false">WBS!Q94</f>
        <v>5</v>
      </c>
      <c r="G394" s="14" t="str">
        <f aca="false">WBS!H94</f>
        <v>P3</v>
      </c>
      <c r="H394" s="14" t="str">
        <f aca="false">WBS!G94</f>
        <v>Should</v>
      </c>
      <c r="I394" s="6" t="s">
        <v>2925</v>
      </c>
      <c r="J394" s="14"/>
      <c r="K394" s="6"/>
      <c r="L394" s="41" t="s">
        <v>2065</v>
      </c>
    </row>
    <row r="395" customFormat="false" ht="15" hidden="false" customHeight="false" outlineLevel="0" collapsed="false">
      <c r="A395" s="14" t="s">
        <v>2931</v>
      </c>
      <c r="B395" s="14" t="s">
        <v>778</v>
      </c>
      <c r="C395" s="14" t="s">
        <v>688</v>
      </c>
      <c r="D395" s="28" t="s">
        <v>2932</v>
      </c>
      <c r="E395" s="43" t="s">
        <v>96</v>
      </c>
      <c r="F395" s="31" t="n">
        <f aca="false">WBS!T94</f>
        <v>2.8</v>
      </c>
      <c r="G395" s="14" t="str">
        <f aca="false">WBS!H94</f>
        <v>P3</v>
      </c>
      <c r="H395" s="14" t="str">
        <f aca="false">WBS!G94</f>
        <v>Should</v>
      </c>
      <c r="I395" s="6" t="s">
        <v>2933</v>
      </c>
      <c r="J395" s="14"/>
      <c r="K395" s="6"/>
      <c r="L395" s="41" t="s">
        <v>2065</v>
      </c>
    </row>
    <row r="396" customFormat="false" ht="15" hidden="false" customHeight="false" outlineLevel="0" collapsed="false">
      <c r="A396" s="14" t="s">
        <v>2934</v>
      </c>
      <c r="B396" s="14" t="s">
        <v>784</v>
      </c>
      <c r="C396" s="14" t="s">
        <v>688</v>
      </c>
      <c r="D396" s="28" t="s">
        <v>2935</v>
      </c>
      <c r="E396" s="40" t="s">
        <v>91</v>
      </c>
      <c r="F396" s="31" t="n">
        <f aca="false">WBS!R95</f>
        <v>0.5</v>
      </c>
      <c r="G396" s="14" t="str">
        <f aca="false">WBS!H95</f>
        <v>P3</v>
      </c>
      <c r="H396" s="14" t="str">
        <f aca="false">WBS!G95</f>
        <v>Should</v>
      </c>
      <c r="I396" s="6" t="s">
        <v>168</v>
      </c>
      <c r="J396" s="14"/>
      <c r="K396" s="6"/>
      <c r="L396" s="41" t="s">
        <v>2065</v>
      </c>
    </row>
    <row r="397" customFormat="false" ht="15" hidden="false" customHeight="false" outlineLevel="0" collapsed="false">
      <c r="A397" s="14" t="s">
        <v>2936</v>
      </c>
      <c r="B397" s="14" t="s">
        <v>784</v>
      </c>
      <c r="C397" s="14" t="s">
        <v>688</v>
      </c>
      <c r="D397" s="28" t="s">
        <v>2937</v>
      </c>
      <c r="E397" s="42" t="s">
        <v>2068</v>
      </c>
      <c r="F397" s="31" t="n">
        <f aca="false">WBS!P95</f>
        <v>3</v>
      </c>
      <c r="G397" s="14" t="str">
        <f aca="false">WBS!H95</f>
        <v>P3</v>
      </c>
      <c r="H397" s="14" t="str">
        <f aca="false">WBS!G95</f>
        <v>Should</v>
      </c>
      <c r="I397" s="6" t="s">
        <v>2934</v>
      </c>
      <c r="J397" s="14"/>
      <c r="K397" s="6"/>
      <c r="L397" s="41" t="s">
        <v>2065</v>
      </c>
    </row>
    <row r="398" customFormat="false" ht="15" hidden="false" customHeight="false" outlineLevel="0" collapsed="false">
      <c r="A398" s="14" t="s">
        <v>2938</v>
      </c>
      <c r="B398" s="14" t="s">
        <v>784</v>
      </c>
      <c r="C398" s="14" t="s">
        <v>688</v>
      </c>
      <c r="D398" s="28" t="s">
        <v>2939</v>
      </c>
      <c r="E398" s="22" t="s">
        <v>2071</v>
      </c>
      <c r="F398" s="31" t="n">
        <f aca="false">WBS!Q95</f>
        <v>1</v>
      </c>
      <c r="G398" s="14" t="str">
        <f aca="false">WBS!H95</f>
        <v>P3</v>
      </c>
      <c r="H398" s="14" t="str">
        <f aca="false">WBS!G95</f>
        <v>Should</v>
      </c>
      <c r="I398" s="6" t="s">
        <v>2934</v>
      </c>
      <c r="J398" s="14"/>
      <c r="K398" s="6"/>
      <c r="L398" s="41" t="s">
        <v>2065</v>
      </c>
    </row>
    <row r="399" customFormat="false" ht="15" hidden="false" customHeight="false" outlineLevel="0" collapsed="false">
      <c r="A399" s="14" t="s">
        <v>2940</v>
      </c>
      <c r="B399" s="14" t="s">
        <v>784</v>
      </c>
      <c r="C399" s="14" t="s">
        <v>688</v>
      </c>
      <c r="D399" s="28" t="s">
        <v>2941</v>
      </c>
      <c r="E399" s="43" t="s">
        <v>96</v>
      </c>
      <c r="F399" s="31" t="n">
        <f aca="false">WBS!T95</f>
        <v>1.4</v>
      </c>
      <c r="G399" s="14" t="str">
        <f aca="false">WBS!H95</f>
        <v>P3</v>
      </c>
      <c r="H399" s="14" t="str">
        <f aca="false">WBS!G95</f>
        <v>Should</v>
      </c>
      <c r="I399" s="6" t="s">
        <v>2942</v>
      </c>
      <c r="J399" s="14"/>
      <c r="K399" s="6"/>
      <c r="L399" s="41" t="s">
        <v>2065</v>
      </c>
    </row>
    <row r="400" customFormat="false" ht="15" hidden="false" customHeight="false" outlineLevel="0" collapsed="false">
      <c r="A400" s="14" t="s">
        <v>2943</v>
      </c>
      <c r="B400" s="14" t="s">
        <v>790</v>
      </c>
      <c r="C400" s="14" t="s">
        <v>688</v>
      </c>
      <c r="D400" s="28" t="s">
        <v>2944</v>
      </c>
      <c r="E400" s="40" t="s">
        <v>91</v>
      </c>
      <c r="F400" s="31" t="n">
        <f aca="false">WBS!R96</f>
        <v>1</v>
      </c>
      <c r="G400" s="14" t="str">
        <f aca="false">WBS!H96</f>
        <v>P3</v>
      </c>
      <c r="H400" s="14" t="str">
        <f aca="false">WBS!G96</f>
        <v>Should</v>
      </c>
      <c r="I400" s="6" t="s">
        <v>796</v>
      </c>
      <c r="J400" s="14"/>
      <c r="K400" s="6"/>
      <c r="L400" s="41" t="s">
        <v>2065</v>
      </c>
    </row>
    <row r="401" customFormat="false" ht="15" hidden="false" customHeight="false" outlineLevel="0" collapsed="false">
      <c r="A401" s="14" t="s">
        <v>2945</v>
      </c>
      <c r="B401" s="14" t="s">
        <v>790</v>
      </c>
      <c r="C401" s="14" t="s">
        <v>688</v>
      </c>
      <c r="D401" s="28" t="s">
        <v>2946</v>
      </c>
      <c r="E401" s="42" t="s">
        <v>2068</v>
      </c>
      <c r="F401" s="31" t="n">
        <f aca="false">WBS!P96</f>
        <v>5</v>
      </c>
      <c r="G401" s="14" t="str">
        <f aca="false">WBS!H96</f>
        <v>P3</v>
      </c>
      <c r="H401" s="14" t="str">
        <f aca="false">WBS!G96</f>
        <v>Should</v>
      </c>
      <c r="I401" s="6" t="s">
        <v>2943</v>
      </c>
      <c r="J401" s="14"/>
      <c r="K401" s="6"/>
      <c r="L401" s="41" t="s">
        <v>2065</v>
      </c>
    </row>
    <row r="402" customFormat="false" ht="15" hidden="false" customHeight="false" outlineLevel="0" collapsed="false">
      <c r="A402" s="14" t="s">
        <v>2947</v>
      </c>
      <c r="B402" s="14" t="s">
        <v>790</v>
      </c>
      <c r="C402" s="14" t="s">
        <v>688</v>
      </c>
      <c r="D402" s="28" t="s">
        <v>2948</v>
      </c>
      <c r="E402" s="22" t="s">
        <v>2071</v>
      </c>
      <c r="F402" s="31" t="n">
        <f aca="false">WBS!Q96</f>
        <v>3</v>
      </c>
      <c r="G402" s="14" t="str">
        <f aca="false">WBS!H96</f>
        <v>P3</v>
      </c>
      <c r="H402" s="14" t="str">
        <f aca="false">WBS!G96</f>
        <v>Should</v>
      </c>
      <c r="I402" s="6" t="s">
        <v>2943</v>
      </c>
      <c r="J402" s="14"/>
      <c r="K402" s="6"/>
      <c r="L402" s="41" t="s">
        <v>2065</v>
      </c>
    </row>
    <row r="403" customFormat="false" ht="15" hidden="false" customHeight="false" outlineLevel="0" collapsed="false">
      <c r="A403" s="14" t="s">
        <v>2949</v>
      </c>
      <c r="B403" s="14" t="s">
        <v>790</v>
      </c>
      <c r="C403" s="14" t="s">
        <v>688</v>
      </c>
      <c r="D403" s="28" t="s">
        <v>2950</v>
      </c>
      <c r="E403" s="43" t="s">
        <v>96</v>
      </c>
      <c r="F403" s="31" t="n">
        <f aca="false">WBS!T96</f>
        <v>2.8</v>
      </c>
      <c r="G403" s="14" t="str">
        <f aca="false">WBS!H96</f>
        <v>P3</v>
      </c>
      <c r="H403" s="14" t="str">
        <f aca="false">WBS!G96</f>
        <v>Should</v>
      </c>
      <c r="I403" s="6" t="s">
        <v>2951</v>
      </c>
      <c r="J403" s="14"/>
      <c r="K403" s="6"/>
      <c r="L403" s="41" t="s">
        <v>2065</v>
      </c>
    </row>
    <row r="404" customFormat="false" ht="15" hidden="false" customHeight="false" outlineLevel="0" collapsed="false">
      <c r="A404" s="14" t="s">
        <v>2952</v>
      </c>
      <c r="B404" s="14" t="s">
        <v>797</v>
      </c>
      <c r="C404" s="14" t="s">
        <v>688</v>
      </c>
      <c r="D404" s="28" t="s">
        <v>2953</v>
      </c>
      <c r="E404" s="40" t="s">
        <v>91</v>
      </c>
      <c r="F404" s="31" t="n">
        <f aca="false">WBS!R97</f>
        <v>0.5</v>
      </c>
      <c r="G404" s="14" t="str">
        <f aca="false">WBS!H97</f>
        <v>P4</v>
      </c>
      <c r="H404" s="14" t="str">
        <f aca="false">WBS!G97</f>
        <v>Nice-to-have</v>
      </c>
      <c r="I404" s="6" t="s">
        <v>742</v>
      </c>
      <c r="J404" s="14"/>
      <c r="K404" s="6"/>
      <c r="L404" s="41" t="s">
        <v>2065</v>
      </c>
    </row>
    <row r="405" customFormat="false" ht="15" hidden="false" customHeight="false" outlineLevel="0" collapsed="false">
      <c r="A405" s="14" t="s">
        <v>2954</v>
      </c>
      <c r="B405" s="14" t="s">
        <v>797</v>
      </c>
      <c r="C405" s="14" t="s">
        <v>688</v>
      </c>
      <c r="D405" s="28" t="s">
        <v>2955</v>
      </c>
      <c r="E405" s="42" t="s">
        <v>2068</v>
      </c>
      <c r="F405" s="31" t="n">
        <f aca="false">WBS!P97</f>
        <v>1</v>
      </c>
      <c r="G405" s="14" t="str">
        <f aca="false">WBS!H97</f>
        <v>P4</v>
      </c>
      <c r="H405" s="14" t="str">
        <f aca="false">WBS!G97</f>
        <v>Nice-to-have</v>
      </c>
      <c r="I405" s="6" t="s">
        <v>2952</v>
      </c>
      <c r="J405" s="14"/>
      <c r="K405" s="6"/>
      <c r="L405" s="41" t="s">
        <v>2065</v>
      </c>
    </row>
    <row r="406" customFormat="false" ht="15" hidden="false" customHeight="false" outlineLevel="0" collapsed="false">
      <c r="A406" s="14" t="s">
        <v>2956</v>
      </c>
      <c r="B406" s="14" t="s">
        <v>797</v>
      </c>
      <c r="C406" s="14" t="s">
        <v>688</v>
      </c>
      <c r="D406" s="28" t="s">
        <v>2957</v>
      </c>
      <c r="E406" s="22" t="s">
        <v>2071</v>
      </c>
      <c r="F406" s="31" t="n">
        <f aca="false">WBS!Q97</f>
        <v>3</v>
      </c>
      <c r="G406" s="14" t="str">
        <f aca="false">WBS!H97</f>
        <v>P4</v>
      </c>
      <c r="H406" s="14" t="str">
        <f aca="false">WBS!G97</f>
        <v>Nice-to-have</v>
      </c>
      <c r="I406" s="6" t="s">
        <v>2952</v>
      </c>
      <c r="J406" s="14"/>
      <c r="K406" s="6"/>
      <c r="L406" s="41" t="s">
        <v>2065</v>
      </c>
    </row>
    <row r="407" customFormat="false" ht="15" hidden="false" customHeight="false" outlineLevel="0" collapsed="false">
      <c r="A407" s="14" t="s">
        <v>2958</v>
      </c>
      <c r="B407" s="14" t="s">
        <v>797</v>
      </c>
      <c r="C407" s="14" t="s">
        <v>688</v>
      </c>
      <c r="D407" s="28" t="s">
        <v>2959</v>
      </c>
      <c r="E407" s="43" t="s">
        <v>96</v>
      </c>
      <c r="F407" s="31" t="n">
        <f aca="false">WBS!T97</f>
        <v>1.4</v>
      </c>
      <c r="G407" s="14" t="str">
        <f aca="false">WBS!H97</f>
        <v>P4</v>
      </c>
      <c r="H407" s="14" t="str">
        <f aca="false">WBS!G97</f>
        <v>Nice-to-have</v>
      </c>
      <c r="I407" s="6" t="s">
        <v>2960</v>
      </c>
      <c r="J407" s="14"/>
      <c r="K407" s="6"/>
      <c r="L407" s="41" t="s">
        <v>2065</v>
      </c>
    </row>
    <row r="408" customFormat="false" ht="15" hidden="false" customHeight="false" outlineLevel="0" collapsed="false">
      <c r="A408" s="14" t="s">
        <v>2961</v>
      </c>
      <c r="B408" s="14" t="s">
        <v>803</v>
      </c>
      <c r="C408" s="14" t="s">
        <v>804</v>
      </c>
      <c r="D408" s="28" t="s">
        <v>2962</v>
      </c>
      <c r="E408" s="40" t="s">
        <v>91</v>
      </c>
      <c r="F408" s="31" t="n">
        <f aca="false">WBS!R98</f>
        <v>1.2</v>
      </c>
      <c r="G408" s="14" t="str">
        <f aca="false">WBS!H98</f>
        <v>P1</v>
      </c>
      <c r="H408" s="14" t="str">
        <f aca="false">WBS!G98</f>
        <v>Must</v>
      </c>
      <c r="I408" s="6" t="s">
        <v>458</v>
      </c>
      <c r="J408" s="14"/>
      <c r="K408" s="6"/>
      <c r="L408" s="41" t="s">
        <v>2065</v>
      </c>
    </row>
    <row r="409" customFormat="false" ht="15" hidden="false" customHeight="false" outlineLevel="0" collapsed="false">
      <c r="A409" s="14" t="s">
        <v>2963</v>
      </c>
      <c r="B409" s="14" t="s">
        <v>803</v>
      </c>
      <c r="C409" s="14" t="s">
        <v>804</v>
      </c>
      <c r="D409" s="28" t="s">
        <v>2964</v>
      </c>
      <c r="E409" s="37" t="s">
        <v>128</v>
      </c>
      <c r="F409" s="31" t="n">
        <f aca="false">WBS!S98</f>
        <v>2</v>
      </c>
      <c r="G409" s="14" t="str">
        <f aca="false">WBS!H98</f>
        <v>P1</v>
      </c>
      <c r="H409" s="14" t="str">
        <f aca="false">WBS!G98</f>
        <v>Must</v>
      </c>
      <c r="I409" s="6" t="s">
        <v>2961</v>
      </c>
      <c r="J409" s="14"/>
      <c r="K409" s="6"/>
      <c r="L409" s="41" t="s">
        <v>2065</v>
      </c>
    </row>
    <row r="410" customFormat="false" ht="15" hidden="false" customHeight="false" outlineLevel="0" collapsed="false">
      <c r="A410" s="14" t="s">
        <v>2965</v>
      </c>
      <c r="B410" s="14" t="s">
        <v>803</v>
      </c>
      <c r="C410" s="14" t="s">
        <v>804</v>
      </c>
      <c r="D410" s="28" t="s">
        <v>2966</v>
      </c>
      <c r="E410" s="42" t="s">
        <v>2068</v>
      </c>
      <c r="F410" s="31" t="n">
        <f aca="false">WBS!P98</f>
        <v>5</v>
      </c>
      <c r="G410" s="14" t="str">
        <f aca="false">WBS!H98</f>
        <v>P1</v>
      </c>
      <c r="H410" s="14" t="str">
        <f aca="false">WBS!G98</f>
        <v>Must</v>
      </c>
      <c r="I410" s="6" t="s">
        <v>2961</v>
      </c>
      <c r="J410" s="14"/>
      <c r="K410" s="6"/>
      <c r="L410" s="41" t="s">
        <v>2065</v>
      </c>
    </row>
    <row r="411" customFormat="false" ht="15" hidden="false" customHeight="false" outlineLevel="0" collapsed="false">
      <c r="A411" s="14" t="s">
        <v>2967</v>
      </c>
      <c r="B411" s="14" t="s">
        <v>803</v>
      </c>
      <c r="C411" s="14" t="s">
        <v>804</v>
      </c>
      <c r="D411" s="28" t="s">
        <v>2968</v>
      </c>
      <c r="E411" s="22" t="s">
        <v>2071</v>
      </c>
      <c r="F411" s="31" t="n">
        <f aca="false">WBS!Q98</f>
        <v>5</v>
      </c>
      <c r="G411" s="14" t="str">
        <f aca="false">WBS!H98</f>
        <v>P1</v>
      </c>
      <c r="H411" s="14" t="str">
        <f aca="false">WBS!G98</f>
        <v>Must</v>
      </c>
      <c r="I411" s="6" t="s">
        <v>2963</v>
      </c>
      <c r="J411" s="14"/>
      <c r="K411" s="6"/>
      <c r="L411" s="41" t="s">
        <v>2065</v>
      </c>
    </row>
    <row r="412" customFormat="false" ht="23.85" hidden="false" customHeight="false" outlineLevel="0" collapsed="false">
      <c r="A412" s="14" t="s">
        <v>2969</v>
      </c>
      <c r="B412" s="14" t="s">
        <v>803</v>
      </c>
      <c r="C412" s="14" t="s">
        <v>804</v>
      </c>
      <c r="D412" s="28" t="s">
        <v>2970</v>
      </c>
      <c r="E412" s="43" t="s">
        <v>96</v>
      </c>
      <c r="F412" s="31" t="n">
        <f aca="false">WBS!T98</f>
        <v>3.5</v>
      </c>
      <c r="G412" s="14" t="str">
        <f aca="false">WBS!H98</f>
        <v>P1</v>
      </c>
      <c r="H412" s="14" t="str">
        <f aca="false">WBS!G98</f>
        <v>Must</v>
      </c>
      <c r="I412" s="6" t="s">
        <v>2971</v>
      </c>
      <c r="J412" s="14"/>
      <c r="K412" s="6"/>
      <c r="L412" s="41" t="s">
        <v>2065</v>
      </c>
    </row>
    <row r="413" customFormat="false" ht="15" hidden="false" customHeight="false" outlineLevel="0" collapsed="false">
      <c r="A413" s="14" t="s">
        <v>2972</v>
      </c>
      <c r="B413" s="14" t="s">
        <v>812</v>
      </c>
      <c r="C413" s="14" t="s">
        <v>804</v>
      </c>
      <c r="D413" s="28" t="s">
        <v>2973</v>
      </c>
      <c r="E413" s="40" t="s">
        <v>91</v>
      </c>
      <c r="F413" s="31" t="n">
        <f aca="false">WBS!R99</f>
        <v>1.2</v>
      </c>
      <c r="G413" s="14" t="str">
        <f aca="false">WBS!H99</f>
        <v>P1</v>
      </c>
      <c r="H413" s="14" t="str">
        <f aca="false">WBS!G99</f>
        <v>Must</v>
      </c>
      <c r="I413" s="6" t="s">
        <v>472</v>
      </c>
      <c r="J413" s="14"/>
      <c r="K413" s="6"/>
      <c r="L413" s="41" t="s">
        <v>2065</v>
      </c>
    </row>
    <row r="414" customFormat="false" ht="15" hidden="false" customHeight="false" outlineLevel="0" collapsed="false">
      <c r="A414" s="14" t="s">
        <v>2974</v>
      </c>
      <c r="B414" s="14" t="s">
        <v>812</v>
      </c>
      <c r="C414" s="14" t="s">
        <v>804</v>
      </c>
      <c r="D414" s="28" t="s">
        <v>2975</v>
      </c>
      <c r="E414" s="37" t="s">
        <v>128</v>
      </c>
      <c r="F414" s="31" t="n">
        <f aca="false">WBS!S99</f>
        <v>2</v>
      </c>
      <c r="G414" s="14" t="str">
        <f aca="false">WBS!H99</f>
        <v>P1</v>
      </c>
      <c r="H414" s="14" t="str">
        <f aca="false">WBS!G99</f>
        <v>Must</v>
      </c>
      <c r="I414" s="6" t="s">
        <v>2972</v>
      </c>
      <c r="J414" s="14"/>
      <c r="K414" s="6"/>
      <c r="L414" s="41" t="s">
        <v>2065</v>
      </c>
    </row>
    <row r="415" customFormat="false" ht="15" hidden="false" customHeight="false" outlineLevel="0" collapsed="false">
      <c r="A415" s="14" t="s">
        <v>2976</v>
      </c>
      <c r="B415" s="14" t="s">
        <v>812</v>
      </c>
      <c r="C415" s="14" t="s">
        <v>804</v>
      </c>
      <c r="D415" s="28" t="s">
        <v>2977</v>
      </c>
      <c r="E415" s="42" t="s">
        <v>2068</v>
      </c>
      <c r="F415" s="31" t="n">
        <f aca="false">WBS!P99</f>
        <v>5</v>
      </c>
      <c r="G415" s="14" t="str">
        <f aca="false">WBS!H99</f>
        <v>P1</v>
      </c>
      <c r="H415" s="14" t="str">
        <f aca="false">WBS!G99</f>
        <v>Must</v>
      </c>
      <c r="I415" s="6" t="s">
        <v>2972</v>
      </c>
      <c r="J415" s="14"/>
      <c r="K415" s="6"/>
      <c r="L415" s="41" t="s">
        <v>2065</v>
      </c>
    </row>
    <row r="416" customFormat="false" ht="15" hidden="false" customHeight="false" outlineLevel="0" collapsed="false">
      <c r="A416" s="14" t="s">
        <v>2978</v>
      </c>
      <c r="B416" s="14" t="s">
        <v>812</v>
      </c>
      <c r="C416" s="14" t="s">
        <v>804</v>
      </c>
      <c r="D416" s="28" t="s">
        <v>2979</v>
      </c>
      <c r="E416" s="22" t="s">
        <v>2071</v>
      </c>
      <c r="F416" s="31" t="n">
        <f aca="false">WBS!Q99</f>
        <v>5</v>
      </c>
      <c r="G416" s="14" t="str">
        <f aca="false">WBS!H99</f>
        <v>P1</v>
      </c>
      <c r="H416" s="14" t="str">
        <f aca="false">WBS!G99</f>
        <v>Must</v>
      </c>
      <c r="I416" s="6" t="s">
        <v>2974</v>
      </c>
      <c r="J416" s="14"/>
      <c r="K416" s="6"/>
      <c r="L416" s="41" t="s">
        <v>2065</v>
      </c>
    </row>
    <row r="417" customFormat="false" ht="23.85" hidden="false" customHeight="false" outlineLevel="0" collapsed="false">
      <c r="A417" s="14" t="s">
        <v>2980</v>
      </c>
      <c r="B417" s="14" t="s">
        <v>812</v>
      </c>
      <c r="C417" s="14" t="s">
        <v>804</v>
      </c>
      <c r="D417" s="28" t="s">
        <v>2981</v>
      </c>
      <c r="E417" s="43" t="s">
        <v>96</v>
      </c>
      <c r="F417" s="31" t="n">
        <f aca="false">WBS!T99</f>
        <v>3.5</v>
      </c>
      <c r="G417" s="14" t="str">
        <f aca="false">WBS!H99</f>
        <v>P1</v>
      </c>
      <c r="H417" s="14" t="str">
        <f aca="false">WBS!G99</f>
        <v>Must</v>
      </c>
      <c r="I417" s="6" t="s">
        <v>2982</v>
      </c>
      <c r="J417" s="14"/>
      <c r="K417" s="6"/>
      <c r="L417" s="41" t="s">
        <v>2065</v>
      </c>
    </row>
    <row r="418" customFormat="false" ht="23.85" hidden="false" customHeight="false" outlineLevel="0" collapsed="false">
      <c r="A418" s="14" t="s">
        <v>2983</v>
      </c>
      <c r="B418" s="14" t="s">
        <v>819</v>
      </c>
      <c r="C418" s="14" t="s">
        <v>804</v>
      </c>
      <c r="D418" s="28" t="s">
        <v>2984</v>
      </c>
      <c r="E418" s="40" t="s">
        <v>91</v>
      </c>
      <c r="F418" s="31" t="n">
        <f aca="false">WBS!R100</f>
        <v>2.4</v>
      </c>
      <c r="G418" s="14" t="str">
        <f aca="false">WBS!H100</f>
        <v>P1</v>
      </c>
      <c r="H418" s="14" t="str">
        <f aca="false">WBS!G100</f>
        <v>Must</v>
      </c>
      <c r="I418" s="6" t="s">
        <v>825</v>
      </c>
      <c r="J418" s="14"/>
      <c r="K418" s="6"/>
      <c r="L418" s="41" t="s">
        <v>2065</v>
      </c>
    </row>
    <row r="419" customFormat="false" ht="15" hidden="false" customHeight="false" outlineLevel="0" collapsed="false">
      <c r="A419" s="14" t="s">
        <v>2985</v>
      </c>
      <c r="B419" s="14" t="s">
        <v>819</v>
      </c>
      <c r="C419" s="14" t="s">
        <v>804</v>
      </c>
      <c r="D419" s="28" t="s">
        <v>2986</v>
      </c>
      <c r="E419" s="37" t="s">
        <v>128</v>
      </c>
      <c r="F419" s="31" t="n">
        <f aca="false">WBS!S100</f>
        <v>4</v>
      </c>
      <c r="G419" s="14" t="str">
        <f aca="false">WBS!H100</f>
        <v>P1</v>
      </c>
      <c r="H419" s="14" t="str">
        <f aca="false">WBS!G100</f>
        <v>Must</v>
      </c>
      <c r="I419" s="6" t="s">
        <v>2983</v>
      </c>
      <c r="J419" s="14"/>
      <c r="K419" s="6"/>
      <c r="L419" s="41" t="s">
        <v>2065</v>
      </c>
    </row>
    <row r="420" customFormat="false" ht="22.35" hidden="false" customHeight="false" outlineLevel="0" collapsed="false">
      <c r="A420" s="14" t="s">
        <v>2987</v>
      </c>
      <c r="B420" s="14" t="s">
        <v>819</v>
      </c>
      <c r="C420" s="14" t="s">
        <v>804</v>
      </c>
      <c r="D420" s="28" t="s">
        <v>2988</v>
      </c>
      <c r="E420" s="42" t="s">
        <v>2068</v>
      </c>
      <c r="F420" s="31" t="n">
        <f aca="false">WBS!P100</f>
        <v>10</v>
      </c>
      <c r="G420" s="14" t="str">
        <f aca="false">WBS!H100</f>
        <v>P1</v>
      </c>
      <c r="H420" s="14" t="str">
        <f aca="false">WBS!G100</f>
        <v>Must</v>
      </c>
      <c r="I420" s="6" t="s">
        <v>2983</v>
      </c>
      <c r="J420" s="14"/>
      <c r="K420" s="6"/>
      <c r="L420" s="41" t="s">
        <v>2065</v>
      </c>
    </row>
    <row r="421" customFormat="false" ht="15" hidden="false" customHeight="false" outlineLevel="0" collapsed="false">
      <c r="A421" s="14" t="s">
        <v>2989</v>
      </c>
      <c r="B421" s="14" t="s">
        <v>819</v>
      </c>
      <c r="C421" s="14" t="s">
        <v>804</v>
      </c>
      <c r="D421" s="28" t="s">
        <v>2990</v>
      </c>
      <c r="E421" s="22" t="s">
        <v>2071</v>
      </c>
      <c r="F421" s="31" t="n">
        <f aca="false">WBS!Q100</f>
        <v>10</v>
      </c>
      <c r="G421" s="14" t="str">
        <f aca="false">WBS!H100</f>
        <v>P1</v>
      </c>
      <c r="H421" s="14" t="str">
        <f aca="false">WBS!G100</f>
        <v>Must</v>
      </c>
      <c r="I421" s="6" t="s">
        <v>2985</v>
      </c>
      <c r="J421" s="14"/>
      <c r="K421" s="6"/>
      <c r="L421" s="41" t="s">
        <v>2065</v>
      </c>
    </row>
    <row r="422" customFormat="false" ht="23.85" hidden="false" customHeight="false" outlineLevel="0" collapsed="false">
      <c r="A422" s="14" t="s">
        <v>2991</v>
      </c>
      <c r="B422" s="14" t="s">
        <v>819</v>
      </c>
      <c r="C422" s="14" t="s">
        <v>804</v>
      </c>
      <c r="D422" s="28" t="s">
        <v>2992</v>
      </c>
      <c r="E422" s="43" t="s">
        <v>96</v>
      </c>
      <c r="F422" s="31" t="n">
        <f aca="false">WBS!T100</f>
        <v>7</v>
      </c>
      <c r="G422" s="14" t="str">
        <f aca="false">WBS!H100</f>
        <v>P1</v>
      </c>
      <c r="H422" s="14" t="str">
        <f aca="false">WBS!G100</f>
        <v>Must</v>
      </c>
      <c r="I422" s="6" t="s">
        <v>2993</v>
      </c>
      <c r="J422" s="14"/>
      <c r="K422" s="6"/>
      <c r="L422" s="41" t="s">
        <v>2065</v>
      </c>
    </row>
    <row r="423" customFormat="false" ht="15" hidden="false" customHeight="false" outlineLevel="0" collapsed="false">
      <c r="A423" s="14" t="s">
        <v>2994</v>
      </c>
      <c r="B423" s="14" t="s">
        <v>826</v>
      </c>
      <c r="C423" s="14" t="s">
        <v>804</v>
      </c>
      <c r="D423" s="28" t="s">
        <v>2995</v>
      </c>
      <c r="E423" s="40" t="s">
        <v>91</v>
      </c>
      <c r="F423" s="31" t="n">
        <f aca="false">WBS!R101</f>
        <v>1.2</v>
      </c>
      <c r="G423" s="14" t="str">
        <f aca="false">WBS!H101</f>
        <v>P1</v>
      </c>
      <c r="H423" s="14" t="str">
        <f aca="false">WBS!G101</f>
        <v>Must</v>
      </c>
      <c r="I423" s="6" t="s">
        <v>819</v>
      </c>
      <c r="J423" s="14"/>
      <c r="K423" s="6"/>
      <c r="L423" s="41" t="s">
        <v>2065</v>
      </c>
    </row>
    <row r="424" customFormat="false" ht="15" hidden="false" customHeight="false" outlineLevel="0" collapsed="false">
      <c r="A424" s="14" t="s">
        <v>2996</v>
      </c>
      <c r="B424" s="14" t="s">
        <v>826</v>
      </c>
      <c r="C424" s="14" t="s">
        <v>804</v>
      </c>
      <c r="D424" s="28" t="s">
        <v>2997</v>
      </c>
      <c r="E424" s="42" t="s">
        <v>2068</v>
      </c>
      <c r="F424" s="31" t="n">
        <f aca="false">WBS!P101</f>
        <v>5</v>
      </c>
      <c r="G424" s="14" t="str">
        <f aca="false">WBS!H101</f>
        <v>P1</v>
      </c>
      <c r="H424" s="14" t="str">
        <f aca="false">WBS!G101</f>
        <v>Must</v>
      </c>
      <c r="I424" s="6" t="s">
        <v>2994</v>
      </c>
      <c r="J424" s="14"/>
      <c r="K424" s="6"/>
      <c r="L424" s="41" t="s">
        <v>2065</v>
      </c>
    </row>
    <row r="425" customFormat="false" ht="15" hidden="false" customHeight="false" outlineLevel="0" collapsed="false">
      <c r="A425" s="14" t="s">
        <v>2998</v>
      </c>
      <c r="B425" s="14" t="s">
        <v>826</v>
      </c>
      <c r="C425" s="14" t="s">
        <v>804</v>
      </c>
      <c r="D425" s="28" t="s">
        <v>2999</v>
      </c>
      <c r="E425" s="22" t="s">
        <v>2071</v>
      </c>
      <c r="F425" s="31" t="n">
        <f aca="false">WBS!Q101</f>
        <v>5</v>
      </c>
      <c r="G425" s="14" t="str">
        <f aca="false">WBS!H101</f>
        <v>P1</v>
      </c>
      <c r="H425" s="14" t="str">
        <f aca="false">WBS!G101</f>
        <v>Must</v>
      </c>
      <c r="I425" s="6" t="s">
        <v>2994</v>
      </c>
      <c r="J425" s="14"/>
      <c r="K425" s="6"/>
      <c r="L425" s="41" t="s">
        <v>2065</v>
      </c>
    </row>
    <row r="426" customFormat="false" ht="23.85" hidden="false" customHeight="false" outlineLevel="0" collapsed="false">
      <c r="A426" s="14" t="s">
        <v>3000</v>
      </c>
      <c r="B426" s="14" t="s">
        <v>826</v>
      </c>
      <c r="C426" s="14" t="s">
        <v>804</v>
      </c>
      <c r="D426" s="28" t="s">
        <v>3001</v>
      </c>
      <c r="E426" s="43" t="s">
        <v>96</v>
      </c>
      <c r="F426" s="31" t="n">
        <f aca="false">WBS!T101</f>
        <v>3.5</v>
      </c>
      <c r="G426" s="14" t="str">
        <f aca="false">WBS!H101</f>
        <v>P1</v>
      </c>
      <c r="H426" s="14" t="str">
        <f aca="false">WBS!G101</f>
        <v>Must</v>
      </c>
      <c r="I426" s="6" t="s">
        <v>3002</v>
      </c>
      <c r="J426" s="14"/>
      <c r="K426" s="6"/>
      <c r="L426" s="41" t="s">
        <v>2065</v>
      </c>
    </row>
    <row r="427" customFormat="false" ht="15" hidden="false" customHeight="false" outlineLevel="0" collapsed="false">
      <c r="A427" s="14" t="s">
        <v>3003</v>
      </c>
      <c r="B427" s="14" t="s">
        <v>833</v>
      </c>
      <c r="C427" s="14" t="s">
        <v>804</v>
      </c>
      <c r="D427" s="28" t="s">
        <v>3004</v>
      </c>
      <c r="E427" s="40" t="s">
        <v>91</v>
      </c>
      <c r="F427" s="31" t="n">
        <f aca="false">WBS!R102</f>
        <v>0.7</v>
      </c>
      <c r="G427" s="14" t="str">
        <f aca="false">WBS!H102</f>
        <v>P1</v>
      </c>
      <c r="H427" s="14" t="str">
        <f aca="false">WBS!G102</f>
        <v>Must</v>
      </c>
      <c r="I427" s="6" t="s">
        <v>839</v>
      </c>
      <c r="J427" s="14"/>
      <c r="K427" s="6"/>
      <c r="L427" s="41" t="s">
        <v>2065</v>
      </c>
    </row>
    <row r="428" customFormat="false" ht="15" hidden="false" customHeight="false" outlineLevel="0" collapsed="false">
      <c r="A428" s="14" t="s">
        <v>3005</v>
      </c>
      <c r="B428" s="14" t="s">
        <v>833</v>
      </c>
      <c r="C428" s="14" t="s">
        <v>804</v>
      </c>
      <c r="D428" s="28" t="s">
        <v>3006</v>
      </c>
      <c r="E428" s="42" t="s">
        <v>2068</v>
      </c>
      <c r="F428" s="31" t="n">
        <f aca="false">WBS!P102</f>
        <v>3</v>
      </c>
      <c r="G428" s="14" t="str">
        <f aca="false">WBS!H102</f>
        <v>P1</v>
      </c>
      <c r="H428" s="14" t="str">
        <f aca="false">WBS!G102</f>
        <v>Must</v>
      </c>
      <c r="I428" s="6" t="s">
        <v>3003</v>
      </c>
      <c r="J428" s="14"/>
      <c r="K428" s="6"/>
      <c r="L428" s="41" t="s">
        <v>2065</v>
      </c>
    </row>
    <row r="429" customFormat="false" ht="15" hidden="false" customHeight="false" outlineLevel="0" collapsed="false">
      <c r="A429" s="14" t="s">
        <v>3007</v>
      </c>
      <c r="B429" s="14" t="s">
        <v>833</v>
      </c>
      <c r="C429" s="14" t="s">
        <v>804</v>
      </c>
      <c r="D429" s="28" t="s">
        <v>3008</v>
      </c>
      <c r="E429" s="22" t="s">
        <v>2071</v>
      </c>
      <c r="F429" s="31" t="n">
        <f aca="false">WBS!Q102</f>
        <v>3</v>
      </c>
      <c r="G429" s="14" t="str">
        <f aca="false">WBS!H102</f>
        <v>P1</v>
      </c>
      <c r="H429" s="14" t="str">
        <f aca="false">WBS!G102</f>
        <v>Must</v>
      </c>
      <c r="I429" s="6" t="s">
        <v>3003</v>
      </c>
      <c r="J429" s="14"/>
      <c r="K429" s="6"/>
      <c r="L429" s="41" t="s">
        <v>2065</v>
      </c>
    </row>
    <row r="430" customFormat="false" ht="23.85" hidden="false" customHeight="false" outlineLevel="0" collapsed="false">
      <c r="A430" s="14" t="s">
        <v>3009</v>
      </c>
      <c r="B430" s="14" t="s">
        <v>833</v>
      </c>
      <c r="C430" s="14" t="s">
        <v>804</v>
      </c>
      <c r="D430" s="28" t="s">
        <v>3010</v>
      </c>
      <c r="E430" s="43" t="s">
        <v>96</v>
      </c>
      <c r="F430" s="31" t="n">
        <f aca="false">WBS!T102</f>
        <v>2.1</v>
      </c>
      <c r="G430" s="14" t="str">
        <f aca="false">WBS!H102</f>
        <v>P1</v>
      </c>
      <c r="H430" s="14" t="str">
        <f aca="false">WBS!G102</f>
        <v>Must</v>
      </c>
      <c r="I430" s="6" t="s">
        <v>3011</v>
      </c>
      <c r="J430" s="14"/>
      <c r="K430" s="6"/>
      <c r="L430" s="41" t="s">
        <v>2065</v>
      </c>
    </row>
    <row r="431" customFormat="false" ht="15" hidden="false" customHeight="false" outlineLevel="0" collapsed="false">
      <c r="A431" s="14" t="s">
        <v>3012</v>
      </c>
      <c r="B431" s="14" t="s">
        <v>840</v>
      </c>
      <c r="C431" s="14" t="s">
        <v>804</v>
      </c>
      <c r="D431" s="28" t="s">
        <v>3013</v>
      </c>
      <c r="E431" s="40" t="s">
        <v>91</v>
      </c>
      <c r="F431" s="31" t="n">
        <f aca="false">WBS!R103</f>
        <v>1</v>
      </c>
      <c r="G431" s="14" t="str">
        <f aca="false">WBS!H103</f>
        <v>P1</v>
      </c>
      <c r="H431" s="14" t="str">
        <f aca="false">WBS!G103</f>
        <v>Must</v>
      </c>
      <c r="I431" s="6" t="s">
        <v>847</v>
      </c>
      <c r="J431" s="14"/>
      <c r="K431" s="6"/>
      <c r="L431" s="41" t="s">
        <v>2065</v>
      </c>
    </row>
    <row r="432" customFormat="false" ht="15" hidden="false" customHeight="false" outlineLevel="0" collapsed="false">
      <c r="A432" s="14" t="s">
        <v>3014</v>
      </c>
      <c r="B432" s="14" t="s">
        <v>840</v>
      </c>
      <c r="C432" s="14" t="s">
        <v>804</v>
      </c>
      <c r="D432" s="28" t="s">
        <v>3015</v>
      </c>
      <c r="E432" s="42" t="s">
        <v>2068</v>
      </c>
      <c r="F432" s="31" t="n">
        <f aca="false">WBS!P103</f>
        <v>5</v>
      </c>
      <c r="G432" s="14" t="str">
        <f aca="false">WBS!H103</f>
        <v>P1</v>
      </c>
      <c r="H432" s="14" t="str">
        <f aca="false">WBS!G103</f>
        <v>Must</v>
      </c>
      <c r="I432" s="6" t="s">
        <v>3012</v>
      </c>
      <c r="J432" s="14"/>
      <c r="K432" s="6"/>
      <c r="L432" s="41" t="s">
        <v>2065</v>
      </c>
    </row>
    <row r="433" customFormat="false" ht="15" hidden="false" customHeight="false" outlineLevel="0" collapsed="false">
      <c r="A433" s="14" t="s">
        <v>3016</v>
      </c>
      <c r="B433" s="14" t="s">
        <v>840</v>
      </c>
      <c r="C433" s="14" t="s">
        <v>804</v>
      </c>
      <c r="D433" s="28" t="s">
        <v>3017</v>
      </c>
      <c r="E433" s="22" t="s">
        <v>2071</v>
      </c>
      <c r="F433" s="31" t="n">
        <f aca="false">WBS!Q103</f>
        <v>3</v>
      </c>
      <c r="G433" s="14" t="str">
        <f aca="false">WBS!H103</f>
        <v>P1</v>
      </c>
      <c r="H433" s="14" t="str">
        <f aca="false">WBS!G103</f>
        <v>Must</v>
      </c>
      <c r="I433" s="6" t="s">
        <v>3012</v>
      </c>
      <c r="J433" s="14"/>
      <c r="K433" s="6"/>
      <c r="L433" s="41" t="s">
        <v>2065</v>
      </c>
    </row>
    <row r="434" customFormat="false" ht="23.85" hidden="false" customHeight="false" outlineLevel="0" collapsed="false">
      <c r="A434" s="14" t="s">
        <v>3018</v>
      </c>
      <c r="B434" s="14" t="s">
        <v>840</v>
      </c>
      <c r="C434" s="14" t="s">
        <v>804</v>
      </c>
      <c r="D434" s="28" t="s">
        <v>3019</v>
      </c>
      <c r="E434" s="43" t="s">
        <v>96</v>
      </c>
      <c r="F434" s="31" t="n">
        <f aca="false">WBS!T103</f>
        <v>2.8</v>
      </c>
      <c r="G434" s="14" t="str">
        <f aca="false">WBS!H103</f>
        <v>P1</v>
      </c>
      <c r="H434" s="14" t="str">
        <f aca="false">WBS!G103</f>
        <v>Must</v>
      </c>
      <c r="I434" s="6" t="s">
        <v>3020</v>
      </c>
      <c r="J434" s="14"/>
      <c r="K434" s="6"/>
      <c r="L434" s="41" t="s">
        <v>2065</v>
      </c>
    </row>
    <row r="435" customFormat="false" ht="15" hidden="false" customHeight="false" outlineLevel="0" collapsed="false">
      <c r="A435" s="14" t="s">
        <v>3021</v>
      </c>
      <c r="B435" s="14" t="s">
        <v>848</v>
      </c>
      <c r="C435" s="14" t="s">
        <v>804</v>
      </c>
      <c r="D435" s="28" t="s">
        <v>3022</v>
      </c>
      <c r="E435" s="40" t="s">
        <v>91</v>
      </c>
      <c r="F435" s="31" t="n">
        <f aca="false">WBS!R104</f>
        <v>0.7</v>
      </c>
      <c r="G435" s="14" t="str">
        <f aca="false">WBS!H104</f>
        <v>P1</v>
      </c>
      <c r="H435" s="14" t="str">
        <f aca="false">WBS!G104</f>
        <v>Must</v>
      </c>
      <c r="I435" s="6" t="s">
        <v>819</v>
      </c>
      <c r="J435" s="14"/>
      <c r="K435" s="6"/>
      <c r="L435" s="41" t="s">
        <v>2065</v>
      </c>
    </row>
    <row r="436" customFormat="false" ht="15" hidden="false" customHeight="false" outlineLevel="0" collapsed="false">
      <c r="A436" s="14" t="s">
        <v>3023</v>
      </c>
      <c r="B436" s="14" t="s">
        <v>848</v>
      </c>
      <c r="C436" s="14" t="s">
        <v>804</v>
      </c>
      <c r="D436" s="28" t="s">
        <v>3024</v>
      </c>
      <c r="E436" s="42" t="s">
        <v>2068</v>
      </c>
      <c r="F436" s="31" t="n">
        <f aca="false">WBS!P104</f>
        <v>3</v>
      </c>
      <c r="G436" s="14" t="str">
        <f aca="false">WBS!H104</f>
        <v>P1</v>
      </c>
      <c r="H436" s="14" t="str">
        <f aca="false">WBS!G104</f>
        <v>Must</v>
      </c>
      <c r="I436" s="6" t="s">
        <v>3021</v>
      </c>
      <c r="J436" s="14"/>
      <c r="K436" s="6"/>
      <c r="L436" s="41" t="s">
        <v>2065</v>
      </c>
    </row>
    <row r="437" customFormat="false" ht="15" hidden="false" customHeight="false" outlineLevel="0" collapsed="false">
      <c r="A437" s="14" t="s">
        <v>3025</v>
      </c>
      <c r="B437" s="14" t="s">
        <v>848</v>
      </c>
      <c r="C437" s="14" t="s">
        <v>804</v>
      </c>
      <c r="D437" s="28" t="s">
        <v>3026</v>
      </c>
      <c r="E437" s="22" t="s">
        <v>2071</v>
      </c>
      <c r="F437" s="31" t="n">
        <f aca="false">WBS!Q104</f>
        <v>3</v>
      </c>
      <c r="G437" s="14" t="str">
        <f aca="false">WBS!H104</f>
        <v>P1</v>
      </c>
      <c r="H437" s="14" t="str">
        <f aca="false">WBS!G104</f>
        <v>Must</v>
      </c>
      <c r="I437" s="6" t="s">
        <v>3021</v>
      </c>
      <c r="J437" s="14"/>
      <c r="K437" s="6"/>
      <c r="L437" s="41" t="s">
        <v>2065</v>
      </c>
    </row>
    <row r="438" customFormat="false" ht="23.85" hidden="false" customHeight="false" outlineLevel="0" collapsed="false">
      <c r="A438" s="14" t="s">
        <v>3027</v>
      </c>
      <c r="B438" s="14" t="s">
        <v>848</v>
      </c>
      <c r="C438" s="14" t="s">
        <v>804</v>
      </c>
      <c r="D438" s="28" t="s">
        <v>3028</v>
      </c>
      <c r="E438" s="43" t="s">
        <v>96</v>
      </c>
      <c r="F438" s="31" t="n">
        <f aca="false">WBS!T104</f>
        <v>2.1</v>
      </c>
      <c r="G438" s="14" t="str">
        <f aca="false">WBS!H104</f>
        <v>P1</v>
      </c>
      <c r="H438" s="14" t="str">
        <f aca="false">WBS!G104</f>
        <v>Must</v>
      </c>
      <c r="I438" s="6" t="s">
        <v>3029</v>
      </c>
      <c r="J438" s="14"/>
      <c r="K438" s="6"/>
      <c r="L438" s="41" t="s">
        <v>2065</v>
      </c>
    </row>
    <row r="439" customFormat="false" ht="15" hidden="false" customHeight="false" outlineLevel="0" collapsed="false">
      <c r="A439" s="14" t="s">
        <v>3030</v>
      </c>
      <c r="B439" s="14" t="s">
        <v>855</v>
      </c>
      <c r="C439" s="14" t="s">
        <v>804</v>
      </c>
      <c r="D439" s="28" t="s">
        <v>3031</v>
      </c>
      <c r="E439" s="40" t="s">
        <v>91</v>
      </c>
      <c r="F439" s="31" t="n">
        <f aca="false">WBS!R105</f>
        <v>1.2</v>
      </c>
      <c r="G439" s="14" t="str">
        <f aca="false">WBS!H105</f>
        <v>P1</v>
      </c>
      <c r="H439" s="14" t="str">
        <f aca="false">WBS!G105</f>
        <v>Must</v>
      </c>
      <c r="I439" s="6" t="s">
        <v>862</v>
      </c>
      <c r="J439" s="14"/>
      <c r="K439" s="6"/>
      <c r="L439" s="41" t="s">
        <v>2065</v>
      </c>
    </row>
    <row r="440" customFormat="false" ht="15" hidden="false" customHeight="false" outlineLevel="0" collapsed="false">
      <c r="A440" s="14" t="s">
        <v>3032</v>
      </c>
      <c r="B440" s="14" t="s">
        <v>855</v>
      </c>
      <c r="C440" s="14" t="s">
        <v>804</v>
      </c>
      <c r="D440" s="28" t="s">
        <v>3033</v>
      </c>
      <c r="E440" s="42" t="s">
        <v>2068</v>
      </c>
      <c r="F440" s="31" t="n">
        <f aca="false">WBS!P105</f>
        <v>5</v>
      </c>
      <c r="G440" s="14" t="str">
        <f aca="false">WBS!H105</f>
        <v>P1</v>
      </c>
      <c r="H440" s="14" t="str">
        <f aca="false">WBS!G105</f>
        <v>Must</v>
      </c>
      <c r="I440" s="6" t="s">
        <v>3030</v>
      </c>
      <c r="J440" s="14"/>
      <c r="K440" s="6"/>
      <c r="L440" s="41" t="s">
        <v>2065</v>
      </c>
    </row>
    <row r="441" customFormat="false" ht="15" hidden="false" customHeight="false" outlineLevel="0" collapsed="false">
      <c r="A441" s="14" t="s">
        <v>3034</v>
      </c>
      <c r="B441" s="14" t="s">
        <v>855</v>
      </c>
      <c r="C441" s="14" t="s">
        <v>804</v>
      </c>
      <c r="D441" s="28" t="s">
        <v>3035</v>
      </c>
      <c r="E441" s="22" t="s">
        <v>2071</v>
      </c>
      <c r="F441" s="31" t="n">
        <f aca="false">WBS!Q105</f>
        <v>5</v>
      </c>
      <c r="G441" s="14" t="str">
        <f aca="false">WBS!H105</f>
        <v>P1</v>
      </c>
      <c r="H441" s="14" t="str">
        <f aca="false">WBS!G105</f>
        <v>Must</v>
      </c>
      <c r="I441" s="6" t="s">
        <v>3030</v>
      </c>
      <c r="J441" s="14"/>
      <c r="K441" s="6"/>
      <c r="L441" s="41" t="s">
        <v>2065</v>
      </c>
    </row>
    <row r="442" customFormat="false" ht="23.85" hidden="false" customHeight="false" outlineLevel="0" collapsed="false">
      <c r="A442" s="14" t="s">
        <v>3036</v>
      </c>
      <c r="B442" s="14" t="s">
        <v>855</v>
      </c>
      <c r="C442" s="14" t="s">
        <v>804</v>
      </c>
      <c r="D442" s="28" t="s">
        <v>3037</v>
      </c>
      <c r="E442" s="43" t="s">
        <v>96</v>
      </c>
      <c r="F442" s="31" t="n">
        <f aca="false">WBS!T105</f>
        <v>3.5</v>
      </c>
      <c r="G442" s="14" t="str">
        <f aca="false">WBS!H105</f>
        <v>P1</v>
      </c>
      <c r="H442" s="14" t="str">
        <f aca="false">WBS!G105</f>
        <v>Must</v>
      </c>
      <c r="I442" s="6" t="s">
        <v>3038</v>
      </c>
      <c r="J442" s="14"/>
      <c r="K442" s="6"/>
      <c r="L442" s="41" t="s">
        <v>2065</v>
      </c>
    </row>
    <row r="443" customFormat="false" ht="15" hidden="false" customHeight="false" outlineLevel="0" collapsed="false">
      <c r="A443" s="14" t="s">
        <v>3039</v>
      </c>
      <c r="B443" s="14" t="s">
        <v>863</v>
      </c>
      <c r="C443" s="14" t="s">
        <v>804</v>
      </c>
      <c r="D443" s="28" t="s">
        <v>3040</v>
      </c>
      <c r="E443" s="40" t="s">
        <v>91</v>
      </c>
      <c r="F443" s="31" t="n">
        <f aca="false">WBS!R106</f>
        <v>0.7</v>
      </c>
      <c r="G443" s="14" t="str">
        <f aca="false">WBS!H106</f>
        <v>P1</v>
      </c>
      <c r="H443" s="14" t="str">
        <f aca="false">WBS!G106</f>
        <v>Must</v>
      </c>
      <c r="I443" s="6" t="s">
        <v>870</v>
      </c>
      <c r="J443" s="14"/>
      <c r="K443" s="6"/>
      <c r="L443" s="41" t="s">
        <v>2065</v>
      </c>
    </row>
    <row r="444" customFormat="false" ht="15" hidden="false" customHeight="false" outlineLevel="0" collapsed="false">
      <c r="A444" s="14" t="s">
        <v>3041</v>
      </c>
      <c r="B444" s="14" t="s">
        <v>863</v>
      </c>
      <c r="C444" s="14" t="s">
        <v>804</v>
      </c>
      <c r="D444" s="28" t="s">
        <v>3042</v>
      </c>
      <c r="E444" s="42" t="s">
        <v>2068</v>
      </c>
      <c r="F444" s="31" t="n">
        <f aca="false">WBS!P106</f>
        <v>3</v>
      </c>
      <c r="G444" s="14" t="str">
        <f aca="false">WBS!H106</f>
        <v>P1</v>
      </c>
      <c r="H444" s="14" t="str">
        <f aca="false">WBS!G106</f>
        <v>Must</v>
      </c>
      <c r="I444" s="6" t="s">
        <v>3039</v>
      </c>
      <c r="J444" s="14"/>
      <c r="K444" s="6"/>
      <c r="L444" s="41" t="s">
        <v>2065</v>
      </c>
    </row>
    <row r="445" customFormat="false" ht="15" hidden="false" customHeight="false" outlineLevel="0" collapsed="false">
      <c r="A445" s="14" t="s">
        <v>3043</v>
      </c>
      <c r="B445" s="14" t="s">
        <v>863</v>
      </c>
      <c r="C445" s="14" t="s">
        <v>804</v>
      </c>
      <c r="D445" s="28" t="s">
        <v>3044</v>
      </c>
      <c r="E445" s="22" t="s">
        <v>2071</v>
      </c>
      <c r="F445" s="31" t="n">
        <f aca="false">WBS!Q106</f>
        <v>3</v>
      </c>
      <c r="G445" s="14" t="str">
        <f aca="false">WBS!H106</f>
        <v>P1</v>
      </c>
      <c r="H445" s="14" t="str">
        <f aca="false">WBS!G106</f>
        <v>Must</v>
      </c>
      <c r="I445" s="6" t="s">
        <v>3039</v>
      </c>
      <c r="J445" s="14"/>
      <c r="K445" s="6"/>
      <c r="L445" s="41" t="s">
        <v>2065</v>
      </c>
    </row>
    <row r="446" customFormat="false" ht="23.85" hidden="false" customHeight="false" outlineLevel="0" collapsed="false">
      <c r="A446" s="14" t="s">
        <v>3045</v>
      </c>
      <c r="B446" s="14" t="s">
        <v>863</v>
      </c>
      <c r="C446" s="14" t="s">
        <v>804</v>
      </c>
      <c r="D446" s="28" t="s">
        <v>3046</v>
      </c>
      <c r="E446" s="43" t="s">
        <v>96</v>
      </c>
      <c r="F446" s="31" t="n">
        <f aca="false">WBS!T106</f>
        <v>2.1</v>
      </c>
      <c r="G446" s="14" t="str">
        <f aca="false">WBS!H106</f>
        <v>P1</v>
      </c>
      <c r="H446" s="14" t="str">
        <f aca="false">WBS!G106</f>
        <v>Must</v>
      </c>
      <c r="I446" s="6" t="s">
        <v>3047</v>
      </c>
      <c r="J446" s="14"/>
      <c r="K446" s="6"/>
      <c r="L446" s="41" t="s">
        <v>2065</v>
      </c>
    </row>
    <row r="447" customFormat="false" ht="15" hidden="false" customHeight="false" outlineLevel="0" collapsed="false">
      <c r="A447" s="14" t="s">
        <v>3048</v>
      </c>
      <c r="B447" s="14" t="s">
        <v>871</v>
      </c>
      <c r="C447" s="14" t="s">
        <v>804</v>
      </c>
      <c r="D447" s="28" t="s">
        <v>3049</v>
      </c>
      <c r="E447" s="40" t="s">
        <v>91</v>
      </c>
      <c r="F447" s="31" t="n">
        <f aca="false">WBS!R107</f>
        <v>0.7</v>
      </c>
      <c r="G447" s="14" t="str">
        <f aca="false">WBS!H107</f>
        <v>P1</v>
      </c>
      <c r="H447" s="14" t="str">
        <f aca="false">WBS!G107</f>
        <v>Must</v>
      </c>
      <c r="I447" s="6" t="s">
        <v>878</v>
      </c>
      <c r="J447" s="14"/>
      <c r="K447" s="6"/>
      <c r="L447" s="41" t="s">
        <v>2065</v>
      </c>
    </row>
    <row r="448" customFormat="false" ht="15" hidden="false" customHeight="false" outlineLevel="0" collapsed="false">
      <c r="A448" s="14" t="s">
        <v>3050</v>
      </c>
      <c r="B448" s="14" t="s">
        <v>871</v>
      </c>
      <c r="C448" s="14" t="s">
        <v>804</v>
      </c>
      <c r="D448" s="28" t="s">
        <v>3051</v>
      </c>
      <c r="E448" s="42" t="s">
        <v>2068</v>
      </c>
      <c r="F448" s="31" t="n">
        <f aca="false">WBS!P107</f>
        <v>3</v>
      </c>
      <c r="G448" s="14" t="str">
        <f aca="false">WBS!H107</f>
        <v>P1</v>
      </c>
      <c r="H448" s="14" t="str">
        <f aca="false">WBS!G107</f>
        <v>Must</v>
      </c>
      <c r="I448" s="6" t="s">
        <v>3048</v>
      </c>
      <c r="J448" s="14"/>
      <c r="K448" s="6"/>
      <c r="L448" s="41" t="s">
        <v>2065</v>
      </c>
    </row>
    <row r="449" customFormat="false" ht="15" hidden="false" customHeight="false" outlineLevel="0" collapsed="false">
      <c r="A449" s="14" t="s">
        <v>3052</v>
      </c>
      <c r="B449" s="14" t="s">
        <v>871</v>
      </c>
      <c r="C449" s="14" t="s">
        <v>804</v>
      </c>
      <c r="D449" s="28" t="s">
        <v>3053</v>
      </c>
      <c r="E449" s="22" t="s">
        <v>2071</v>
      </c>
      <c r="F449" s="31" t="n">
        <f aca="false">WBS!Q107</f>
        <v>3</v>
      </c>
      <c r="G449" s="14" t="str">
        <f aca="false">WBS!H107</f>
        <v>P1</v>
      </c>
      <c r="H449" s="14" t="str">
        <f aca="false">WBS!G107</f>
        <v>Must</v>
      </c>
      <c r="I449" s="6" t="s">
        <v>3048</v>
      </c>
      <c r="J449" s="14"/>
      <c r="K449" s="6"/>
      <c r="L449" s="41" t="s">
        <v>2065</v>
      </c>
    </row>
    <row r="450" customFormat="false" ht="23.85" hidden="false" customHeight="false" outlineLevel="0" collapsed="false">
      <c r="A450" s="14" t="s">
        <v>3054</v>
      </c>
      <c r="B450" s="14" t="s">
        <v>871</v>
      </c>
      <c r="C450" s="14" t="s">
        <v>804</v>
      </c>
      <c r="D450" s="28" t="s">
        <v>3055</v>
      </c>
      <c r="E450" s="43" t="s">
        <v>96</v>
      </c>
      <c r="F450" s="31" t="n">
        <f aca="false">WBS!T107</f>
        <v>2.1</v>
      </c>
      <c r="G450" s="14" t="str">
        <f aca="false">WBS!H107</f>
        <v>P1</v>
      </c>
      <c r="H450" s="14" t="str">
        <f aca="false">WBS!G107</f>
        <v>Must</v>
      </c>
      <c r="I450" s="6" t="s">
        <v>3056</v>
      </c>
      <c r="J450" s="14"/>
      <c r="K450" s="6"/>
      <c r="L450" s="41" t="s">
        <v>2065</v>
      </c>
    </row>
    <row r="451" customFormat="false" ht="15" hidden="false" customHeight="false" outlineLevel="0" collapsed="false">
      <c r="A451" s="14" t="s">
        <v>3057</v>
      </c>
      <c r="B451" s="14" t="s">
        <v>879</v>
      </c>
      <c r="C451" s="14" t="s">
        <v>804</v>
      </c>
      <c r="D451" s="28" t="s">
        <v>2138</v>
      </c>
      <c r="E451" s="40" t="s">
        <v>91</v>
      </c>
      <c r="F451" s="31" t="n">
        <f aca="false">WBS!R108</f>
        <v>0.7</v>
      </c>
      <c r="G451" s="14" t="str">
        <f aca="false">WBS!H108</f>
        <v>P1</v>
      </c>
      <c r="H451" s="14" t="str">
        <f aca="false">WBS!G108</f>
        <v>Should</v>
      </c>
      <c r="I451" s="6" t="s">
        <v>192</v>
      </c>
      <c r="J451" s="14"/>
      <c r="K451" s="6"/>
      <c r="L451" s="41" t="s">
        <v>2065</v>
      </c>
    </row>
    <row r="452" customFormat="false" ht="15" hidden="false" customHeight="false" outlineLevel="0" collapsed="false">
      <c r="A452" s="14" t="s">
        <v>3058</v>
      </c>
      <c r="B452" s="14" t="s">
        <v>879</v>
      </c>
      <c r="C452" s="14" t="s">
        <v>804</v>
      </c>
      <c r="D452" s="28" t="s">
        <v>3059</v>
      </c>
      <c r="E452" s="42" t="s">
        <v>2068</v>
      </c>
      <c r="F452" s="31" t="n">
        <f aca="false">WBS!P108</f>
        <v>3</v>
      </c>
      <c r="G452" s="14" t="str">
        <f aca="false">WBS!H108</f>
        <v>P1</v>
      </c>
      <c r="H452" s="14" t="str">
        <f aca="false">WBS!G108</f>
        <v>Should</v>
      </c>
      <c r="I452" s="6" t="s">
        <v>3057</v>
      </c>
      <c r="J452" s="14"/>
      <c r="K452" s="6"/>
      <c r="L452" s="41" t="s">
        <v>2065</v>
      </c>
    </row>
    <row r="453" customFormat="false" ht="15" hidden="false" customHeight="false" outlineLevel="0" collapsed="false">
      <c r="A453" s="14" t="s">
        <v>3060</v>
      </c>
      <c r="B453" s="14" t="s">
        <v>879</v>
      </c>
      <c r="C453" s="14" t="s">
        <v>804</v>
      </c>
      <c r="D453" s="28" t="s">
        <v>3061</v>
      </c>
      <c r="E453" s="22" t="s">
        <v>2071</v>
      </c>
      <c r="F453" s="31" t="n">
        <f aca="false">WBS!Q108</f>
        <v>3</v>
      </c>
      <c r="G453" s="14" t="str">
        <f aca="false">WBS!H108</f>
        <v>P1</v>
      </c>
      <c r="H453" s="14" t="str">
        <f aca="false">WBS!G108</f>
        <v>Should</v>
      </c>
      <c r="I453" s="6" t="s">
        <v>3057</v>
      </c>
      <c r="J453" s="14"/>
      <c r="K453" s="6"/>
      <c r="L453" s="41" t="s">
        <v>2065</v>
      </c>
    </row>
    <row r="454" customFormat="false" ht="23.85" hidden="false" customHeight="false" outlineLevel="0" collapsed="false">
      <c r="A454" s="14" t="s">
        <v>3062</v>
      </c>
      <c r="B454" s="14" t="s">
        <v>879</v>
      </c>
      <c r="C454" s="14" t="s">
        <v>804</v>
      </c>
      <c r="D454" s="28" t="s">
        <v>3063</v>
      </c>
      <c r="E454" s="43" t="s">
        <v>96</v>
      </c>
      <c r="F454" s="31" t="n">
        <f aca="false">WBS!T108</f>
        <v>2.1</v>
      </c>
      <c r="G454" s="14" t="str">
        <f aca="false">WBS!H108</f>
        <v>P1</v>
      </c>
      <c r="H454" s="14" t="str">
        <f aca="false">WBS!G108</f>
        <v>Should</v>
      </c>
      <c r="I454" s="6" t="s">
        <v>3064</v>
      </c>
      <c r="J454" s="14"/>
      <c r="K454" s="6"/>
      <c r="L454" s="41" t="s">
        <v>2065</v>
      </c>
    </row>
    <row r="455" customFormat="false" ht="15" hidden="false" customHeight="false" outlineLevel="0" collapsed="false">
      <c r="A455" s="14" t="s">
        <v>3065</v>
      </c>
      <c r="B455" s="14" t="s">
        <v>885</v>
      </c>
      <c r="C455" s="14" t="s">
        <v>804</v>
      </c>
      <c r="D455" s="28" t="s">
        <v>3066</v>
      </c>
      <c r="E455" s="40" t="s">
        <v>91</v>
      </c>
      <c r="F455" s="31" t="n">
        <f aca="false">WBS!R109</f>
        <v>1</v>
      </c>
      <c r="G455" s="14" t="str">
        <f aca="false">WBS!H109</f>
        <v>P1</v>
      </c>
      <c r="H455" s="14" t="str">
        <f aca="false">WBS!G109</f>
        <v>Must</v>
      </c>
      <c r="I455" s="6" t="s">
        <v>256</v>
      </c>
      <c r="J455" s="14"/>
      <c r="K455" s="6"/>
      <c r="L455" s="41" t="s">
        <v>2065</v>
      </c>
    </row>
    <row r="456" customFormat="false" ht="22.35" hidden="false" customHeight="false" outlineLevel="0" collapsed="false">
      <c r="A456" s="14" t="s">
        <v>3067</v>
      </c>
      <c r="B456" s="14" t="s">
        <v>885</v>
      </c>
      <c r="C456" s="14" t="s">
        <v>804</v>
      </c>
      <c r="D456" s="28" t="s">
        <v>3068</v>
      </c>
      <c r="E456" s="42" t="s">
        <v>2068</v>
      </c>
      <c r="F456" s="31" t="n">
        <f aca="false">WBS!P109</f>
        <v>5</v>
      </c>
      <c r="G456" s="14" t="str">
        <f aca="false">WBS!H109</f>
        <v>P1</v>
      </c>
      <c r="H456" s="14" t="str">
        <f aca="false">WBS!G109</f>
        <v>Must</v>
      </c>
      <c r="I456" s="6" t="s">
        <v>3065</v>
      </c>
      <c r="J456" s="14"/>
      <c r="K456" s="6"/>
      <c r="L456" s="41" t="s">
        <v>2065</v>
      </c>
    </row>
    <row r="457" customFormat="false" ht="15" hidden="false" customHeight="false" outlineLevel="0" collapsed="false">
      <c r="A457" s="14" t="s">
        <v>3069</v>
      </c>
      <c r="B457" s="14" t="s">
        <v>885</v>
      </c>
      <c r="C457" s="14" t="s">
        <v>804</v>
      </c>
      <c r="D457" s="28" t="s">
        <v>3070</v>
      </c>
      <c r="E457" s="22" t="s">
        <v>2071</v>
      </c>
      <c r="F457" s="31" t="n">
        <f aca="false">WBS!Q109</f>
        <v>3</v>
      </c>
      <c r="G457" s="14" t="str">
        <f aca="false">WBS!H109</f>
        <v>P1</v>
      </c>
      <c r="H457" s="14" t="str">
        <f aca="false">WBS!G109</f>
        <v>Must</v>
      </c>
      <c r="I457" s="6" t="s">
        <v>3065</v>
      </c>
      <c r="J457" s="14"/>
      <c r="K457" s="6"/>
      <c r="L457" s="41" t="s">
        <v>2065</v>
      </c>
    </row>
    <row r="458" customFormat="false" ht="23.85" hidden="false" customHeight="false" outlineLevel="0" collapsed="false">
      <c r="A458" s="14" t="s">
        <v>3071</v>
      </c>
      <c r="B458" s="14" t="s">
        <v>885</v>
      </c>
      <c r="C458" s="14" t="s">
        <v>804</v>
      </c>
      <c r="D458" s="28" t="s">
        <v>3072</v>
      </c>
      <c r="E458" s="43" t="s">
        <v>96</v>
      </c>
      <c r="F458" s="31" t="n">
        <f aca="false">WBS!T109</f>
        <v>2.8</v>
      </c>
      <c r="G458" s="14" t="str">
        <f aca="false">WBS!H109</f>
        <v>P1</v>
      </c>
      <c r="H458" s="14" t="str">
        <f aca="false">WBS!G109</f>
        <v>Must</v>
      </c>
      <c r="I458" s="6" t="s">
        <v>3073</v>
      </c>
      <c r="J458" s="14"/>
      <c r="K458" s="6"/>
      <c r="L458" s="41" t="s">
        <v>2065</v>
      </c>
    </row>
    <row r="459" customFormat="false" ht="15" hidden="false" customHeight="false" outlineLevel="0" collapsed="false">
      <c r="A459" s="14" t="s">
        <v>3074</v>
      </c>
      <c r="B459" s="14" t="s">
        <v>891</v>
      </c>
      <c r="C459" s="14" t="s">
        <v>804</v>
      </c>
      <c r="D459" s="28" t="s">
        <v>3075</v>
      </c>
      <c r="E459" s="40" t="s">
        <v>91</v>
      </c>
      <c r="F459" s="31" t="n">
        <f aca="false">WBS!R110</f>
        <v>1</v>
      </c>
      <c r="G459" s="14" t="str">
        <f aca="false">WBS!H110</f>
        <v>P1</v>
      </c>
      <c r="H459" s="14" t="str">
        <f aca="false">WBS!G110</f>
        <v>Should</v>
      </c>
      <c r="I459" s="6" t="s">
        <v>227</v>
      </c>
      <c r="J459" s="14"/>
      <c r="K459" s="6"/>
      <c r="L459" s="41" t="s">
        <v>2065</v>
      </c>
    </row>
    <row r="460" customFormat="false" ht="15" hidden="false" customHeight="false" outlineLevel="0" collapsed="false">
      <c r="A460" s="14" t="s">
        <v>3076</v>
      </c>
      <c r="B460" s="14" t="s">
        <v>891</v>
      </c>
      <c r="C460" s="14" t="s">
        <v>804</v>
      </c>
      <c r="D460" s="28" t="s">
        <v>3077</v>
      </c>
      <c r="E460" s="42" t="s">
        <v>2068</v>
      </c>
      <c r="F460" s="31" t="n">
        <f aca="false">WBS!P110</f>
        <v>5</v>
      </c>
      <c r="G460" s="14" t="str">
        <f aca="false">WBS!H110</f>
        <v>P1</v>
      </c>
      <c r="H460" s="14" t="str">
        <f aca="false">WBS!G110</f>
        <v>Should</v>
      </c>
      <c r="I460" s="6" t="s">
        <v>3074</v>
      </c>
      <c r="J460" s="14"/>
      <c r="K460" s="6"/>
      <c r="L460" s="41" t="s">
        <v>2065</v>
      </c>
    </row>
    <row r="461" customFormat="false" ht="15" hidden="false" customHeight="false" outlineLevel="0" collapsed="false">
      <c r="A461" s="14" t="s">
        <v>3078</v>
      </c>
      <c r="B461" s="14" t="s">
        <v>891</v>
      </c>
      <c r="C461" s="14" t="s">
        <v>804</v>
      </c>
      <c r="D461" s="28" t="s">
        <v>3079</v>
      </c>
      <c r="E461" s="22" t="s">
        <v>2071</v>
      </c>
      <c r="F461" s="31" t="n">
        <f aca="false">WBS!Q110</f>
        <v>3</v>
      </c>
      <c r="G461" s="14" t="str">
        <f aca="false">WBS!H110</f>
        <v>P1</v>
      </c>
      <c r="H461" s="14" t="str">
        <f aca="false">WBS!G110</f>
        <v>Should</v>
      </c>
      <c r="I461" s="6" t="s">
        <v>3074</v>
      </c>
      <c r="J461" s="14"/>
      <c r="K461" s="6"/>
      <c r="L461" s="41" t="s">
        <v>2065</v>
      </c>
    </row>
    <row r="462" customFormat="false" ht="23.85" hidden="false" customHeight="false" outlineLevel="0" collapsed="false">
      <c r="A462" s="14" t="s">
        <v>3080</v>
      </c>
      <c r="B462" s="14" t="s">
        <v>891</v>
      </c>
      <c r="C462" s="14" t="s">
        <v>804</v>
      </c>
      <c r="D462" s="28" t="s">
        <v>3081</v>
      </c>
      <c r="E462" s="43" t="s">
        <v>96</v>
      </c>
      <c r="F462" s="31" t="n">
        <f aca="false">WBS!T110</f>
        <v>2.8</v>
      </c>
      <c r="G462" s="14" t="str">
        <f aca="false">WBS!H110</f>
        <v>P1</v>
      </c>
      <c r="H462" s="14" t="str">
        <f aca="false">WBS!G110</f>
        <v>Should</v>
      </c>
      <c r="I462" s="6" t="s">
        <v>3082</v>
      </c>
      <c r="J462" s="14"/>
      <c r="K462" s="6"/>
      <c r="L462" s="41" t="s">
        <v>2065</v>
      </c>
    </row>
    <row r="463" customFormat="false" ht="15" hidden="false" customHeight="false" outlineLevel="0" collapsed="false">
      <c r="A463" s="14" t="s">
        <v>3083</v>
      </c>
      <c r="B463" s="14" t="s">
        <v>898</v>
      </c>
      <c r="C463" s="14" t="s">
        <v>804</v>
      </c>
      <c r="D463" s="28" t="s">
        <v>3084</v>
      </c>
      <c r="E463" s="40" t="s">
        <v>91</v>
      </c>
      <c r="F463" s="31" t="n">
        <f aca="false">WBS!R111</f>
        <v>1</v>
      </c>
      <c r="G463" s="14" t="str">
        <f aca="false">WBS!H111</f>
        <v>P3</v>
      </c>
      <c r="H463" s="14" t="str">
        <f aca="false">WBS!G111</f>
        <v>Should</v>
      </c>
      <c r="I463" s="6" t="s">
        <v>904</v>
      </c>
      <c r="J463" s="14"/>
      <c r="K463" s="6"/>
      <c r="L463" s="41" t="s">
        <v>2065</v>
      </c>
    </row>
    <row r="464" customFormat="false" ht="15" hidden="false" customHeight="false" outlineLevel="0" collapsed="false">
      <c r="A464" s="14" t="s">
        <v>3085</v>
      </c>
      <c r="B464" s="14" t="s">
        <v>898</v>
      </c>
      <c r="C464" s="14" t="s">
        <v>804</v>
      </c>
      <c r="D464" s="28" t="s">
        <v>3086</v>
      </c>
      <c r="E464" s="42" t="s">
        <v>2068</v>
      </c>
      <c r="F464" s="31" t="n">
        <f aca="false">WBS!P111</f>
        <v>5</v>
      </c>
      <c r="G464" s="14" t="str">
        <f aca="false">WBS!H111</f>
        <v>P3</v>
      </c>
      <c r="H464" s="14" t="str">
        <f aca="false">WBS!G111</f>
        <v>Should</v>
      </c>
      <c r="I464" s="6" t="s">
        <v>3083</v>
      </c>
      <c r="J464" s="14"/>
      <c r="K464" s="6"/>
      <c r="L464" s="41" t="s">
        <v>2065</v>
      </c>
    </row>
    <row r="465" customFormat="false" ht="15" hidden="false" customHeight="false" outlineLevel="0" collapsed="false">
      <c r="A465" s="14" t="s">
        <v>3087</v>
      </c>
      <c r="B465" s="14" t="s">
        <v>898</v>
      </c>
      <c r="C465" s="14" t="s">
        <v>804</v>
      </c>
      <c r="D465" s="28" t="s">
        <v>3088</v>
      </c>
      <c r="E465" s="22" t="s">
        <v>2071</v>
      </c>
      <c r="F465" s="31" t="n">
        <f aca="false">WBS!Q111</f>
        <v>3</v>
      </c>
      <c r="G465" s="14" t="str">
        <f aca="false">WBS!H111</f>
        <v>P3</v>
      </c>
      <c r="H465" s="14" t="str">
        <f aca="false">WBS!G111</f>
        <v>Should</v>
      </c>
      <c r="I465" s="6" t="s">
        <v>3083</v>
      </c>
      <c r="J465" s="14"/>
      <c r="K465" s="6"/>
      <c r="L465" s="41" t="s">
        <v>2065</v>
      </c>
    </row>
    <row r="466" customFormat="false" ht="23.85" hidden="false" customHeight="false" outlineLevel="0" collapsed="false">
      <c r="A466" s="14" t="s">
        <v>3089</v>
      </c>
      <c r="B466" s="14" t="s">
        <v>898</v>
      </c>
      <c r="C466" s="14" t="s">
        <v>804</v>
      </c>
      <c r="D466" s="28" t="s">
        <v>3090</v>
      </c>
      <c r="E466" s="43" t="s">
        <v>96</v>
      </c>
      <c r="F466" s="31" t="n">
        <f aca="false">WBS!T111</f>
        <v>2.8</v>
      </c>
      <c r="G466" s="14" t="str">
        <f aca="false">WBS!H111</f>
        <v>P3</v>
      </c>
      <c r="H466" s="14" t="str">
        <f aca="false">WBS!G111</f>
        <v>Should</v>
      </c>
      <c r="I466" s="6" t="s">
        <v>3091</v>
      </c>
      <c r="J466" s="14"/>
      <c r="K466" s="6"/>
      <c r="L466" s="41" t="s">
        <v>2065</v>
      </c>
    </row>
    <row r="467" customFormat="false" ht="15" hidden="false" customHeight="false" outlineLevel="0" collapsed="false">
      <c r="A467" s="14" t="s">
        <v>3092</v>
      </c>
      <c r="B467" s="14" t="s">
        <v>905</v>
      </c>
      <c r="C467" s="14" t="s">
        <v>804</v>
      </c>
      <c r="D467" s="28" t="s">
        <v>3093</v>
      </c>
      <c r="E467" s="40" t="s">
        <v>91</v>
      </c>
      <c r="F467" s="31" t="n">
        <f aca="false">WBS!R112</f>
        <v>0.5</v>
      </c>
      <c r="G467" s="14" t="str">
        <f aca="false">WBS!H112</f>
        <v>P3</v>
      </c>
      <c r="H467" s="14" t="str">
        <f aca="false">WBS!G112</f>
        <v>Should</v>
      </c>
      <c r="I467" s="6" t="s">
        <v>185</v>
      </c>
      <c r="J467" s="14"/>
      <c r="K467" s="6"/>
      <c r="L467" s="41" t="s">
        <v>2065</v>
      </c>
    </row>
    <row r="468" customFormat="false" ht="15" hidden="false" customHeight="false" outlineLevel="0" collapsed="false">
      <c r="A468" s="14" t="s">
        <v>3094</v>
      </c>
      <c r="B468" s="14" t="s">
        <v>905</v>
      </c>
      <c r="C468" s="14" t="s">
        <v>804</v>
      </c>
      <c r="D468" s="28" t="s">
        <v>3095</v>
      </c>
      <c r="E468" s="42" t="s">
        <v>2068</v>
      </c>
      <c r="F468" s="31" t="n">
        <f aca="false">WBS!P112</f>
        <v>1</v>
      </c>
      <c r="G468" s="14" t="str">
        <f aca="false">WBS!H112</f>
        <v>P3</v>
      </c>
      <c r="H468" s="14" t="str">
        <f aca="false">WBS!G112</f>
        <v>Should</v>
      </c>
      <c r="I468" s="6" t="s">
        <v>3092</v>
      </c>
      <c r="J468" s="14"/>
      <c r="K468" s="6"/>
      <c r="L468" s="41" t="s">
        <v>2065</v>
      </c>
    </row>
    <row r="469" customFormat="false" ht="15" hidden="false" customHeight="false" outlineLevel="0" collapsed="false">
      <c r="A469" s="14" t="s">
        <v>3096</v>
      </c>
      <c r="B469" s="14" t="s">
        <v>905</v>
      </c>
      <c r="C469" s="14" t="s">
        <v>804</v>
      </c>
      <c r="D469" s="28" t="s">
        <v>3097</v>
      </c>
      <c r="E469" s="22" t="s">
        <v>2071</v>
      </c>
      <c r="F469" s="31" t="n">
        <f aca="false">WBS!Q112</f>
        <v>3</v>
      </c>
      <c r="G469" s="14" t="str">
        <f aca="false">WBS!H112</f>
        <v>P3</v>
      </c>
      <c r="H469" s="14" t="str">
        <f aca="false">WBS!G112</f>
        <v>Should</v>
      </c>
      <c r="I469" s="6" t="s">
        <v>3092</v>
      </c>
      <c r="J469" s="14"/>
      <c r="K469" s="6"/>
      <c r="L469" s="41" t="s">
        <v>2065</v>
      </c>
    </row>
    <row r="470" customFormat="false" ht="23.85" hidden="false" customHeight="false" outlineLevel="0" collapsed="false">
      <c r="A470" s="14" t="s">
        <v>3098</v>
      </c>
      <c r="B470" s="14" t="s">
        <v>905</v>
      </c>
      <c r="C470" s="14" t="s">
        <v>804</v>
      </c>
      <c r="D470" s="28" t="s">
        <v>3099</v>
      </c>
      <c r="E470" s="43" t="s">
        <v>96</v>
      </c>
      <c r="F470" s="31" t="n">
        <f aca="false">WBS!T112</f>
        <v>1.4</v>
      </c>
      <c r="G470" s="14" t="str">
        <f aca="false">WBS!H112</f>
        <v>P3</v>
      </c>
      <c r="H470" s="14" t="str">
        <f aca="false">WBS!G112</f>
        <v>Should</v>
      </c>
      <c r="I470" s="6" t="s">
        <v>3100</v>
      </c>
      <c r="J470" s="14"/>
      <c r="K470" s="6"/>
      <c r="L470" s="41" t="s">
        <v>2065</v>
      </c>
    </row>
    <row r="471" customFormat="false" ht="15" hidden="false" customHeight="false" outlineLevel="0" collapsed="false">
      <c r="A471" s="14" t="s">
        <v>3101</v>
      </c>
      <c r="B471" s="14" t="s">
        <v>911</v>
      </c>
      <c r="C471" s="14" t="s">
        <v>804</v>
      </c>
      <c r="D471" s="28" t="s">
        <v>3102</v>
      </c>
      <c r="E471" s="40" t="s">
        <v>91</v>
      </c>
      <c r="F471" s="31" t="n">
        <f aca="false">WBS!R113</f>
        <v>0.5</v>
      </c>
      <c r="G471" s="14" t="str">
        <f aca="false">WBS!H113</f>
        <v>P3</v>
      </c>
      <c r="H471" s="14" t="str">
        <f aca="false">WBS!G113</f>
        <v>Should</v>
      </c>
      <c r="I471" s="6" t="s">
        <v>819</v>
      </c>
      <c r="J471" s="14"/>
      <c r="K471" s="6"/>
      <c r="L471" s="41" t="s">
        <v>2065</v>
      </c>
    </row>
    <row r="472" customFormat="false" ht="15" hidden="false" customHeight="false" outlineLevel="0" collapsed="false">
      <c r="A472" s="14" t="s">
        <v>3103</v>
      </c>
      <c r="B472" s="14" t="s">
        <v>911</v>
      </c>
      <c r="C472" s="14" t="s">
        <v>804</v>
      </c>
      <c r="D472" s="28" t="s">
        <v>3104</v>
      </c>
      <c r="E472" s="42" t="s">
        <v>2068</v>
      </c>
      <c r="F472" s="31" t="n">
        <f aca="false">WBS!P113</f>
        <v>3</v>
      </c>
      <c r="G472" s="14" t="str">
        <f aca="false">WBS!H113</f>
        <v>P3</v>
      </c>
      <c r="H472" s="14" t="str">
        <f aca="false">WBS!G113</f>
        <v>Should</v>
      </c>
      <c r="I472" s="6" t="s">
        <v>3101</v>
      </c>
      <c r="J472" s="14"/>
      <c r="K472" s="6"/>
      <c r="L472" s="41" t="s">
        <v>2065</v>
      </c>
    </row>
    <row r="473" customFormat="false" ht="15" hidden="false" customHeight="false" outlineLevel="0" collapsed="false">
      <c r="A473" s="14" t="s">
        <v>3105</v>
      </c>
      <c r="B473" s="14" t="s">
        <v>911</v>
      </c>
      <c r="C473" s="14" t="s">
        <v>804</v>
      </c>
      <c r="D473" s="28" t="s">
        <v>3106</v>
      </c>
      <c r="E473" s="22" t="s">
        <v>2071</v>
      </c>
      <c r="F473" s="31" t="n">
        <f aca="false">WBS!Q113</f>
        <v>1</v>
      </c>
      <c r="G473" s="14" t="str">
        <f aca="false">WBS!H113</f>
        <v>P3</v>
      </c>
      <c r="H473" s="14" t="str">
        <f aca="false">WBS!G113</f>
        <v>Should</v>
      </c>
      <c r="I473" s="6" t="s">
        <v>3101</v>
      </c>
      <c r="J473" s="14"/>
      <c r="K473" s="6"/>
      <c r="L473" s="41" t="s">
        <v>2065</v>
      </c>
    </row>
    <row r="474" customFormat="false" ht="23.85" hidden="false" customHeight="false" outlineLevel="0" collapsed="false">
      <c r="A474" s="14" t="s">
        <v>3107</v>
      </c>
      <c r="B474" s="14" t="s">
        <v>911</v>
      </c>
      <c r="C474" s="14" t="s">
        <v>804</v>
      </c>
      <c r="D474" s="28" t="s">
        <v>3108</v>
      </c>
      <c r="E474" s="43" t="s">
        <v>96</v>
      </c>
      <c r="F474" s="31" t="n">
        <f aca="false">WBS!T113</f>
        <v>1.4</v>
      </c>
      <c r="G474" s="14" t="str">
        <f aca="false">WBS!H113</f>
        <v>P3</v>
      </c>
      <c r="H474" s="14" t="str">
        <f aca="false">WBS!G113</f>
        <v>Should</v>
      </c>
      <c r="I474" s="6" t="s">
        <v>3109</v>
      </c>
      <c r="J474" s="14"/>
      <c r="K474" s="6"/>
      <c r="L474" s="41" t="s">
        <v>2065</v>
      </c>
    </row>
    <row r="475" customFormat="false" ht="15" hidden="false" customHeight="false" outlineLevel="0" collapsed="false">
      <c r="A475" s="14" t="s">
        <v>3110</v>
      </c>
      <c r="B475" s="14" t="s">
        <v>917</v>
      </c>
      <c r="C475" s="14" t="s">
        <v>804</v>
      </c>
      <c r="D475" s="28" t="s">
        <v>3111</v>
      </c>
      <c r="E475" s="40" t="s">
        <v>91</v>
      </c>
      <c r="F475" s="31" t="n">
        <f aca="false">WBS!R114</f>
        <v>0.5</v>
      </c>
      <c r="G475" s="14" t="str">
        <f aca="false">WBS!H114</f>
        <v>P3</v>
      </c>
      <c r="H475" s="14" t="str">
        <f aca="false">WBS!G114</f>
        <v>Should</v>
      </c>
      <c r="I475" s="6" t="s">
        <v>168</v>
      </c>
      <c r="J475" s="14"/>
      <c r="K475" s="6"/>
      <c r="L475" s="41" t="s">
        <v>2065</v>
      </c>
    </row>
    <row r="476" customFormat="false" ht="15" hidden="false" customHeight="false" outlineLevel="0" collapsed="false">
      <c r="A476" s="14" t="s">
        <v>3112</v>
      </c>
      <c r="B476" s="14" t="s">
        <v>917</v>
      </c>
      <c r="C476" s="14" t="s">
        <v>804</v>
      </c>
      <c r="D476" s="28" t="s">
        <v>3113</v>
      </c>
      <c r="E476" s="42" t="s">
        <v>2068</v>
      </c>
      <c r="F476" s="31" t="n">
        <f aca="false">WBS!P114</f>
        <v>3</v>
      </c>
      <c r="G476" s="14" t="str">
        <f aca="false">WBS!H114</f>
        <v>P3</v>
      </c>
      <c r="H476" s="14" t="str">
        <f aca="false">WBS!G114</f>
        <v>Should</v>
      </c>
      <c r="I476" s="6" t="s">
        <v>3110</v>
      </c>
      <c r="J476" s="14"/>
      <c r="K476" s="6"/>
      <c r="L476" s="41" t="s">
        <v>2065</v>
      </c>
    </row>
    <row r="477" customFormat="false" ht="15" hidden="false" customHeight="false" outlineLevel="0" collapsed="false">
      <c r="A477" s="14" t="s">
        <v>3114</v>
      </c>
      <c r="B477" s="14" t="s">
        <v>917</v>
      </c>
      <c r="C477" s="14" t="s">
        <v>804</v>
      </c>
      <c r="D477" s="28" t="s">
        <v>3115</v>
      </c>
      <c r="E477" s="22" t="s">
        <v>2071</v>
      </c>
      <c r="F477" s="31" t="n">
        <f aca="false">WBS!Q114</f>
        <v>1</v>
      </c>
      <c r="G477" s="14" t="str">
        <f aca="false">WBS!H114</f>
        <v>P3</v>
      </c>
      <c r="H477" s="14" t="str">
        <f aca="false">WBS!G114</f>
        <v>Should</v>
      </c>
      <c r="I477" s="6" t="s">
        <v>3110</v>
      </c>
      <c r="J477" s="14"/>
      <c r="K477" s="6"/>
      <c r="L477" s="41" t="s">
        <v>2065</v>
      </c>
    </row>
    <row r="478" customFormat="false" ht="23.85" hidden="false" customHeight="false" outlineLevel="0" collapsed="false">
      <c r="A478" s="14" t="s">
        <v>3116</v>
      </c>
      <c r="B478" s="14" t="s">
        <v>917</v>
      </c>
      <c r="C478" s="14" t="s">
        <v>804</v>
      </c>
      <c r="D478" s="28" t="s">
        <v>3117</v>
      </c>
      <c r="E478" s="43" t="s">
        <v>96</v>
      </c>
      <c r="F478" s="31" t="n">
        <f aca="false">WBS!T114</f>
        <v>1.4</v>
      </c>
      <c r="G478" s="14" t="str">
        <f aca="false">WBS!H114</f>
        <v>P3</v>
      </c>
      <c r="H478" s="14" t="str">
        <f aca="false">WBS!G114</f>
        <v>Should</v>
      </c>
      <c r="I478" s="6" t="s">
        <v>3118</v>
      </c>
      <c r="J478" s="14"/>
      <c r="K478" s="6"/>
      <c r="L478" s="41" t="s">
        <v>2065</v>
      </c>
    </row>
    <row r="479" customFormat="false" ht="15" hidden="false" customHeight="false" outlineLevel="0" collapsed="false">
      <c r="A479" s="14" t="s">
        <v>3119</v>
      </c>
      <c r="B479" s="14" t="s">
        <v>922</v>
      </c>
      <c r="C479" s="14" t="s">
        <v>804</v>
      </c>
      <c r="D479" s="28" t="s">
        <v>3120</v>
      </c>
      <c r="E479" s="40" t="s">
        <v>91</v>
      </c>
      <c r="F479" s="31" t="n">
        <f aca="false">WBS!R115</f>
        <v>1</v>
      </c>
      <c r="G479" s="14" t="str">
        <f aca="false">WBS!H115</f>
        <v>P3</v>
      </c>
      <c r="H479" s="14" t="str">
        <f aca="false">WBS!G115</f>
        <v>Should</v>
      </c>
      <c r="I479" s="6" t="s">
        <v>256</v>
      </c>
      <c r="J479" s="14"/>
      <c r="K479" s="6"/>
      <c r="L479" s="41" t="s">
        <v>2065</v>
      </c>
    </row>
    <row r="480" customFormat="false" ht="15" hidden="false" customHeight="false" outlineLevel="0" collapsed="false">
      <c r="A480" s="14" t="s">
        <v>3121</v>
      </c>
      <c r="B480" s="14" t="s">
        <v>922</v>
      </c>
      <c r="C480" s="14" t="s">
        <v>804</v>
      </c>
      <c r="D480" s="28" t="s">
        <v>3122</v>
      </c>
      <c r="E480" s="37" t="s">
        <v>128</v>
      </c>
      <c r="F480" s="31" t="n">
        <f aca="false">WBS!S115</f>
        <v>2</v>
      </c>
      <c r="G480" s="14" t="str">
        <f aca="false">WBS!H115</f>
        <v>P3</v>
      </c>
      <c r="H480" s="14" t="str">
        <f aca="false">WBS!G115</f>
        <v>Should</v>
      </c>
      <c r="I480" s="6" t="s">
        <v>3119</v>
      </c>
      <c r="J480" s="14"/>
      <c r="K480" s="6"/>
      <c r="L480" s="41" t="s">
        <v>2065</v>
      </c>
    </row>
    <row r="481" customFormat="false" ht="15" hidden="false" customHeight="false" outlineLevel="0" collapsed="false">
      <c r="A481" s="14" t="s">
        <v>3123</v>
      </c>
      <c r="B481" s="14" t="s">
        <v>922</v>
      </c>
      <c r="C481" s="14" t="s">
        <v>804</v>
      </c>
      <c r="D481" s="28" t="s">
        <v>3124</v>
      </c>
      <c r="E481" s="42" t="s">
        <v>2068</v>
      </c>
      <c r="F481" s="31" t="n">
        <f aca="false">WBS!P115</f>
        <v>3</v>
      </c>
      <c r="G481" s="14" t="str">
        <f aca="false">WBS!H115</f>
        <v>P3</v>
      </c>
      <c r="H481" s="14" t="str">
        <f aca="false">WBS!G115</f>
        <v>Should</v>
      </c>
      <c r="I481" s="6" t="s">
        <v>3119</v>
      </c>
      <c r="J481" s="14"/>
      <c r="K481" s="6"/>
      <c r="L481" s="41" t="s">
        <v>2065</v>
      </c>
    </row>
    <row r="482" customFormat="false" ht="15" hidden="false" customHeight="false" outlineLevel="0" collapsed="false">
      <c r="A482" s="14" t="s">
        <v>3125</v>
      </c>
      <c r="B482" s="14" t="s">
        <v>922</v>
      </c>
      <c r="C482" s="14" t="s">
        <v>804</v>
      </c>
      <c r="D482" s="28" t="s">
        <v>3126</v>
      </c>
      <c r="E482" s="22" t="s">
        <v>2071</v>
      </c>
      <c r="F482" s="31" t="n">
        <f aca="false">WBS!Q115</f>
        <v>5</v>
      </c>
      <c r="G482" s="14" t="str">
        <f aca="false">WBS!H115</f>
        <v>P3</v>
      </c>
      <c r="H482" s="14" t="str">
        <f aca="false">WBS!G115</f>
        <v>Should</v>
      </c>
      <c r="I482" s="6" t="s">
        <v>3121</v>
      </c>
      <c r="J482" s="14"/>
      <c r="K482" s="6"/>
      <c r="L482" s="41" t="s">
        <v>2065</v>
      </c>
    </row>
    <row r="483" customFormat="false" ht="23.85" hidden="false" customHeight="false" outlineLevel="0" collapsed="false">
      <c r="A483" s="14" t="s">
        <v>3127</v>
      </c>
      <c r="B483" s="14" t="s">
        <v>922</v>
      </c>
      <c r="C483" s="14" t="s">
        <v>804</v>
      </c>
      <c r="D483" s="28" t="s">
        <v>3128</v>
      </c>
      <c r="E483" s="43" t="s">
        <v>96</v>
      </c>
      <c r="F483" s="31" t="n">
        <f aca="false">WBS!T115</f>
        <v>2.8</v>
      </c>
      <c r="G483" s="14" t="str">
        <f aca="false">WBS!H115</f>
        <v>P3</v>
      </c>
      <c r="H483" s="14" t="str">
        <f aca="false">WBS!G115</f>
        <v>Should</v>
      </c>
      <c r="I483" s="6" t="s">
        <v>3129</v>
      </c>
      <c r="J483" s="14"/>
      <c r="K483" s="6"/>
      <c r="L483" s="41" t="s">
        <v>2065</v>
      </c>
    </row>
    <row r="484" customFormat="false" ht="15" hidden="false" customHeight="false" outlineLevel="0" collapsed="false">
      <c r="A484" s="14" t="s">
        <v>3130</v>
      </c>
      <c r="B484" s="14" t="s">
        <v>928</v>
      </c>
      <c r="C484" s="14" t="s">
        <v>804</v>
      </c>
      <c r="D484" s="28" t="s">
        <v>3131</v>
      </c>
      <c r="E484" s="40" t="s">
        <v>91</v>
      </c>
      <c r="F484" s="31" t="n">
        <f aca="false">WBS!R116</f>
        <v>1</v>
      </c>
      <c r="G484" s="14" t="str">
        <f aca="false">WBS!H116</f>
        <v>P3</v>
      </c>
      <c r="H484" s="14" t="str">
        <f aca="false">WBS!G116</f>
        <v>Should</v>
      </c>
      <c r="I484" s="6" t="s">
        <v>210</v>
      </c>
      <c r="J484" s="14"/>
      <c r="K484" s="6"/>
      <c r="L484" s="41" t="s">
        <v>2065</v>
      </c>
    </row>
    <row r="485" customFormat="false" ht="15" hidden="false" customHeight="false" outlineLevel="0" collapsed="false">
      <c r="A485" s="14" t="s">
        <v>3132</v>
      </c>
      <c r="B485" s="14" t="s">
        <v>928</v>
      </c>
      <c r="C485" s="14" t="s">
        <v>804</v>
      </c>
      <c r="D485" s="28" t="s">
        <v>3133</v>
      </c>
      <c r="E485" s="42" t="s">
        <v>2068</v>
      </c>
      <c r="F485" s="31" t="n">
        <f aca="false">WBS!P116</f>
        <v>5</v>
      </c>
      <c r="G485" s="14" t="str">
        <f aca="false">WBS!H116</f>
        <v>P3</v>
      </c>
      <c r="H485" s="14" t="str">
        <f aca="false">WBS!G116</f>
        <v>Should</v>
      </c>
      <c r="I485" s="6" t="s">
        <v>3130</v>
      </c>
      <c r="J485" s="14"/>
      <c r="K485" s="6"/>
      <c r="L485" s="41" t="s">
        <v>2065</v>
      </c>
    </row>
    <row r="486" customFormat="false" ht="15" hidden="false" customHeight="false" outlineLevel="0" collapsed="false">
      <c r="A486" s="14" t="s">
        <v>3134</v>
      </c>
      <c r="B486" s="14" t="s">
        <v>928</v>
      </c>
      <c r="C486" s="14" t="s">
        <v>804</v>
      </c>
      <c r="D486" s="28" t="s">
        <v>3135</v>
      </c>
      <c r="E486" s="22" t="s">
        <v>2071</v>
      </c>
      <c r="F486" s="31" t="n">
        <f aca="false">WBS!Q116</f>
        <v>3</v>
      </c>
      <c r="G486" s="14" t="str">
        <f aca="false">WBS!H116</f>
        <v>P3</v>
      </c>
      <c r="H486" s="14" t="str">
        <f aca="false">WBS!G116</f>
        <v>Should</v>
      </c>
      <c r="I486" s="6" t="s">
        <v>3130</v>
      </c>
      <c r="J486" s="14"/>
      <c r="K486" s="6"/>
      <c r="L486" s="41" t="s">
        <v>2065</v>
      </c>
    </row>
    <row r="487" customFormat="false" ht="23.85" hidden="false" customHeight="false" outlineLevel="0" collapsed="false">
      <c r="A487" s="14" t="s">
        <v>3136</v>
      </c>
      <c r="B487" s="14" t="s">
        <v>928</v>
      </c>
      <c r="C487" s="14" t="s">
        <v>804</v>
      </c>
      <c r="D487" s="28" t="s">
        <v>3137</v>
      </c>
      <c r="E487" s="43" t="s">
        <v>96</v>
      </c>
      <c r="F487" s="31" t="n">
        <f aca="false">WBS!T116</f>
        <v>2.8</v>
      </c>
      <c r="G487" s="14" t="str">
        <f aca="false">WBS!H116</f>
        <v>P3</v>
      </c>
      <c r="H487" s="14" t="str">
        <f aca="false">WBS!G116</f>
        <v>Should</v>
      </c>
      <c r="I487" s="6" t="s">
        <v>3138</v>
      </c>
      <c r="J487" s="14"/>
      <c r="K487" s="6"/>
      <c r="L487" s="41" t="s">
        <v>2065</v>
      </c>
    </row>
    <row r="488" customFormat="false" ht="15" hidden="false" customHeight="false" outlineLevel="0" collapsed="false">
      <c r="A488" s="14" t="s">
        <v>3139</v>
      </c>
      <c r="B488" s="14" t="s">
        <v>934</v>
      </c>
      <c r="C488" s="14" t="s">
        <v>804</v>
      </c>
      <c r="D488" s="28" t="s">
        <v>3140</v>
      </c>
      <c r="E488" s="40" t="s">
        <v>91</v>
      </c>
      <c r="F488" s="31" t="n">
        <f aca="false">WBS!R117</f>
        <v>0.7</v>
      </c>
      <c r="G488" s="14" t="str">
        <f aca="false">WBS!H117</f>
        <v>P4</v>
      </c>
      <c r="H488" s="14" t="str">
        <f aca="false">WBS!G117</f>
        <v>Nice-to-have</v>
      </c>
      <c r="I488" s="6" t="s">
        <v>178</v>
      </c>
      <c r="J488" s="14"/>
      <c r="K488" s="6"/>
      <c r="L488" s="41" t="s">
        <v>2065</v>
      </c>
    </row>
    <row r="489" customFormat="false" ht="15" hidden="false" customHeight="false" outlineLevel="0" collapsed="false">
      <c r="A489" s="14" t="s">
        <v>3141</v>
      </c>
      <c r="B489" s="14" t="s">
        <v>934</v>
      </c>
      <c r="C489" s="14" t="s">
        <v>804</v>
      </c>
      <c r="D489" s="28" t="s">
        <v>3142</v>
      </c>
      <c r="E489" s="42" t="s">
        <v>2068</v>
      </c>
      <c r="F489" s="31" t="n">
        <f aca="false">WBS!P117</f>
        <v>3</v>
      </c>
      <c r="G489" s="14" t="str">
        <f aca="false">WBS!H117</f>
        <v>P4</v>
      </c>
      <c r="H489" s="14" t="str">
        <f aca="false">WBS!G117</f>
        <v>Nice-to-have</v>
      </c>
      <c r="I489" s="6" t="s">
        <v>3139</v>
      </c>
      <c r="J489" s="14"/>
      <c r="K489" s="6"/>
      <c r="L489" s="41" t="s">
        <v>2065</v>
      </c>
    </row>
    <row r="490" customFormat="false" ht="15" hidden="false" customHeight="false" outlineLevel="0" collapsed="false">
      <c r="A490" s="14" t="s">
        <v>3143</v>
      </c>
      <c r="B490" s="14" t="s">
        <v>934</v>
      </c>
      <c r="C490" s="14" t="s">
        <v>804</v>
      </c>
      <c r="D490" s="28" t="s">
        <v>3144</v>
      </c>
      <c r="E490" s="22" t="s">
        <v>2071</v>
      </c>
      <c r="F490" s="31" t="n">
        <f aca="false">WBS!Q117</f>
        <v>3</v>
      </c>
      <c r="G490" s="14" t="str">
        <f aca="false">WBS!H117</f>
        <v>P4</v>
      </c>
      <c r="H490" s="14" t="str">
        <f aca="false">WBS!G117</f>
        <v>Nice-to-have</v>
      </c>
      <c r="I490" s="6" t="s">
        <v>3139</v>
      </c>
      <c r="J490" s="14"/>
      <c r="K490" s="6"/>
      <c r="L490" s="41" t="s">
        <v>2065</v>
      </c>
    </row>
    <row r="491" customFormat="false" ht="23.85" hidden="false" customHeight="false" outlineLevel="0" collapsed="false">
      <c r="A491" s="14" t="s">
        <v>3145</v>
      </c>
      <c r="B491" s="14" t="s">
        <v>934</v>
      </c>
      <c r="C491" s="14" t="s">
        <v>804</v>
      </c>
      <c r="D491" s="28" t="s">
        <v>3146</v>
      </c>
      <c r="E491" s="43" t="s">
        <v>96</v>
      </c>
      <c r="F491" s="31" t="n">
        <f aca="false">WBS!T117</f>
        <v>2.1</v>
      </c>
      <c r="G491" s="14" t="str">
        <f aca="false">WBS!H117</f>
        <v>P4</v>
      </c>
      <c r="H491" s="14" t="str">
        <f aca="false">WBS!G117</f>
        <v>Nice-to-have</v>
      </c>
      <c r="I491" s="6" t="s">
        <v>3147</v>
      </c>
      <c r="J491" s="14"/>
      <c r="K491" s="6"/>
      <c r="L491" s="41" t="s">
        <v>2065</v>
      </c>
    </row>
    <row r="492" customFormat="false" ht="15" hidden="false" customHeight="false" outlineLevel="0" collapsed="false">
      <c r="A492" s="14" t="s">
        <v>3148</v>
      </c>
      <c r="B492" s="14" t="s">
        <v>941</v>
      </c>
      <c r="C492" s="14" t="s">
        <v>942</v>
      </c>
      <c r="D492" s="28" t="s">
        <v>3149</v>
      </c>
      <c r="E492" s="40" t="s">
        <v>91</v>
      </c>
      <c r="F492" s="31" t="n">
        <f aca="false">WBS!R118</f>
        <v>1.2</v>
      </c>
      <c r="G492" s="14" t="str">
        <f aca="false">WBS!H118</f>
        <v>P1</v>
      </c>
      <c r="H492" s="14" t="str">
        <f aca="false">WBS!G118</f>
        <v>Must</v>
      </c>
      <c r="I492" s="6" t="s">
        <v>950</v>
      </c>
      <c r="J492" s="14"/>
      <c r="K492" s="6"/>
      <c r="L492" s="41" t="s">
        <v>2065</v>
      </c>
    </row>
    <row r="493" customFormat="false" ht="15" hidden="false" customHeight="false" outlineLevel="0" collapsed="false">
      <c r="A493" s="14" t="s">
        <v>3150</v>
      </c>
      <c r="B493" s="14" t="s">
        <v>941</v>
      </c>
      <c r="C493" s="14" t="s">
        <v>942</v>
      </c>
      <c r="D493" s="28" t="s">
        <v>3151</v>
      </c>
      <c r="E493" s="37" t="s">
        <v>128</v>
      </c>
      <c r="F493" s="31" t="n">
        <f aca="false">WBS!S118</f>
        <v>2</v>
      </c>
      <c r="G493" s="14" t="str">
        <f aca="false">WBS!H118</f>
        <v>P1</v>
      </c>
      <c r="H493" s="14" t="str">
        <f aca="false">WBS!G118</f>
        <v>Must</v>
      </c>
      <c r="I493" s="6" t="s">
        <v>3148</v>
      </c>
      <c r="J493" s="14"/>
      <c r="K493" s="6"/>
      <c r="L493" s="41" t="s">
        <v>2065</v>
      </c>
    </row>
    <row r="494" customFormat="false" ht="15" hidden="false" customHeight="false" outlineLevel="0" collapsed="false">
      <c r="A494" s="14" t="s">
        <v>3152</v>
      </c>
      <c r="B494" s="14" t="s">
        <v>941</v>
      </c>
      <c r="C494" s="14" t="s">
        <v>942</v>
      </c>
      <c r="D494" s="28" t="s">
        <v>3153</v>
      </c>
      <c r="E494" s="42" t="s">
        <v>2068</v>
      </c>
      <c r="F494" s="31" t="n">
        <f aca="false">WBS!P118</f>
        <v>5</v>
      </c>
      <c r="G494" s="14" t="str">
        <f aca="false">WBS!H118</f>
        <v>P1</v>
      </c>
      <c r="H494" s="14" t="str">
        <f aca="false">WBS!G118</f>
        <v>Must</v>
      </c>
      <c r="I494" s="6" t="s">
        <v>3148</v>
      </c>
      <c r="J494" s="14"/>
      <c r="K494" s="6"/>
      <c r="L494" s="41" t="s">
        <v>2065</v>
      </c>
    </row>
    <row r="495" customFormat="false" ht="15" hidden="false" customHeight="false" outlineLevel="0" collapsed="false">
      <c r="A495" s="14" t="s">
        <v>3154</v>
      </c>
      <c r="B495" s="14" t="s">
        <v>941</v>
      </c>
      <c r="C495" s="14" t="s">
        <v>942</v>
      </c>
      <c r="D495" s="28" t="s">
        <v>3155</v>
      </c>
      <c r="E495" s="22" t="s">
        <v>2071</v>
      </c>
      <c r="F495" s="31" t="n">
        <f aca="false">WBS!Q118</f>
        <v>5</v>
      </c>
      <c r="G495" s="14" t="str">
        <f aca="false">WBS!H118</f>
        <v>P1</v>
      </c>
      <c r="H495" s="14" t="str">
        <f aca="false">WBS!G118</f>
        <v>Must</v>
      </c>
      <c r="I495" s="6" t="s">
        <v>3150</v>
      </c>
      <c r="J495" s="14"/>
      <c r="K495" s="6"/>
      <c r="L495" s="41" t="s">
        <v>2065</v>
      </c>
    </row>
    <row r="496" customFormat="false" ht="15" hidden="false" customHeight="false" outlineLevel="0" collapsed="false">
      <c r="A496" s="14" t="s">
        <v>3156</v>
      </c>
      <c r="B496" s="14" t="s">
        <v>941</v>
      </c>
      <c r="C496" s="14" t="s">
        <v>942</v>
      </c>
      <c r="D496" s="28" t="s">
        <v>3157</v>
      </c>
      <c r="E496" s="43" t="s">
        <v>96</v>
      </c>
      <c r="F496" s="31" t="n">
        <f aca="false">WBS!T118</f>
        <v>3.5</v>
      </c>
      <c r="G496" s="14" t="str">
        <f aca="false">WBS!H118</f>
        <v>P1</v>
      </c>
      <c r="H496" s="14" t="str">
        <f aca="false">WBS!G118</f>
        <v>Must</v>
      </c>
      <c r="I496" s="6" t="s">
        <v>3158</v>
      </c>
      <c r="J496" s="14"/>
      <c r="K496" s="6"/>
      <c r="L496" s="41" t="s">
        <v>2065</v>
      </c>
    </row>
    <row r="497" customFormat="false" ht="15" hidden="false" customHeight="false" outlineLevel="0" collapsed="false">
      <c r="A497" s="14" t="s">
        <v>3159</v>
      </c>
      <c r="B497" s="14" t="s">
        <v>952</v>
      </c>
      <c r="C497" s="14" t="s">
        <v>942</v>
      </c>
      <c r="D497" s="28" t="s">
        <v>3160</v>
      </c>
      <c r="E497" s="40" t="s">
        <v>91</v>
      </c>
      <c r="F497" s="31" t="n">
        <f aca="false">WBS!R119</f>
        <v>1.2</v>
      </c>
      <c r="G497" s="14" t="str">
        <f aca="false">WBS!H119</f>
        <v>P1</v>
      </c>
      <c r="H497" s="14" t="str">
        <f aca="false">WBS!G119</f>
        <v>Must</v>
      </c>
      <c r="I497" s="6" t="s">
        <v>941</v>
      </c>
      <c r="J497" s="14"/>
      <c r="K497" s="6"/>
      <c r="L497" s="41" t="s">
        <v>2065</v>
      </c>
    </row>
    <row r="498" customFormat="false" ht="15" hidden="false" customHeight="false" outlineLevel="0" collapsed="false">
      <c r="A498" s="14" t="s">
        <v>3161</v>
      </c>
      <c r="B498" s="14" t="s">
        <v>952</v>
      </c>
      <c r="C498" s="14" t="s">
        <v>942</v>
      </c>
      <c r="D498" s="28" t="s">
        <v>3162</v>
      </c>
      <c r="E498" s="37" t="s">
        <v>128</v>
      </c>
      <c r="F498" s="31" t="n">
        <f aca="false">WBS!S119</f>
        <v>2</v>
      </c>
      <c r="G498" s="14" t="str">
        <f aca="false">WBS!H119</f>
        <v>P1</v>
      </c>
      <c r="H498" s="14" t="str">
        <f aca="false">WBS!G119</f>
        <v>Must</v>
      </c>
      <c r="I498" s="6" t="s">
        <v>3159</v>
      </c>
      <c r="J498" s="14"/>
      <c r="K498" s="6"/>
      <c r="L498" s="41" t="s">
        <v>2065</v>
      </c>
    </row>
    <row r="499" customFormat="false" ht="22.35" hidden="false" customHeight="false" outlineLevel="0" collapsed="false">
      <c r="A499" s="14" t="s">
        <v>3163</v>
      </c>
      <c r="B499" s="14" t="s">
        <v>952</v>
      </c>
      <c r="C499" s="14" t="s">
        <v>942</v>
      </c>
      <c r="D499" s="28" t="s">
        <v>3164</v>
      </c>
      <c r="E499" s="42" t="s">
        <v>2068</v>
      </c>
      <c r="F499" s="31" t="n">
        <f aca="false">WBS!P119</f>
        <v>5</v>
      </c>
      <c r="G499" s="14" t="str">
        <f aca="false">WBS!H119</f>
        <v>P1</v>
      </c>
      <c r="H499" s="14" t="str">
        <f aca="false">WBS!G119</f>
        <v>Must</v>
      </c>
      <c r="I499" s="6" t="s">
        <v>3159</v>
      </c>
      <c r="J499" s="14"/>
      <c r="K499" s="6"/>
      <c r="L499" s="41" t="s">
        <v>2065</v>
      </c>
    </row>
    <row r="500" customFormat="false" ht="15" hidden="false" customHeight="false" outlineLevel="0" collapsed="false">
      <c r="A500" s="14" t="s">
        <v>3165</v>
      </c>
      <c r="B500" s="14" t="s">
        <v>952</v>
      </c>
      <c r="C500" s="14" t="s">
        <v>942</v>
      </c>
      <c r="D500" s="28" t="s">
        <v>3166</v>
      </c>
      <c r="E500" s="22" t="s">
        <v>2071</v>
      </c>
      <c r="F500" s="31" t="n">
        <f aca="false">WBS!Q119</f>
        <v>5</v>
      </c>
      <c r="G500" s="14" t="str">
        <f aca="false">WBS!H119</f>
        <v>P1</v>
      </c>
      <c r="H500" s="14" t="str">
        <f aca="false">WBS!G119</f>
        <v>Must</v>
      </c>
      <c r="I500" s="6" t="s">
        <v>3161</v>
      </c>
      <c r="J500" s="14"/>
      <c r="K500" s="6"/>
      <c r="L500" s="41" t="s">
        <v>2065</v>
      </c>
    </row>
    <row r="501" customFormat="false" ht="15" hidden="false" customHeight="false" outlineLevel="0" collapsed="false">
      <c r="A501" s="14" t="s">
        <v>3167</v>
      </c>
      <c r="B501" s="14" t="s">
        <v>952</v>
      </c>
      <c r="C501" s="14" t="s">
        <v>942</v>
      </c>
      <c r="D501" s="28" t="s">
        <v>3168</v>
      </c>
      <c r="E501" s="43" t="s">
        <v>96</v>
      </c>
      <c r="F501" s="31" t="n">
        <f aca="false">WBS!T119</f>
        <v>3.5</v>
      </c>
      <c r="G501" s="14" t="str">
        <f aca="false">WBS!H119</f>
        <v>P1</v>
      </c>
      <c r="H501" s="14" t="str">
        <f aca="false">WBS!G119</f>
        <v>Must</v>
      </c>
      <c r="I501" s="6" t="s">
        <v>3169</v>
      </c>
      <c r="J501" s="14"/>
      <c r="K501" s="6"/>
      <c r="L501" s="41" t="s">
        <v>2065</v>
      </c>
    </row>
    <row r="502" customFormat="false" ht="15" hidden="false" customHeight="false" outlineLevel="0" collapsed="false">
      <c r="A502" s="14" t="s">
        <v>3170</v>
      </c>
      <c r="B502" s="14" t="s">
        <v>959</v>
      </c>
      <c r="C502" s="14" t="s">
        <v>942</v>
      </c>
      <c r="D502" s="28" t="s">
        <v>3171</v>
      </c>
      <c r="E502" s="40" t="s">
        <v>91</v>
      </c>
      <c r="F502" s="31" t="n">
        <f aca="false">WBS!R120</f>
        <v>1.8</v>
      </c>
      <c r="G502" s="14" t="str">
        <f aca="false">WBS!H120</f>
        <v>P2</v>
      </c>
      <c r="H502" s="14" t="str">
        <f aca="false">WBS!G120</f>
        <v>Must</v>
      </c>
      <c r="I502" s="6" t="s">
        <v>904</v>
      </c>
      <c r="J502" s="14"/>
      <c r="K502" s="6"/>
      <c r="L502" s="41" t="s">
        <v>2065</v>
      </c>
    </row>
    <row r="503" customFormat="false" ht="15" hidden="false" customHeight="false" outlineLevel="0" collapsed="false">
      <c r="A503" s="14" t="s">
        <v>3172</v>
      </c>
      <c r="B503" s="14" t="s">
        <v>959</v>
      </c>
      <c r="C503" s="14" t="s">
        <v>942</v>
      </c>
      <c r="D503" s="28" t="s">
        <v>3173</v>
      </c>
      <c r="E503" s="37" t="s">
        <v>128</v>
      </c>
      <c r="F503" s="31" t="n">
        <f aca="false">WBS!S120</f>
        <v>4</v>
      </c>
      <c r="G503" s="14" t="str">
        <f aca="false">WBS!H120</f>
        <v>P2</v>
      </c>
      <c r="H503" s="14" t="str">
        <f aca="false">WBS!G120</f>
        <v>Must</v>
      </c>
      <c r="I503" s="6" t="s">
        <v>3170</v>
      </c>
      <c r="J503" s="14"/>
      <c r="K503" s="6"/>
      <c r="L503" s="41" t="s">
        <v>2065</v>
      </c>
    </row>
    <row r="504" customFormat="false" ht="15" hidden="false" customHeight="false" outlineLevel="0" collapsed="false">
      <c r="A504" s="14" t="s">
        <v>3174</v>
      </c>
      <c r="B504" s="14" t="s">
        <v>959</v>
      </c>
      <c r="C504" s="14" t="s">
        <v>942</v>
      </c>
      <c r="D504" s="28" t="s">
        <v>3175</v>
      </c>
      <c r="E504" s="42" t="s">
        <v>2068</v>
      </c>
      <c r="F504" s="31" t="n">
        <f aca="false">WBS!P120</f>
        <v>5</v>
      </c>
      <c r="G504" s="14" t="str">
        <f aca="false">WBS!H120</f>
        <v>P2</v>
      </c>
      <c r="H504" s="14" t="str">
        <f aca="false">WBS!G120</f>
        <v>Must</v>
      </c>
      <c r="I504" s="6" t="s">
        <v>3170</v>
      </c>
      <c r="J504" s="14"/>
      <c r="K504" s="6"/>
      <c r="L504" s="41" t="s">
        <v>2065</v>
      </c>
    </row>
    <row r="505" customFormat="false" ht="15" hidden="false" customHeight="false" outlineLevel="0" collapsed="false">
      <c r="A505" s="14" t="s">
        <v>3176</v>
      </c>
      <c r="B505" s="14" t="s">
        <v>959</v>
      </c>
      <c r="C505" s="14" t="s">
        <v>942</v>
      </c>
      <c r="D505" s="28" t="s">
        <v>3177</v>
      </c>
      <c r="E505" s="22" t="s">
        <v>2071</v>
      </c>
      <c r="F505" s="31" t="n">
        <f aca="false">WBS!Q120</f>
        <v>10</v>
      </c>
      <c r="G505" s="14" t="str">
        <f aca="false">WBS!H120</f>
        <v>P2</v>
      </c>
      <c r="H505" s="14" t="str">
        <f aca="false">WBS!G120</f>
        <v>Must</v>
      </c>
      <c r="I505" s="6" t="s">
        <v>3172</v>
      </c>
      <c r="J505" s="14"/>
      <c r="K505" s="6"/>
      <c r="L505" s="41" t="s">
        <v>2065</v>
      </c>
    </row>
    <row r="506" customFormat="false" ht="15" hidden="false" customHeight="false" outlineLevel="0" collapsed="false">
      <c r="A506" s="14" t="s">
        <v>3178</v>
      </c>
      <c r="B506" s="14" t="s">
        <v>959</v>
      </c>
      <c r="C506" s="14" t="s">
        <v>942</v>
      </c>
      <c r="D506" s="28" t="s">
        <v>3179</v>
      </c>
      <c r="E506" s="43" t="s">
        <v>96</v>
      </c>
      <c r="F506" s="31" t="n">
        <f aca="false">WBS!T120</f>
        <v>5.3</v>
      </c>
      <c r="G506" s="14" t="str">
        <f aca="false">WBS!H120</f>
        <v>P2</v>
      </c>
      <c r="H506" s="14" t="str">
        <f aca="false">WBS!G120</f>
        <v>Must</v>
      </c>
      <c r="I506" s="6" t="s">
        <v>3180</v>
      </c>
      <c r="J506" s="14"/>
      <c r="K506" s="6"/>
      <c r="L506" s="41" t="s">
        <v>2065</v>
      </c>
    </row>
    <row r="507" customFormat="false" ht="15" hidden="false" customHeight="false" outlineLevel="0" collapsed="false">
      <c r="A507" s="14" t="s">
        <v>3181</v>
      </c>
      <c r="B507" s="14" t="s">
        <v>966</v>
      </c>
      <c r="C507" s="14" t="s">
        <v>942</v>
      </c>
      <c r="D507" s="28" t="s">
        <v>3182</v>
      </c>
      <c r="E507" s="40" t="s">
        <v>91</v>
      </c>
      <c r="F507" s="31" t="n">
        <f aca="false">WBS!R121</f>
        <v>1</v>
      </c>
      <c r="G507" s="14" t="str">
        <f aca="false">WBS!H121</f>
        <v>P2</v>
      </c>
      <c r="H507" s="14" t="str">
        <f aca="false">WBS!G121</f>
        <v>Must</v>
      </c>
      <c r="I507" s="6" t="s">
        <v>941</v>
      </c>
      <c r="J507" s="14"/>
      <c r="K507" s="6"/>
      <c r="L507" s="41" t="s">
        <v>2065</v>
      </c>
    </row>
    <row r="508" customFormat="false" ht="15" hidden="false" customHeight="false" outlineLevel="0" collapsed="false">
      <c r="A508" s="14" t="s">
        <v>3183</v>
      </c>
      <c r="B508" s="14" t="s">
        <v>966</v>
      </c>
      <c r="C508" s="14" t="s">
        <v>942</v>
      </c>
      <c r="D508" s="28" t="s">
        <v>3184</v>
      </c>
      <c r="E508" s="42" t="s">
        <v>2068</v>
      </c>
      <c r="F508" s="31" t="n">
        <f aca="false">WBS!P121</f>
        <v>5</v>
      </c>
      <c r="G508" s="14" t="str">
        <f aca="false">WBS!H121</f>
        <v>P2</v>
      </c>
      <c r="H508" s="14" t="str">
        <f aca="false">WBS!G121</f>
        <v>Must</v>
      </c>
      <c r="I508" s="6" t="s">
        <v>3181</v>
      </c>
      <c r="J508" s="14"/>
      <c r="K508" s="6"/>
      <c r="L508" s="41" t="s">
        <v>2065</v>
      </c>
    </row>
    <row r="509" customFormat="false" ht="15" hidden="false" customHeight="false" outlineLevel="0" collapsed="false">
      <c r="A509" s="14" t="s">
        <v>3185</v>
      </c>
      <c r="B509" s="14" t="s">
        <v>966</v>
      </c>
      <c r="C509" s="14" t="s">
        <v>942</v>
      </c>
      <c r="D509" s="28" t="s">
        <v>3186</v>
      </c>
      <c r="E509" s="22" t="s">
        <v>2071</v>
      </c>
      <c r="F509" s="31" t="n">
        <f aca="false">WBS!Q121</f>
        <v>3</v>
      </c>
      <c r="G509" s="14" t="str">
        <f aca="false">WBS!H121</f>
        <v>P2</v>
      </c>
      <c r="H509" s="14" t="str">
        <f aca="false">WBS!G121</f>
        <v>Must</v>
      </c>
      <c r="I509" s="6" t="s">
        <v>3181</v>
      </c>
      <c r="J509" s="14"/>
      <c r="K509" s="6"/>
      <c r="L509" s="41" t="s">
        <v>2065</v>
      </c>
    </row>
    <row r="510" customFormat="false" ht="15" hidden="false" customHeight="false" outlineLevel="0" collapsed="false">
      <c r="A510" s="14" t="s">
        <v>3187</v>
      </c>
      <c r="B510" s="14" t="s">
        <v>966</v>
      </c>
      <c r="C510" s="14" t="s">
        <v>942</v>
      </c>
      <c r="D510" s="28" t="s">
        <v>3188</v>
      </c>
      <c r="E510" s="43" t="s">
        <v>96</v>
      </c>
      <c r="F510" s="31" t="n">
        <f aca="false">WBS!T121</f>
        <v>2.8</v>
      </c>
      <c r="G510" s="14" t="str">
        <f aca="false">WBS!H121</f>
        <v>P2</v>
      </c>
      <c r="H510" s="14" t="str">
        <f aca="false">WBS!G121</f>
        <v>Must</v>
      </c>
      <c r="I510" s="6" t="s">
        <v>3189</v>
      </c>
      <c r="J510" s="14"/>
      <c r="K510" s="6"/>
      <c r="L510" s="41" t="s">
        <v>2065</v>
      </c>
    </row>
    <row r="511" customFormat="false" ht="15" hidden="false" customHeight="false" outlineLevel="0" collapsed="false">
      <c r="A511" s="14" t="s">
        <v>3190</v>
      </c>
      <c r="B511" s="14" t="s">
        <v>973</v>
      </c>
      <c r="C511" s="14" t="s">
        <v>942</v>
      </c>
      <c r="D511" s="28" t="s">
        <v>3191</v>
      </c>
      <c r="E511" s="40" t="s">
        <v>91</v>
      </c>
      <c r="F511" s="31" t="n">
        <f aca="false">WBS!R122</f>
        <v>0.5</v>
      </c>
      <c r="G511" s="14" t="str">
        <f aca="false">WBS!H122</f>
        <v>P2</v>
      </c>
      <c r="H511" s="14" t="str">
        <f aca="false">WBS!G122</f>
        <v>Must</v>
      </c>
      <c r="I511" s="6" t="s">
        <v>256</v>
      </c>
      <c r="J511" s="14"/>
      <c r="K511" s="6"/>
      <c r="L511" s="41" t="s">
        <v>2065</v>
      </c>
    </row>
    <row r="512" customFormat="false" ht="15" hidden="false" customHeight="false" outlineLevel="0" collapsed="false">
      <c r="A512" s="14" t="s">
        <v>3192</v>
      </c>
      <c r="B512" s="14" t="s">
        <v>973</v>
      </c>
      <c r="C512" s="14" t="s">
        <v>942</v>
      </c>
      <c r="D512" s="28" t="s">
        <v>3193</v>
      </c>
      <c r="E512" s="42" t="s">
        <v>2068</v>
      </c>
      <c r="F512" s="31" t="n">
        <f aca="false">WBS!P122</f>
        <v>3</v>
      </c>
      <c r="G512" s="14" t="str">
        <f aca="false">WBS!H122</f>
        <v>P2</v>
      </c>
      <c r="H512" s="14" t="str">
        <f aca="false">WBS!G122</f>
        <v>Must</v>
      </c>
      <c r="I512" s="6" t="s">
        <v>3190</v>
      </c>
      <c r="J512" s="14"/>
      <c r="K512" s="6"/>
      <c r="L512" s="41" t="s">
        <v>2065</v>
      </c>
    </row>
    <row r="513" customFormat="false" ht="15" hidden="false" customHeight="false" outlineLevel="0" collapsed="false">
      <c r="A513" s="14" t="s">
        <v>3194</v>
      </c>
      <c r="B513" s="14" t="s">
        <v>973</v>
      </c>
      <c r="C513" s="14" t="s">
        <v>942</v>
      </c>
      <c r="D513" s="28" t="s">
        <v>3195</v>
      </c>
      <c r="E513" s="22" t="s">
        <v>2071</v>
      </c>
      <c r="F513" s="31" t="n">
        <f aca="false">WBS!Q122</f>
        <v>1</v>
      </c>
      <c r="G513" s="14" t="str">
        <f aca="false">WBS!H122</f>
        <v>P2</v>
      </c>
      <c r="H513" s="14" t="str">
        <f aca="false">WBS!G122</f>
        <v>Must</v>
      </c>
      <c r="I513" s="6" t="s">
        <v>3190</v>
      </c>
      <c r="J513" s="14"/>
      <c r="K513" s="6"/>
      <c r="L513" s="41" t="s">
        <v>2065</v>
      </c>
    </row>
    <row r="514" customFormat="false" ht="15" hidden="false" customHeight="false" outlineLevel="0" collapsed="false">
      <c r="A514" s="14" t="s">
        <v>3196</v>
      </c>
      <c r="B514" s="14" t="s">
        <v>973</v>
      </c>
      <c r="C514" s="14" t="s">
        <v>942</v>
      </c>
      <c r="D514" s="28" t="s">
        <v>3197</v>
      </c>
      <c r="E514" s="43" t="s">
        <v>96</v>
      </c>
      <c r="F514" s="31" t="n">
        <f aca="false">WBS!T122</f>
        <v>1.4</v>
      </c>
      <c r="G514" s="14" t="str">
        <f aca="false">WBS!H122</f>
        <v>P2</v>
      </c>
      <c r="H514" s="14" t="str">
        <f aca="false">WBS!G122</f>
        <v>Must</v>
      </c>
      <c r="I514" s="6" t="s">
        <v>3198</v>
      </c>
      <c r="J514" s="14"/>
      <c r="K514" s="6"/>
      <c r="L514" s="41" t="s">
        <v>2065</v>
      </c>
    </row>
    <row r="515" customFormat="false" ht="15" hidden="false" customHeight="false" outlineLevel="0" collapsed="false">
      <c r="A515" s="14" t="s">
        <v>3199</v>
      </c>
      <c r="B515" s="14" t="s">
        <v>979</v>
      </c>
      <c r="C515" s="14" t="s">
        <v>942</v>
      </c>
      <c r="D515" s="28" t="s">
        <v>3200</v>
      </c>
      <c r="E515" s="40" t="s">
        <v>91</v>
      </c>
      <c r="F515" s="31" t="n">
        <f aca="false">WBS!R123</f>
        <v>0.5</v>
      </c>
      <c r="G515" s="14" t="str">
        <f aca="false">WBS!H123</f>
        <v>P3</v>
      </c>
      <c r="H515" s="14" t="str">
        <f aca="false">WBS!G123</f>
        <v>Should</v>
      </c>
      <c r="I515" s="6" t="s">
        <v>985</v>
      </c>
      <c r="J515" s="14"/>
      <c r="K515" s="6"/>
      <c r="L515" s="41" t="s">
        <v>2065</v>
      </c>
    </row>
    <row r="516" customFormat="false" ht="15" hidden="false" customHeight="false" outlineLevel="0" collapsed="false">
      <c r="A516" s="14" t="s">
        <v>3201</v>
      </c>
      <c r="B516" s="14" t="s">
        <v>979</v>
      </c>
      <c r="C516" s="14" t="s">
        <v>942</v>
      </c>
      <c r="D516" s="28" t="s">
        <v>3202</v>
      </c>
      <c r="E516" s="42" t="s">
        <v>2068</v>
      </c>
      <c r="F516" s="31" t="n">
        <f aca="false">WBS!P123</f>
        <v>1</v>
      </c>
      <c r="G516" s="14" t="str">
        <f aca="false">WBS!H123</f>
        <v>P3</v>
      </c>
      <c r="H516" s="14" t="str">
        <f aca="false">WBS!G123</f>
        <v>Should</v>
      </c>
      <c r="I516" s="6" t="s">
        <v>3199</v>
      </c>
      <c r="J516" s="14"/>
      <c r="K516" s="6"/>
      <c r="L516" s="41" t="s">
        <v>2065</v>
      </c>
    </row>
    <row r="517" customFormat="false" ht="15" hidden="false" customHeight="false" outlineLevel="0" collapsed="false">
      <c r="A517" s="14" t="s">
        <v>3203</v>
      </c>
      <c r="B517" s="14" t="s">
        <v>979</v>
      </c>
      <c r="C517" s="14" t="s">
        <v>942</v>
      </c>
      <c r="D517" s="28" t="s">
        <v>3204</v>
      </c>
      <c r="E517" s="22" t="s">
        <v>2071</v>
      </c>
      <c r="F517" s="31" t="n">
        <f aca="false">WBS!Q123</f>
        <v>3</v>
      </c>
      <c r="G517" s="14" t="str">
        <f aca="false">WBS!H123</f>
        <v>P3</v>
      </c>
      <c r="H517" s="14" t="str">
        <f aca="false">WBS!G123</f>
        <v>Should</v>
      </c>
      <c r="I517" s="6" t="s">
        <v>3199</v>
      </c>
      <c r="J517" s="14"/>
      <c r="K517" s="6"/>
      <c r="L517" s="41" t="s">
        <v>2065</v>
      </c>
    </row>
    <row r="518" customFormat="false" ht="15" hidden="false" customHeight="false" outlineLevel="0" collapsed="false">
      <c r="A518" s="14" t="s">
        <v>3205</v>
      </c>
      <c r="B518" s="14" t="s">
        <v>979</v>
      </c>
      <c r="C518" s="14" t="s">
        <v>942</v>
      </c>
      <c r="D518" s="28" t="s">
        <v>3206</v>
      </c>
      <c r="E518" s="43" t="s">
        <v>96</v>
      </c>
      <c r="F518" s="31" t="n">
        <f aca="false">WBS!T123</f>
        <v>1.4</v>
      </c>
      <c r="G518" s="14" t="str">
        <f aca="false">WBS!H123</f>
        <v>P3</v>
      </c>
      <c r="H518" s="14" t="str">
        <f aca="false">WBS!G123</f>
        <v>Should</v>
      </c>
      <c r="I518" s="6" t="s">
        <v>3207</v>
      </c>
      <c r="J518" s="14"/>
      <c r="K518" s="6"/>
      <c r="L518" s="41" t="s">
        <v>2065</v>
      </c>
    </row>
    <row r="519" customFormat="false" ht="15" hidden="false" customHeight="false" outlineLevel="0" collapsed="false">
      <c r="A519" s="14" t="s">
        <v>3208</v>
      </c>
      <c r="B519" s="14" t="s">
        <v>986</v>
      </c>
      <c r="C519" s="14" t="s">
        <v>942</v>
      </c>
      <c r="D519" s="28" t="s">
        <v>3209</v>
      </c>
      <c r="E519" s="40" t="s">
        <v>91</v>
      </c>
      <c r="F519" s="31" t="n">
        <f aca="false">WBS!R124</f>
        <v>0.5</v>
      </c>
      <c r="G519" s="14" t="str">
        <f aca="false">WBS!H124</f>
        <v>P3</v>
      </c>
      <c r="H519" s="14" t="str">
        <f aca="false">WBS!G124</f>
        <v>Should</v>
      </c>
      <c r="I519" s="6" t="s">
        <v>985</v>
      </c>
      <c r="J519" s="14"/>
      <c r="K519" s="6"/>
      <c r="L519" s="41" t="s">
        <v>2065</v>
      </c>
    </row>
    <row r="520" customFormat="false" ht="15" hidden="false" customHeight="false" outlineLevel="0" collapsed="false">
      <c r="A520" s="14" t="s">
        <v>3210</v>
      </c>
      <c r="B520" s="14" t="s">
        <v>986</v>
      </c>
      <c r="C520" s="14" t="s">
        <v>942</v>
      </c>
      <c r="D520" s="28" t="s">
        <v>3211</v>
      </c>
      <c r="E520" s="42" t="s">
        <v>2068</v>
      </c>
      <c r="F520" s="31" t="n">
        <f aca="false">WBS!P124</f>
        <v>1</v>
      </c>
      <c r="G520" s="14" t="str">
        <f aca="false">WBS!H124</f>
        <v>P3</v>
      </c>
      <c r="H520" s="14" t="str">
        <f aca="false">WBS!G124</f>
        <v>Should</v>
      </c>
      <c r="I520" s="6" t="s">
        <v>3208</v>
      </c>
      <c r="J520" s="14"/>
      <c r="K520" s="6"/>
      <c r="L520" s="41" t="s">
        <v>2065</v>
      </c>
    </row>
    <row r="521" customFormat="false" ht="15" hidden="false" customHeight="false" outlineLevel="0" collapsed="false">
      <c r="A521" s="14" t="s">
        <v>3212</v>
      </c>
      <c r="B521" s="14" t="s">
        <v>986</v>
      </c>
      <c r="C521" s="14" t="s">
        <v>942</v>
      </c>
      <c r="D521" s="28" t="s">
        <v>3213</v>
      </c>
      <c r="E521" s="22" t="s">
        <v>2071</v>
      </c>
      <c r="F521" s="31" t="n">
        <f aca="false">WBS!Q124</f>
        <v>3</v>
      </c>
      <c r="G521" s="14" t="str">
        <f aca="false">WBS!H124</f>
        <v>P3</v>
      </c>
      <c r="H521" s="14" t="str">
        <f aca="false">WBS!G124</f>
        <v>Should</v>
      </c>
      <c r="I521" s="6" t="s">
        <v>3208</v>
      </c>
      <c r="J521" s="14"/>
      <c r="K521" s="6"/>
      <c r="L521" s="41" t="s">
        <v>2065</v>
      </c>
    </row>
    <row r="522" customFormat="false" ht="15" hidden="false" customHeight="false" outlineLevel="0" collapsed="false">
      <c r="A522" s="14" t="s">
        <v>3214</v>
      </c>
      <c r="B522" s="14" t="s">
        <v>986</v>
      </c>
      <c r="C522" s="14" t="s">
        <v>942</v>
      </c>
      <c r="D522" s="28" t="s">
        <v>3215</v>
      </c>
      <c r="E522" s="43" t="s">
        <v>96</v>
      </c>
      <c r="F522" s="31" t="n">
        <f aca="false">WBS!T124</f>
        <v>1.4</v>
      </c>
      <c r="G522" s="14" t="str">
        <f aca="false">WBS!H124</f>
        <v>P3</v>
      </c>
      <c r="H522" s="14" t="str">
        <f aca="false">WBS!G124</f>
        <v>Should</v>
      </c>
      <c r="I522" s="6" t="s">
        <v>3216</v>
      </c>
      <c r="J522" s="14"/>
      <c r="K522" s="6"/>
      <c r="L522" s="41" t="s">
        <v>2065</v>
      </c>
    </row>
    <row r="523" customFormat="false" ht="15" hidden="false" customHeight="false" outlineLevel="0" collapsed="false">
      <c r="A523" s="14" t="s">
        <v>3217</v>
      </c>
      <c r="B523" s="14" t="s">
        <v>993</v>
      </c>
      <c r="C523" s="14" t="s">
        <v>942</v>
      </c>
      <c r="D523" s="28" t="s">
        <v>3218</v>
      </c>
      <c r="E523" s="40" t="s">
        <v>91</v>
      </c>
      <c r="F523" s="31" t="n">
        <f aca="false">WBS!R125</f>
        <v>0.7</v>
      </c>
      <c r="G523" s="14" t="str">
        <f aca="false">WBS!H125</f>
        <v>P3</v>
      </c>
      <c r="H523" s="14" t="str">
        <f aca="false">WBS!G125</f>
        <v>Should</v>
      </c>
      <c r="I523" s="6" t="s">
        <v>826</v>
      </c>
      <c r="J523" s="14"/>
      <c r="K523" s="6"/>
      <c r="L523" s="41" t="s">
        <v>2065</v>
      </c>
    </row>
    <row r="524" customFormat="false" ht="15" hidden="false" customHeight="false" outlineLevel="0" collapsed="false">
      <c r="A524" s="14" t="s">
        <v>3219</v>
      </c>
      <c r="B524" s="14" t="s">
        <v>993</v>
      </c>
      <c r="C524" s="14" t="s">
        <v>942</v>
      </c>
      <c r="D524" s="28" t="s">
        <v>3220</v>
      </c>
      <c r="E524" s="42" t="s">
        <v>2068</v>
      </c>
      <c r="F524" s="31" t="n">
        <f aca="false">WBS!P125</f>
        <v>3</v>
      </c>
      <c r="G524" s="14" t="str">
        <f aca="false">WBS!H125</f>
        <v>P3</v>
      </c>
      <c r="H524" s="14" t="str">
        <f aca="false">WBS!G125</f>
        <v>Should</v>
      </c>
      <c r="I524" s="6" t="s">
        <v>3217</v>
      </c>
      <c r="J524" s="14"/>
      <c r="K524" s="6"/>
      <c r="L524" s="41" t="s">
        <v>2065</v>
      </c>
    </row>
    <row r="525" customFormat="false" ht="15" hidden="false" customHeight="false" outlineLevel="0" collapsed="false">
      <c r="A525" s="14" t="s">
        <v>3221</v>
      </c>
      <c r="B525" s="14" t="s">
        <v>993</v>
      </c>
      <c r="C525" s="14" t="s">
        <v>942</v>
      </c>
      <c r="D525" s="28" t="s">
        <v>3222</v>
      </c>
      <c r="E525" s="22" t="s">
        <v>2071</v>
      </c>
      <c r="F525" s="31" t="n">
        <f aca="false">WBS!Q125</f>
        <v>3</v>
      </c>
      <c r="G525" s="14" t="str">
        <f aca="false">WBS!H125</f>
        <v>P3</v>
      </c>
      <c r="H525" s="14" t="str">
        <f aca="false">WBS!G125</f>
        <v>Should</v>
      </c>
      <c r="I525" s="6" t="s">
        <v>3217</v>
      </c>
      <c r="J525" s="14"/>
      <c r="K525" s="6"/>
      <c r="L525" s="41" t="s">
        <v>2065</v>
      </c>
    </row>
    <row r="526" customFormat="false" ht="15" hidden="false" customHeight="false" outlineLevel="0" collapsed="false">
      <c r="A526" s="14" t="s">
        <v>3223</v>
      </c>
      <c r="B526" s="14" t="s">
        <v>993</v>
      </c>
      <c r="C526" s="14" t="s">
        <v>942</v>
      </c>
      <c r="D526" s="28" t="s">
        <v>3224</v>
      </c>
      <c r="E526" s="43" t="s">
        <v>96</v>
      </c>
      <c r="F526" s="31" t="n">
        <f aca="false">WBS!T125</f>
        <v>2.1</v>
      </c>
      <c r="G526" s="14" t="str">
        <f aca="false">WBS!H125</f>
        <v>P3</v>
      </c>
      <c r="H526" s="14" t="str">
        <f aca="false">WBS!G125</f>
        <v>Should</v>
      </c>
      <c r="I526" s="6" t="s">
        <v>3225</v>
      </c>
      <c r="J526" s="14"/>
      <c r="K526" s="6"/>
      <c r="L526" s="41" t="s">
        <v>2065</v>
      </c>
    </row>
    <row r="527" customFormat="false" ht="15" hidden="false" customHeight="false" outlineLevel="0" collapsed="false">
      <c r="A527" s="14" t="s">
        <v>3226</v>
      </c>
      <c r="B527" s="14" t="s">
        <v>1000</v>
      </c>
      <c r="C527" s="14" t="s">
        <v>942</v>
      </c>
      <c r="D527" s="28" t="s">
        <v>3227</v>
      </c>
      <c r="E527" s="40" t="s">
        <v>91</v>
      </c>
      <c r="F527" s="31" t="n">
        <f aca="false">WBS!R126</f>
        <v>1.2</v>
      </c>
      <c r="G527" s="14" t="str">
        <f aca="false">WBS!H126</f>
        <v>P3</v>
      </c>
      <c r="H527" s="14" t="str">
        <f aca="false">WBS!G126</f>
        <v>Should</v>
      </c>
      <c r="I527" s="6" t="s">
        <v>941</v>
      </c>
      <c r="J527" s="14"/>
      <c r="K527" s="6"/>
      <c r="L527" s="41" t="s">
        <v>2065</v>
      </c>
    </row>
    <row r="528" customFormat="false" ht="15" hidden="false" customHeight="false" outlineLevel="0" collapsed="false">
      <c r="A528" s="14" t="s">
        <v>3228</v>
      </c>
      <c r="B528" s="14" t="s">
        <v>1000</v>
      </c>
      <c r="C528" s="14" t="s">
        <v>942</v>
      </c>
      <c r="D528" s="28" t="s">
        <v>3229</v>
      </c>
      <c r="E528" s="42" t="s">
        <v>2068</v>
      </c>
      <c r="F528" s="31" t="n">
        <f aca="false">WBS!P126</f>
        <v>5</v>
      </c>
      <c r="G528" s="14" t="str">
        <f aca="false">WBS!H126</f>
        <v>P3</v>
      </c>
      <c r="H528" s="14" t="str">
        <f aca="false">WBS!G126</f>
        <v>Should</v>
      </c>
      <c r="I528" s="6" t="s">
        <v>3226</v>
      </c>
      <c r="J528" s="14"/>
      <c r="K528" s="6"/>
      <c r="L528" s="41" t="s">
        <v>2065</v>
      </c>
    </row>
    <row r="529" customFormat="false" ht="15" hidden="false" customHeight="false" outlineLevel="0" collapsed="false">
      <c r="A529" s="14" t="s">
        <v>3230</v>
      </c>
      <c r="B529" s="14" t="s">
        <v>1000</v>
      </c>
      <c r="C529" s="14" t="s">
        <v>942</v>
      </c>
      <c r="D529" s="28" t="s">
        <v>3231</v>
      </c>
      <c r="E529" s="22" t="s">
        <v>2071</v>
      </c>
      <c r="F529" s="31" t="n">
        <f aca="false">WBS!Q126</f>
        <v>5</v>
      </c>
      <c r="G529" s="14" t="str">
        <f aca="false">WBS!H126</f>
        <v>P3</v>
      </c>
      <c r="H529" s="14" t="str">
        <f aca="false">WBS!G126</f>
        <v>Should</v>
      </c>
      <c r="I529" s="6" t="s">
        <v>3226</v>
      </c>
      <c r="J529" s="14"/>
      <c r="K529" s="6"/>
      <c r="L529" s="41" t="s">
        <v>2065</v>
      </c>
    </row>
    <row r="530" customFormat="false" ht="15" hidden="false" customHeight="false" outlineLevel="0" collapsed="false">
      <c r="A530" s="14" t="s">
        <v>3232</v>
      </c>
      <c r="B530" s="14" t="s">
        <v>1000</v>
      </c>
      <c r="C530" s="14" t="s">
        <v>942</v>
      </c>
      <c r="D530" s="28" t="s">
        <v>3233</v>
      </c>
      <c r="E530" s="43" t="s">
        <v>96</v>
      </c>
      <c r="F530" s="31" t="n">
        <f aca="false">WBS!T126</f>
        <v>3.5</v>
      </c>
      <c r="G530" s="14" t="str">
        <f aca="false">WBS!H126</f>
        <v>P3</v>
      </c>
      <c r="H530" s="14" t="str">
        <f aca="false">WBS!G126</f>
        <v>Should</v>
      </c>
      <c r="I530" s="6" t="s">
        <v>3234</v>
      </c>
      <c r="J530" s="14"/>
      <c r="K530" s="6"/>
      <c r="L530" s="41" t="s">
        <v>2065</v>
      </c>
    </row>
    <row r="531" customFormat="false" ht="15" hidden="false" customHeight="false" outlineLevel="0" collapsed="false">
      <c r="A531" s="14" t="s">
        <v>3235</v>
      </c>
      <c r="B531" s="14" t="s">
        <v>1006</v>
      </c>
      <c r="C531" s="14" t="s">
        <v>942</v>
      </c>
      <c r="D531" s="28" t="s">
        <v>3236</v>
      </c>
      <c r="E531" s="40" t="s">
        <v>91</v>
      </c>
      <c r="F531" s="31" t="n">
        <f aca="false">WBS!R127</f>
        <v>0.2</v>
      </c>
      <c r="G531" s="14" t="str">
        <f aca="false">WBS!H127</f>
        <v>P3</v>
      </c>
      <c r="H531" s="14" t="str">
        <f aca="false">WBS!G127</f>
        <v>Should</v>
      </c>
      <c r="I531" s="6" t="s">
        <v>156</v>
      </c>
      <c r="J531" s="14"/>
      <c r="K531" s="6"/>
      <c r="L531" s="41" t="s">
        <v>2065</v>
      </c>
    </row>
    <row r="532" customFormat="false" ht="15" hidden="false" customHeight="false" outlineLevel="0" collapsed="false">
      <c r="A532" s="14" t="s">
        <v>3237</v>
      </c>
      <c r="B532" s="14" t="s">
        <v>1006</v>
      </c>
      <c r="C532" s="14" t="s">
        <v>942</v>
      </c>
      <c r="D532" s="28" t="s">
        <v>3238</v>
      </c>
      <c r="E532" s="42" t="s">
        <v>2068</v>
      </c>
      <c r="F532" s="31" t="n">
        <f aca="false">WBS!P127</f>
        <v>1</v>
      </c>
      <c r="G532" s="14" t="str">
        <f aca="false">WBS!H127</f>
        <v>P3</v>
      </c>
      <c r="H532" s="14" t="str">
        <f aca="false">WBS!G127</f>
        <v>Should</v>
      </c>
      <c r="I532" s="6" t="s">
        <v>3235</v>
      </c>
      <c r="J532" s="14"/>
      <c r="K532" s="6"/>
      <c r="L532" s="41" t="s">
        <v>2065</v>
      </c>
    </row>
    <row r="533" customFormat="false" ht="15" hidden="false" customHeight="false" outlineLevel="0" collapsed="false">
      <c r="A533" s="14" t="s">
        <v>3239</v>
      </c>
      <c r="B533" s="14" t="s">
        <v>1006</v>
      </c>
      <c r="C533" s="14" t="s">
        <v>942</v>
      </c>
      <c r="D533" s="28" t="s">
        <v>3240</v>
      </c>
      <c r="E533" s="22" t="s">
        <v>2071</v>
      </c>
      <c r="F533" s="31" t="n">
        <f aca="false">WBS!Q127</f>
        <v>1</v>
      </c>
      <c r="G533" s="14" t="str">
        <f aca="false">WBS!H127</f>
        <v>P3</v>
      </c>
      <c r="H533" s="14" t="str">
        <f aca="false">WBS!G127</f>
        <v>Should</v>
      </c>
      <c r="I533" s="6" t="s">
        <v>3235</v>
      </c>
      <c r="J533" s="14"/>
      <c r="K533" s="6"/>
      <c r="L533" s="41" t="s">
        <v>2065</v>
      </c>
    </row>
    <row r="534" customFormat="false" ht="15" hidden="false" customHeight="false" outlineLevel="0" collapsed="false">
      <c r="A534" s="14" t="s">
        <v>3241</v>
      </c>
      <c r="B534" s="14" t="s">
        <v>1006</v>
      </c>
      <c r="C534" s="14" t="s">
        <v>942</v>
      </c>
      <c r="D534" s="28" t="s">
        <v>3242</v>
      </c>
      <c r="E534" s="43" t="s">
        <v>96</v>
      </c>
      <c r="F534" s="31" t="n">
        <f aca="false">WBS!T127</f>
        <v>0.7</v>
      </c>
      <c r="G534" s="14" t="str">
        <f aca="false">WBS!H127</f>
        <v>P3</v>
      </c>
      <c r="H534" s="14" t="str">
        <f aca="false">WBS!G127</f>
        <v>Should</v>
      </c>
      <c r="I534" s="6" t="s">
        <v>3243</v>
      </c>
      <c r="J534" s="14"/>
      <c r="K534" s="6"/>
      <c r="L534" s="41" t="s">
        <v>2065</v>
      </c>
    </row>
    <row r="535" customFormat="false" ht="15" hidden="false" customHeight="false" outlineLevel="0" collapsed="false">
      <c r="A535" s="14" t="s">
        <v>3244</v>
      </c>
      <c r="B535" s="14" t="s">
        <v>1012</v>
      </c>
      <c r="C535" s="14" t="s">
        <v>942</v>
      </c>
      <c r="D535" s="28" t="s">
        <v>3245</v>
      </c>
      <c r="E535" s="40" t="s">
        <v>91</v>
      </c>
      <c r="F535" s="31" t="n">
        <f aca="false">WBS!R128</f>
        <v>1</v>
      </c>
      <c r="G535" s="14" t="str">
        <f aca="false">WBS!H128</f>
        <v>P3</v>
      </c>
      <c r="H535" s="14" t="str">
        <f aca="false">WBS!G128</f>
        <v>Should</v>
      </c>
      <c r="I535" s="6" t="s">
        <v>1000</v>
      </c>
      <c r="J535" s="14"/>
      <c r="K535" s="6"/>
      <c r="L535" s="41" t="s">
        <v>2065</v>
      </c>
    </row>
    <row r="536" customFormat="false" ht="15" hidden="false" customHeight="false" outlineLevel="0" collapsed="false">
      <c r="A536" s="14" t="s">
        <v>3246</v>
      </c>
      <c r="B536" s="14" t="s">
        <v>1012</v>
      </c>
      <c r="C536" s="14" t="s">
        <v>942</v>
      </c>
      <c r="D536" s="28" t="s">
        <v>3247</v>
      </c>
      <c r="E536" s="42" t="s">
        <v>2068</v>
      </c>
      <c r="F536" s="31" t="n">
        <f aca="false">WBS!P128</f>
        <v>5</v>
      </c>
      <c r="G536" s="14" t="str">
        <f aca="false">WBS!H128</f>
        <v>P3</v>
      </c>
      <c r="H536" s="14" t="str">
        <f aca="false">WBS!G128</f>
        <v>Should</v>
      </c>
      <c r="I536" s="6" t="s">
        <v>3244</v>
      </c>
      <c r="J536" s="14"/>
      <c r="K536" s="6"/>
      <c r="L536" s="41" t="s">
        <v>2065</v>
      </c>
    </row>
    <row r="537" customFormat="false" ht="15" hidden="false" customHeight="false" outlineLevel="0" collapsed="false">
      <c r="A537" s="14" t="s">
        <v>3248</v>
      </c>
      <c r="B537" s="14" t="s">
        <v>1012</v>
      </c>
      <c r="C537" s="14" t="s">
        <v>942</v>
      </c>
      <c r="D537" s="28" t="s">
        <v>3249</v>
      </c>
      <c r="E537" s="22" t="s">
        <v>2071</v>
      </c>
      <c r="F537" s="31" t="n">
        <f aca="false">WBS!Q128</f>
        <v>3</v>
      </c>
      <c r="G537" s="14" t="str">
        <f aca="false">WBS!H128</f>
        <v>P3</v>
      </c>
      <c r="H537" s="14" t="str">
        <f aca="false">WBS!G128</f>
        <v>Should</v>
      </c>
      <c r="I537" s="6" t="s">
        <v>3244</v>
      </c>
      <c r="J537" s="14"/>
      <c r="K537" s="6"/>
      <c r="L537" s="41" t="s">
        <v>2065</v>
      </c>
    </row>
    <row r="538" customFormat="false" ht="15" hidden="false" customHeight="false" outlineLevel="0" collapsed="false">
      <c r="A538" s="14" t="s">
        <v>3250</v>
      </c>
      <c r="B538" s="14" t="s">
        <v>1012</v>
      </c>
      <c r="C538" s="14" t="s">
        <v>942</v>
      </c>
      <c r="D538" s="28" t="s">
        <v>3251</v>
      </c>
      <c r="E538" s="43" t="s">
        <v>96</v>
      </c>
      <c r="F538" s="31" t="n">
        <f aca="false">WBS!T128</f>
        <v>2.8</v>
      </c>
      <c r="G538" s="14" t="str">
        <f aca="false">WBS!H128</f>
        <v>P3</v>
      </c>
      <c r="H538" s="14" t="str">
        <f aca="false">WBS!G128</f>
        <v>Should</v>
      </c>
      <c r="I538" s="6" t="s">
        <v>3252</v>
      </c>
      <c r="J538" s="14"/>
      <c r="K538" s="6"/>
      <c r="L538" s="41" t="s">
        <v>2065</v>
      </c>
    </row>
    <row r="539" customFormat="false" ht="15" hidden="false" customHeight="false" outlineLevel="0" collapsed="false">
      <c r="A539" s="14" t="s">
        <v>3253</v>
      </c>
      <c r="B539" s="14" t="s">
        <v>1018</v>
      </c>
      <c r="C539" s="14" t="s">
        <v>942</v>
      </c>
      <c r="D539" s="28" t="s">
        <v>3254</v>
      </c>
      <c r="E539" s="40" t="s">
        <v>91</v>
      </c>
      <c r="F539" s="31" t="n">
        <f aca="false">WBS!R129</f>
        <v>0.7</v>
      </c>
      <c r="G539" s="14" t="str">
        <f aca="false">WBS!H129</f>
        <v>P3</v>
      </c>
      <c r="H539" s="14" t="str">
        <f aca="false">WBS!G129</f>
        <v>Should</v>
      </c>
      <c r="I539" s="6" t="s">
        <v>170</v>
      </c>
      <c r="J539" s="14"/>
      <c r="K539" s="6"/>
      <c r="L539" s="41" t="s">
        <v>2065</v>
      </c>
    </row>
    <row r="540" customFormat="false" ht="15" hidden="false" customHeight="false" outlineLevel="0" collapsed="false">
      <c r="A540" s="14" t="s">
        <v>3255</v>
      </c>
      <c r="B540" s="14" t="s">
        <v>1018</v>
      </c>
      <c r="C540" s="14" t="s">
        <v>942</v>
      </c>
      <c r="D540" s="28" t="s">
        <v>3256</v>
      </c>
      <c r="E540" s="42" t="s">
        <v>2068</v>
      </c>
      <c r="F540" s="31" t="n">
        <f aca="false">WBS!P129</f>
        <v>3</v>
      </c>
      <c r="G540" s="14" t="str">
        <f aca="false">WBS!H129</f>
        <v>P3</v>
      </c>
      <c r="H540" s="14" t="str">
        <f aca="false">WBS!G129</f>
        <v>Should</v>
      </c>
      <c r="I540" s="6" t="s">
        <v>3253</v>
      </c>
      <c r="J540" s="14"/>
      <c r="K540" s="6"/>
      <c r="L540" s="41" t="s">
        <v>2065</v>
      </c>
    </row>
    <row r="541" customFormat="false" ht="15" hidden="false" customHeight="false" outlineLevel="0" collapsed="false">
      <c r="A541" s="14" t="s">
        <v>3257</v>
      </c>
      <c r="B541" s="14" t="s">
        <v>1018</v>
      </c>
      <c r="C541" s="14" t="s">
        <v>942</v>
      </c>
      <c r="D541" s="28" t="s">
        <v>3258</v>
      </c>
      <c r="E541" s="22" t="s">
        <v>2071</v>
      </c>
      <c r="F541" s="31" t="n">
        <f aca="false">WBS!Q129</f>
        <v>3</v>
      </c>
      <c r="G541" s="14" t="str">
        <f aca="false">WBS!H129</f>
        <v>P3</v>
      </c>
      <c r="H541" s="14" t="str">
        <f aca="false">WBS!G129</f>
        <v>Should</v>
      </c>
      <c r="I541" s="6" t="s">
        <v>3253</v>
      </c>
      <c r="J541" s="14"/>
      <c r="K541" s="6"/>
      <c r="L541" s="41" t="s">
        <v>2065</v>
      </c>
    </row>
    <row r="542" customFormat="false" ht="15" hidden="false" customHeight="false" outlineLevel="0" collapsed="false">
      <c r="A542" s="14" t="s">
        <v>3259</v>
      </c>
      <c r="B542" s="14" t="s">
        <v>1018</v>
      </c>
      <c r="C542" s="14" t="s">
        <v>942</v>
      </c>
      <c r="D542" s="28" t="s">
        <v>3260</v>
      </c>
      <c r="E542" s="43" t="s">
        <v>96</v>
      </c>
      <c r="F542" s="31" t="n">
        <f aca="false">WBS!T129</f>
        <v>2.1</v>
      </c>
      <c r="G542" s="14" t="str">
        <f aca="false">WBS!H129</f>
        <v>P3</v>
      </c>
      <c r="H542" s="14" t="str">
        <f aca="false">WBS!G129</f>
        <v>Should</v>
      </c>
      <c r="I542" s="6" t="s">
        <v>3261</v>
      </c>
      <c r="J542" s="14"/>
      <c r="K542" s="6"/>
      <c r="L542" s="41" t="s">
        <v>2065</v>
      </c>
    </row>
    <row r="543" customFormat="false" ht="15" hidden="false" customHeight="false" outlineLevel="0" collapsed="false">
      <c r="A543" s="14" t="s">
        <v>3262</v>
      </c>
      <c r="B543" s="14" t="s">
        <v>1024</v>
      </c>
      <c r="C543" s="14" t="s">
        <v>942</v>
      </c>
      <c r="D543" s="28" t="s">
        <v>3263</v>
      </c>
      <c r="E543" s="40" t="s">
        <v>91</v>
      </c>
      <c r="F543" s="31" t="n">
        <f aca="false">WBS!R130</f>
        <v>1</v>
      </c>
      <c r="G543" s="14" t="str">
        <f aca="false">WBS!H130</f>
        <v>P4</v>
      </c>
      <c r="H543" s="14" t="str">
        <f aca="false">WBS!G130</f>
        <v>Nice-to-have</v>
      </c>
      <c r="I543" s="6" t="s">
        <v>284</v>
      </c>
      <c r="J543" s="14"/>
      <c r="K543" s="6"/>
      <c r="L543" s="41" t="s">
        <v>2065</v>
      </c>
    </row>
    <row r="544" customFormat="false" ht="15" hidden="false" customHeight="false" outlineLevel="0" collapsed="false">
      <c r="A544" s="14" t="s">
        <v>3264</v>
      </c>
      <c r="B544" s="14" t="s">
        <v>1024</v>
      </c>
      <c r="C544" s="14" t="s">
        <v>942</v>
      </c>
      <c r="D544" s="28" t="s">
        <v>3265</v>
      </c>
      <c r="E544" s="42" t="s">
        <v>2068</v>
      </c>
      <c r="F544" s="31" t="n">
        <f aca="false">WBS!P130</f>
        <v>5</v>
      </c>
      <c r="G544" s="14" t="str">
        <f aca="false">WBS!H130</f>
        <v>P4</v>
      </c>
      <c r="H544" s="14" t="str">
        <f aca="false">WBS!G130</f>
        <v>Nice-to-have</v>
      </c>
      <c r="I544" s="6" t="s">
        <v>3262</v>
      </c>
      <c r="J544" s="14"/>
      <c r="K544" s="6"/>
      <c r="L544" s="41" t="s">
        <v>2065</v>
      </c>
    </row>
    <row r="545" customFormat="false" ht="15" hidden="false" customHeight="false" outlineLevel="0" collapsed="false">
      <c r="A545" s="14" t="s">
        <v>3266</v>
      </c>
      <c r="B545" s="14" t="s">
        <v>1024</v>
      </c>
      <c r="C545" s="14" t="s">
        <v>942</v>
      </c>
      <c r="D545" s="28" t="s">
        <v>3267</v>
      </c>
      <c r="E545" s="22" t="s">
        <v>2071</v>
      </c>
      <c r="F545" s="31" t="n">
        <f aca="false">WBS!Q130</f>
        <v>3</v>
      </c>
      <c r="G545" s="14" t="str">
        <f aca="false">WBS!H130</f>
        <v>P4</v>
      </c>
      <c r="H545" s="14" t="str">
        <f aca="false">WBS!G130</f>
        <v>Nice-to-have</v>
      </c>
      <c r="I545" s="6" t="s">
        <v>3262</v>
      </c>
      <c r="J545" s="14"/>
      <c r="K545" s="6"/>
      <c r="L545" s="41" t="s">
        <v>2065</v>
      </c>
    </row>
    <row r="546" customFormat="false" ht="15" hidden="false" customHeight="false" outlineLevel="0" collapsed="false">
      <c r="A546" s="14" t="s">
        <v>3268</v>
      </c>
      <c r="B546" s="14" t="s">
        <v>1024</v>
      </c>
      <c r="C546" s="14" t="s">
        <v>942</v>
      </c>
      <c r="D546" s="28" t="s">
        <v>3269</v>
      </c>
      <c r="E546" s="43" t="s">
        <v>96</v>
      </c>
      <c r="F546" s="31" t="n">
        <f aca="false">WBS!T130</f>
        <v>2.8</v>
      </c>
      <c r="G546" s="14" t="str">
        <f aca="false">WBS!H130</f>
        <v>P4</v>
      </c>
      <c r="H546" s="14" t="str">
        <f aca="false">WBS!G130</f>
        <v>Nice-to-have</v>
      </c>
      <c r="I546" s="6" t="s">
        <v>3270</v>
      </c>
      <c r="J546" s="14"/>
      <c r="K546" s="6"/>
      <c r="L546" s="41" t="s">
        <v>2065</v>
      </c>
    </row>
    <row r="547" customFormat="false" ht="15" hidden="false" customHeight="false" outlineLevel="0" collapsed="false">
      <c r="A547" s="14" t="s">
        <v>3271</v>
      </c>
      <c r="B547" s="14" t="s">
        <v>1031</v>
      </c>
      <c r="C547" s="14" t="s">
        <v>1032</v>
      </c>
      <c r="D547" s="28" t="s">
        <v>3272</v>
      </c>
      <c r="E547" s="40" t="s">
        <v>91</v>
      </c>
      <c r="F547" s="31" t="n">
        <f aca="false">WBS!R131</f>
        <v>3</v>
      </c>
      <c r="G547" s="14" t="str">
        <f aca="false">WBS!H131</f>
        <v>P2</v>
      </c>
      <c r="H547" s="14" t="str">
        <f aca="false">WBS!G131</f>
        <v>Must</v>
      </c>
      <c r="I547" s="6" t="s">
        <v>819</v>
      </c>
      <c r="J547" s="14"/>
      <c r="K547" s="6"/>
      <c r="L547" s="41" t="s">
        <v>2065</v>
      </c>
    </row>
    <row r="548" customFormat="false" ht="15" hidden="false" customHeight="false" outlineLevel="0" collapsed="false">
      <c r="A548" s="14" t="s">
        <v>3273</v>
      </c>
      <c r="B548" s="14" t="s">
        <v>1031</v>
      </c>
      <c r="C548" s="14" t="s">
        <v>1032</v>
      </c>
      <c r="D548" s="28" t="s">
        <v>3274</v>
      </c>
      <c r="E548" s="37" t="s">
        <v>128</v>
      </c>
      <c r="F548" s="31" t="n">
        <f aca="false">WBS!S131</f>
        <v>8</v>
      </c>
      <c r="G548" s="14" t="str">
        <f aca="false">WBS!H131</f>
        <v>P2</v>
      </c>
      <c r="H548" s="14" t="str">
        <f aca="false">WBS!G131</f>
        <v>Must</v>
      </c>
      <c r="I548" s="6" t="s">
        <v>3271</v>
      </c>
      <c r="J548" s="14"/>
      <c r="K548" s="6"/>
      <c r="L548" s="41" t="s">
        <v>2065</v>
      </c>
    </row>
    <row r="549" customFormat="false" ht="22.35" hidden="false" customHeight="false" outlineLevel="0" collapsed="false">
      <c r="A549" s="14" t="s">
        <v>3275</v>
      </c>
      <c r="B549" s="14" t="s">
        <v>1031</v>
      </c>
      <c r="C549" s="14" t="s">
        <v>1032</v>
      </c>
      <c r="D549" s="28" t="s">
        <v>3276</v>
      </c>
      <c r="E549" s="42" t="s">
        <v>2068</v>
      </c>
      <c r="F549" s="31" t="n">
        <f aca="false">WBS!P131</f>
        <v>5</v>
      </c>
      <c r="G549" s="14" t="str">
        <f aca="false">WBS!H131</f>
        <v>P2</v>
      </c>
      <c r="H549" s="14" t="str">
        <f aca="false">WBS!G131</f>
        <v>Must</v>
      </c>
      <c r="I549" s="6" t="s">
        <v>3271</v>
      </c>
      <c r="J549" s="14"/>
      <c r="K549" s="6"/>
      <c r="L549" s="41" t="s">
        <v>2065</v>
      </c>
    </row>
    <row r="550" customFormat="false" ht="15" hidden="false" customHeight="false" outlineLevel="0" collapsed="false">
      <c r="A550" s="14" t="s">
        <v>3277</v>
      </c>
      <c r="B550" s="14" t="s">
        <v>1031</v>
      </c>
      <c r="C550" s="14" t="s">
        <v>1032</v>
      </c>
      <c r="D550" s="28" t="s">
        <v>3278</v>
      </c>
      <c r="E550" s="22" t="s">
        <v>2071</v>
      </c>
      <c r="F550" s="31" t="n">
        <f aca="false">WBS!Q131</f>
        <v>20</v>
      </c>
      <c r="G550" s="14" t="str">
        <f aca="false">WBS!H131</f>
        <v>P2</v>
      </c>
      <c r="H550" s="14" t="str">
        <f aca="false">WBS!G131</f>
        <v>Must</v>
      </c>
      <c r="I550" s="6" t="s">
        <v>3273</v>
      </c>
      <c r="J550" s="14"/>
      <c r="K550" s="6"/>
      <c r="L550" s="41" t="s">
        <v>2065</v>
      </c>
    </row>
    <row r="551" customFormat="false" ht="15" hidden="false" customHeight="false" outlineLevel="0" collapsed="false">
      <c r="A551" s="14" t="s">
        <v>3279</v>
      </c>
      <c r="B551" s="14" t="s">
        <v>1031</v>
      </c>
      <c r="C551" s="14" t="s">
        <v>1032</v>
      </c>
      <c r="D551" s="28" t="s">
        <v>3280</v>
      </c>
      <c r="E551" s="43" t="s">
        <v>96</v>
      </c>
      <c r="F551" s="31" t="n">
        <f aca="false">WBS!T131</f>
        <v>8.8</v>
      </c>
      <c r="G551" s="14" t="str">
        <f aca="false">WBS!H131</f>
        <v>P2</v>
      </c>
      <c r="H551" s="14" t="str">
        <f aca="false">WBS!G131</f>
        <v>Must</v>
      </c>
      <c r="I551" s="6" t="s">
        <v>3281</v>
      </c>
      <c r="J551" s="14"/>
      <c r="K551" s="6"/>
      <c r="L551" s="41" t="s">
        <v>2065</v>
      </c>
    </row>
    <row r="552" customFormat="false" ht="15" hidden="false" customHeight="false" outlineLevel="0" collapsed="false">
      <c r="A552" s="14" t="s">
        <v>3282</v>
      </c>
      <c r="B552" s="14" t="s">
        <v>1040</v>
      </c>
      <c r="C552" s="14" t="s">
        <v>1032</v>
      </c>
      <c r="D552" s="28" t="s">
        <v>3283</v>
      </c>
      <c r="E552" s="40" t="s">
        <v>91</v>
      </c>
      <c r="F552" s="31" t="n">
        <f aca="false">WBS!R132</f>
        <v>0.7</v>
      </c>
      <c r="G552" s="14" t="str">
        <f aca="false">WBS!H132</f>
        <v>P2</v>
      </c>
      <c r="H552" s="14" t="str">
        <f aca="false">WBS!G132</f>
        <v>Must</v>
      </c>
      <c r="I552" s="6" t="s">
        <v>1046</v>
      </c>
      <c r="J552" s="14"/>
      <c r="K552" s="6"/>
      <c r="L552" s="41" t="s">
        <v>2065</v>
      </c>
    </row>
    <row r="553" customFormat="false" ht="15" hidden="false" customHeight="false" outlineLevel="0" collapsed="false">
      <c r="A553" s="14" t="s">
        <v>3284</v>
      </c>
      <c r="B553" s="14" t="s">
        <v>1040</v>
      </c>
      <c r="C553" s="14" t="s">
        <v>1032</v>
      </c>
      <c r="D553" s="28" t="s">
        <v>3285</v>
      </c>
      <c r="E553" s="42" t="s">
        <v>2068</v>
      </c>
      <c r="F553" s="31" t="n">
        <f aca="false">WBS!P132</f>
        <v>3</v>
      </c>
      <c r="G553" s="14" t="str">
        <f aca="false">WBS!H132</f>
        <v>P2</v>
      </c>
      <c r="H553" s="14" t="str">
        <f aca="false">WBS!G132</f>
        <v>Must</v>
      </c>
      <c r="I553" s="6" t="s">
        <v>3282</v>
      </c>
      <c r="J553" s="14"/>
      <c r="K553" s="6"/>
      <c r="L553" s="41" t="s">
        <v>2065</v>
      </c>
    </row>
    <row r="554" customFormat="false" ht="15" hidden="false" customHeight="false" outlineLevel="0" collapsed="false">
      <c r="A554" s="14" t="s">
        <v>3286</v>
      </c>
      <c r="B554" s="14" t="s">
        <v>1040</v>
      </c>
      <c r="C554" s="14" t="s">
        <v>1032</v>
      </c>
      <c r="D554" s="28" t="s">
        <v>3287</v>
      </c>
      <c r="E554" s="22" t="s">
        <v>2071</v>
      </c>
      <c r="F554" s="31" t="n">
        <f aca="false">WBS!Q132</f>
        <v>3</v>
      </c>
      <c r="G554" s="14" t="str">
        <f aca="false">WBS!H132</f>
        <v>P2</v>
      </c>
      <c r="H554" s="14" t="str">
        <f aca="false">WBS!G132</f>
        <v>Must</v>
      </c>
      <c r="I554" s="6" t="s">
        <v>3282</v>
      </c>
      <c r="J554" s="14"/>
      <c r="K554" s="6"/>
      <c r="L554" s="41" t="s">
        <v>2065</v>
      </c>
    </row>
    <row r="555" customFormat="false" ht="15" hidden="false" customHeight="false" outlineLevel="0" collapsed="false">
      <c r="A555" s="14" t="s">
        <v>3288</v>
      </c>
      <c r="B555" s="14" t="s">
        <v>1040</v>
      </c>
      <c r="C555" s="14" t="s">
        <v>1032</v>
      </c>
      <c r="D555" s="28" t="s">
        <v>3289</v>
      </c>
      <c r="E555" s="43" t="s">
        <v>96</v>
      </c>
      <c r="F555" s="31" t="n">
        <f aca="false">WBS!T132</f>
        <v>2.1</v>
      </c>
      <c r="G555" s="14" t="str">
        <f aca="false">WBS!H132</f>
        <v>P2</v>
      </c>
      <c r="H555" s="14" t="str">
        <f aca="false">WBS!G132</f>
        <v>Must</v>
      </c>
      <c r="I555" s="6" t="s">
        <v>3290</v>
      </c>
      <c r="J555" s="14"/>
      <c r="K555" s="6"/>
      <c r="L555" s="41" t="s">
        <v>2065</v>
      </c>
    </row>
    <row r="556" customFormat="false" ht="15" hidden="false" customHeight="false" outlineLevel="0" collapsed="false">
      <c r="A556" s="14" t="s">
        <v>3291</v>
      </c>
      <c r="B556" s="14" t="s">
        <v>1047</v>
      </c>
      <c r="C556" s="14" t="s">
        <v>1032</v>
      </c>
      <c r="D556" s="28" t="s">
        <v>3292</v>
      </c>
      <c r="E556" s="40" t="s">
        <v>91</v>
      </c>
      <c r="F556" s="31" t="n">
        <f aca="false">WBS!R133</f>
        <v>1</v>
      </c>
      <c r="G556" s="14" t="str">
        <f aca="false">WBS!H133</f>
        <v>P2</v>
      </c>
      <c r="H556" s="14" t="str">
        <f aca="false">WBS!G133</f>
        <v>Must</v>
      </c>
      <c r="I556" s="6" t="s">
        <v>855</v>
      </c>
      <c r="J556" s="14"/>
      <c r="K556" s="6"/>
      <c r="L556" s="41" t="s">
        <v>2065</v>
      </c>
    </row>
    <row r="557" customFormat="false" ht="15" hidden="false" customHeight="false" outlineLevel="0" collapsed="false">
      <c r="A557" s="14" t="s">
        <v>3293</v>
      </c>
      <c r="B557" s="14" t="s">
        <v>1047</v>
      </c>
      <c r="C557" s="14" t="s">
        <v>1032</v>
      </c>
      <c r="D557" s="28" t="s">
        <v>3294</v>
      </c>
      <c r="E557" s="42" t="s">
        <v>2068</v>
      </c>
      <c r="F557" s="31" t="n">
        <f aca="false">WBS!P133</f>
        <v>3</v>
      </c>
      <c r="G557" s="14" t="str">
        <f aca="false">WBS!H133</f>
        <v>P2</v>
      </c>
      <c r="H557" s="14" t="str">
        <f aca="false">WBS!G133</f>
        <v>Must</v>
      </c>
      <c r="I557" s="6" t="s">
        <v>3291</v>
      </c>
      <c r="J557" s="14"/>
      <c r="K557" s="6"/>
      <c r="L557" s="41" t="s">
        <v>2065</v>
      </c>
    </row>
    <row r="558" customFormat="false" ht="15" hidden="false" customHeight="false" outlineLevel="0" collapsed="false">
      <c r="A558" s="14" t="s">
        <v>3295</v>
      </c>
      <c r="B558" s="14" t="s">
        <v>1047</v>
      </c>
      <c r="C558" s="14" t="s">
        <v>1032</v>
      </c>
      <c r="D558" s="28" t="s">
        <v>3296</v>
      </c>
      <c r="E558" s="22" t="s">
        <v>2071</v>
      </c>
      <c r="F558" s="31" t="n">
        <f aca="false">WBS!Q133</f>
        <v>5</v>
      </c>
      <c r="G558" s="14" t="str">
        <f aca="false">WBS!H133</f>
        <v>P2</v>
      </c>
      <c r="H558" s="14" t="str">
        <f aca="false">WBS!G133</f>
        <v>Must</v>
      </c>
      <c r="I558" s="6" t="s">
        <v>3291</v>
      </c>
      <c r="J558" s="14"/>
      <c r="K558" s="6"/>
      <c r="L558" s="41" t="s">
        <v>2065</v>
      </c>
    </row>
    <row r="559" customFormat="false" ht="15" hidden="false" customHeight="false" outlineLevel="0" collapsed="false">
      <c r="A559" s="14" t="s">
        <v>3297</v>
      </c>
      <c r="B559" s="14" t="s">
        <v>1047</v>
      </c>
      <c r="C559" s="14" t="s">
        <v>1032</v>
      </c>
      <c r="D559" s="28" t="s">
        <v>3298</v>
      </c>
      <c r="E559" s="43" t="s">
        <v>96</v>
      </c>
      <c r="F559" s="31" t="n">
        <f aca="false">WBS!T133</f>
        <v>2.8</v>
      </c>
      <c r="G559" s="14" t="str">
        <f aca="false">WBS!H133</f>
        <v>P2</v>
      </c>
      <c r="H559" s="14" t="str">
        <f aca="false">WBS!G133</f>
        <v>Must</v>
      </c>
      <c r="I559" s="6" t="s">
        <v>3299</v>
      </c>
      <c r="J559" s="14"/>
      <c r="K559" s="6"/>
      <c r="L559" s="41" t="s">
        <v>2065</v>
      </c>
    </row>
    <row r="560" customFormat="false" ht="15" hidden="false" customHeight="false" outlineLevel="0" collapsed="false">
      <c r="A560" s="14" t="s">
        <v>3300</v>
      </c>
      <c r="B560" s="14" t="s">
        <v>1054</v>
      </c>
      <c r="C560" s="14" t="s">
        <v>1032</v>
      </c>
      <c r="D560" s="28" t="s">
        <v>3301</v>
      </c>
      <c r="E560" s="40" t="s">
        <v>91</v>
      </c>
      <c r="F560" s="31" t="n">
        <f aca="false">WBS!R134</f>
        <v>0.7</v>
      </c>
      <c r="G560" s="14" t="str">
        <f aca="false">WBS!H134</f>
        <v>P2</v>
      </c>
      <c r="H560" s="14" t="str">
        <f aca="false">WBS!G134</f>
        <v>Must</v>
      </c>
      <c r="I560" s="6" t="s">
        <v>1061</v>
      </c>
      <c r="J560" s="14"/>
      <c r="K560" s="6"/>
      <c r="L560" s="41" t="s">
        <v>2065</v>
      </c>
    </row>
    <row r="561" customFormat="false" ht="15" hidden="false" customHeight="false" outlineLevel="0" collapsed="false">
      <c r="A561" s="14" t="s">
        <v>3302</v>
      </c>
      <c r="B561" s="14" t="s">
        <v>1054</v>
      </c>
      <c r="C561" s="14" t="s">
        <v>1032</v>
      </c>
      <c r="D561" s="28" t="s">
        <v>3303</v>
      </c>
      <c r="E561" s="42" t="s">
        <v>2068</v>
      </c>
      <c r="F561" s="31" t="n">
        <f aca="false">WBS!P134</f>
        <v>3</v>
      </c>
      <c r="G561" s="14" t="str">
        <f aca="false">WBS!H134</f>
        <v>P2</v>
      </c>
      <c r="H561" s="14" t="str">
        <f aca="false">WBS!G134</f>
        <v>Must</v>
      </c>
      <c r="I561" s="6" t="s">
        <v>3300</v>
      </c>
      <c r="J561" s="14"/>
      <c r="K561" s="6"/>
      <c r="L561" s="41" t="s">
        <v>2065</v>
      </c>
    </row>
    <row r="562" customFormat="false" ht="15" hidden="false" customHeight="false" outlineLevel="0" collapsed="false">
      <c r="A562" s="14" t="s">
        <v>3304</v>
      </c>
      <c r="B562" s="14" t="s">
        <v>1054</v>
      </c>
      <c r="C562" s="14" t="s">
        <v>1032</v>
      </c>
      <c r="D562" s="28" t="s">
        <v>3305</v>
      </c>
      <c r="E562" s="22" t="s">
        <v>2071</v>
      </c>
      <c r="F562" s="31" t="n">
        <f aca="false">WBS!Q134</f>
        <v>3</v>
      </c>
      <c r="G562" s="14" t="str">
        <f aca="false">WBS!H134</f>
        <v>P2</v>
      </c>
      <c r="H562" s="14" t="str">
        <f aca="false">WBS!G134</f>
        <v>Must</v>
      </c>
      <c r="I562" s="6" t="s">
        <v>3300</v>
      </c>
      <c r="J562" s="14"/>
      <c r="K562" s="6"/>
      <c r="L562" s="41" t="s">
        <v>2065</v>
      </c>
    </row>
    <row r="563" customFormat="false" ht="15" hidden="false" customHeight="false" outlineLevel="0" collapsed="false">
      <c r="A563" s="14" t="s">
        <v>3306</v>
      </c>
      <c r="B563" s="14" t="s">
        <v>1054</v>
      </c>
      <c r="C563" s="14" t="s">
        <v>1032</v>
      </c>
      <c r="D563" s="28" t="s">
        <v>3307</v>
      </c>
      <c r="E563" s="43" t="s">
        <v>96</v>
      </c>
      <c r="F563" s="31" t="n">
        <f aca="false">WBS!T134</f>
        <v>2.1</v>
      </c>
      <c r="G563" s="14" t="str">
        <f aca="false">WBS!H134</f>
        <v>P2</v>
      </c>
      <c r="H563" s="14" t="str">
        <f aca="false">WBS!G134</f>
        <v>Must</v>
      </c>
      <c r="I563" s="6" t="s">
        <v>3308</v>
      </c>
      <c r="J563" s="14"/>
      <c r="K563" s="6"/>
      <c r="L563" s="41" t="s">
        <v>2065</v>
      </c>
    </row>
    <row r="564" customFormat="false" ht="15" hidden="false" customHeight="false" outlineLevel="0" collapsed="false">
      <c r="A564" s="14" t="s">
        <v>3309</v>
      </c>
      <c r="B564" s="14" t="s">
        <v>1062</v>
      </c>
      <c r="C564" s="14" t="s">
        <v>1032</v>
      </c>
      <c r="D564" s="28" t="s">
        <v>3310</v>
      </c>
      <c r="E564" s="40" t="s">
        <v>91</v>
      </c>
      <c r="F564" s="31" t="n">
        <f aca="false">WBS!R135</f>
        <v>1.2</v>
      </c>
      <c r="G564" s="14" t="str">
        <f aca="false">WBS!H135</f>
        <v>P2</v>
      </c>
      <c r="H564" s="14" t="str">
        <f aca="false">WBS!G135</f>
        <v>Must</v>
      </c>
      <c r="I564" s="6" t="s">
        <v>241</v>
      </c>
      <c r="J564" s="14"/>
      <c r="K564" s="6"/>
      <c r="L564" s="41" t="s">
        <v>2065</v>
      </c>
    </row>
    <row r="565" customFormat="false" ht="15" hidden="false" customHeight="false" outlineLevel="0" collapsed="false">
      <c r="A565" s="14" t="s">
        <v>3311</v>
      </c>
      <c r="B565" s="14" t="s">
        <v>1062</v>
      </c>
      <c r="C565" s="14" t="s">
        <v>1032</v>
      </c>
      <c r="D565" s="28" t="s">
        <v>3312</v>
      </c>
      <c r="E565" s="42" t="s">
        <v>2068</v>
      </c>
      <c r="F565" s="31" t="n">
        <f aca="false">WBS!P135</f>
        <v>5</v>
      </c>
      <c r="G565" s="14" t="str">
        <f aca="false">WBS!H135</f>
        <v>P2</v>
      </c>
      <c r="H565" s="14" t="str">
        <f aca="false">WBS!G135</f>
        <v>Must</v>
      </c>
      <c r="I565" s="6" t="s">
        <v>3309</v>
      </c>
      <c r="J565" s="14"/>
      <c r="K565" s="6"/>
      <c r="L565" s="41" t="s">
        <v>2065</v>
      </c>
    </row>
    <row r="566" customFormat="false" ht="15" hidden="false" customHeight="false" outlineLevel="0" collapsed="false">
      <c r="A566" s="14" t="s">
        <v>3313</v>
      </c>
      <c r="B566" s="14" t="s">
        <v>1062</v>
      </c>
      <c r="C566" s="14" t="s">
        <v>1032</v>
      </c>
      <c r="D566" s="28" t="s">
        <v>3314</v>
      </c>
      <c r="E566" s="22" t="s">
        <v>2071</v>
      </c>
      <c r="F566" s="31" t="n">
        <f aca="false">WBS!Q135</f>
        <v>5</v>
      </c>
      <c r="G566" s="14" t="str">
        <f aca="false">WBS!H135</f>
        <v>P2</v>
      </c>
      <c r="H566" s="14" t="str">
        <f aca="false">WBS!G135</f>
        <v>Must</v>
      </c>
      <c r="I566" s="6" t="s">
        <v>3309</v>
      </c>
      <c r="J566" s="14"/>
      <c r="K566" s="6"/>
      <c r="L566" s="41" t="s">
        <v>2065</v>
      </c>
    </row>
    <row r="567" customFormat="false" ht="15" hidden="false" customHeight="false" outlineLevel="0" collapsed="false">
      <c r="A567" s="14" t="s">
        <v>3315</v>
      </c>
      <c r="B567" s="14" t="s">
        <v>1062</v>
      </c>
      <c r="C567" s="14" t="s">
        <v>1032</v>
      </c>
      <c r="D567" s="28" t="s">
        <v>3316</v>
      </c>
      <c r="E567" s="43" t="s">
        <v>96</v>
      </c>
      <c r="F567" s="31" t="n">
        <f aca="false">WBS!T135</f>
        <v>3.5</v>
      </c>
      <c r="G567" s="14" t="str">
        <f aca="false">WBS!H135</f>
        <v>P2</v>
      </c>
      <c r="H567" s="14" t="str">
        <f aca="false">WBS!G135</f>
        <v>Must</v>
      </c>
      <c r="I567" s="6" t="s">
        <v>3317</v>
      </c>
      <c r="J567" s="14"/>
      <c r="K567" s="6"/>
      <c r="L567" s="41" t="s">
        <v>2065</v>
      </c>
    </row>
    <row r="568" customFormat="false" ht="15" hidden="false" customHeight="false" outlineLevel="0" collapsed="false">
      <c r="A568" s="14" t="s">
        <v>3318</v>
      </c>
      <c r="B568" s="14" t="s">
        <v>1068</v>
      </c>
      <c r="C568" s="14" t="s">
        <v>1032</v>
      </c>
      <c r="D568" s="28" t="s">
        <v>3319</v>
      </c>
      <c r="E568" s="40" t="s">
        <v>91</v>
      </c>
      <c r="F568" s="31" t="n">
        <f aca="false">WBS!R136</f>
        <v>1.6</v>
      </c>
      <c r="G568" s="14" t="str">
        <f aca="false">WBS!H136</f>
        <v>P3</v>
      </c>
      <c r="H568" s="14" t="str">
        <f aca="false">WBS!G136</f>
        <v>Should</v>
      </c>
      <c r="I568" s="6" t="s">
        <v>1031</v>
      </c>
      <c r="J568" s="14"/>
      <c r="K568" s="6"/>
      <c r="L568" s="41" t="s">
        <v>2065</v>
      </c>
    </row>
    <row r="569" customFormat="false" ht="15" hidden="false" customHeight="false" outlineLevel="0" collapsed="false">
      <c r="A569" s="14" t="s">
        <v>3320</v>
      </c>
      <c r="B569" s="14" t="s">
        <v>1068</v>
      </c>
      <c r="C569" s="14" t="s">
        <v>1032</v>
      </c>
      <c r="D569" s="28" t="s">
        <v>3321</v>
      </c>
      <c r="E569" s="37" t="s">
        <v>128</v>
      </c>
      <c r="F569" s="31" t="n">
        <f aca="false">WBS!S136</f>
        <v>4</v>
      </c>
      <c r="G569" s="14" t="str">
        <f aca="false">WBS!H136</f>
        <v>P3</v>
      </c>
      <c r="H569" s="14" t="str">
        <f aca="false">WBS!G136</f>
        <v>Should</v>
      </c>
      <c r="I569" s="6" t="s">
        <v>3318</v>
      </c>
      <c r="J569" s="14"/>
      <c r="K569" s="6"/>
      <c r="L569" s="41" t="s">
        <v>2065</v>
      </c>
    </row>
    <row r="570" customFormat="false" ht="15" hidden="false" customHeight="false" outlineLevel="0" collapsed="false">
      <c r="A570" s="14" t="s">
        <v>3322</v>
      </c>
      <c r="B570" s="14" t="s">
        <v>1068</v>
      </c>
      <c r="C570" s="14" t="s">
        <v>1032</v>
      </c>
      <c r="D570" s="28" t="s">
        <v>3323</v>
      </c>
      <c r="E570" s="42" t="s">
        <v>2068</v>
      </c>
      <c r="F570" s="31" t="n">
        <f aca="false">WBS!P136</f>
        <v>3</v>
      </c>
      <c r="G570" s="14" t="str">
        <f aca="false">WBS!H136</f>
        <v>P3</v>
      </c>
      <c r="H570" s="14" t="str">
        <f aca="false">WBS!G136</f>
        <v>Should</v>
      </c>
      <c r="I570" s="6" t="s">
        <v>3318</v>
      </c>
      <c r="J570" s="14"/>
      <c r="K570" s="6"/>
      <c r="L570" s="41" t="s">
        <v>2065</v>
      </c>
    </row>
    <row r="571" customFormat="false" ht="15" hidden="false" customHeight="false" outlineLevel="0" collapsed="false">
      <c r="A571" s="14" t="s">
        <v>3324</v>
      </c>
      <c r="B571" s="14" t="s">
        <v>1068</v>
      </c>
      <c r="C571" s="14" t="s">
        <v>1032</v>
      </c>
      <c r="D571" s="28" t="s">
        <v>3325</v>
      </c>
      <c r="E571" s="22" t="s">
        <v>2071</v>
      </c>
      <c r="F571" s="31" t="n">
        <f aca="false">WBS!Q136</f>
        <v>10</v>
      </c>
      <c r="G571" s="14" t="str">
        <f aca="false">WBS!H136</f>
        <v>P3</v>
      </c>
      <c r="H571" s="14" t="str">
        <f aca="false">WBS!G136</f>
        <v>Should</v>
      </c>
      <c r="I571" s="6" t="s">
        <v>3320</v>
      </c>
      <c r="J571" s="14"/>
      <c r="K571" s="6"/>
      <c r="L571" s="41" t="s">
        <v>2065</v>
      </c>
    </row>
    <row r="572" customFormat="false" ht="15" hidden="false" customHeight="false" outlineLevel="0" collapsed="false">
      <c r="A572" s="14" t="s">
        <v>3326</v>
      </c>
      <c r="B572" s="14" t="s">
        <v>1068</v>
      </c>
      <c r="C572" s="14" t="s">
        <v>1032</v>
      </c>
      <c r="D572" s="28" t="s">
        <v>3327</v>
      </c>
      <c r="E572" s="43" t="s">
        <v>96</v>
      </c>
      <c r="F572" s="31" t="n">
        <f aca="false">WBS!T136</f>
        <v>4.6</v>
      </c>
      <c r="G572" s="14" t="str">
        <f aca="false">WBS!H136</f>
        <v>P3</v>
      </c>
      <c r="H572" s="14" t="str">
        <f aca="false">WBS!G136</f>
        <v>Should</v>
      </c>
      <c r="I572" s="6" t="s">
        <v>3328</v>
      </c>
      <c r="J572" s="14"/>
      <c r="K572" s="6"/>
      <c r="L572" s="41" t="s">
        <v>2065</v>
      </c>
    </row>
    <row r="573" customFormat="false" ht="15" hidden="false" customHeight="false" outlineLevel="0" collapsed="false">
      <c r="A573" s="14" t="s">
        <v>3329</v>
      </c>
      <c r="B573" s="14" t="s">
        <v>1075</v>
      </c>
      <c r="C573" s="14" t="s">
        <v>1032</v>
      </c>
      <c r="D573" s="28" t="s">
        <v>3330</v>
      </c>
      <c r="E573" s="40" t="s">
        <v>91</v>
      </c>
      <c r="F573" s="31" t="n">
        <f aca="false">WBS!R137</f>
        <v>1.2</v>
      </c>
      <c r="G573" s="14" t="str">
        <f aca="false">WBS!H137</f>
        <v>P3</v>
      </c>
      <c r="H573" s="14" t="str">
        <f aca="false">WBS!G137</f>
        <v>Should</v>
      </c>
      <c r="I573" s="6" t="s">
        <v>1031</v>
      </c>
      <c r="J573" s="14"/>
      <c r="K573" s="6"/>
      <c r="L573" s="41" t="s">
        <v>2065</v>
      </c>
    </row>
    <row r="574" customFormat="false" ht="15" hidden="false" customHeight="false" outlineLevel="0" collapsed="false">
      <c r="A574" s="14" t="s">
        <v>3331</v>
      </c>
      <c r="B574" s="14" t="s">
        <v>1075</v>
      </c>
      <c r="C574" s="14" t="s">
        <v>1032</v>
      </c>
      <c r="D574" s="28" t="s">
        <v>3332</v>
      </c>
      <c r="E574" s="42" t="s">
        <v>2068</v>
      </c>
      <c r="F574" s="31" t="n">
        <f aca="false">WBS!P137</f>
        <v>5</v>
      </c>
      <c r="G574" s="14" t="str">
        <f aca="false">WBS!H137</f>
        <v>P3</v>
      </c>
      <c r="H574" s="14" t="str">
        <f aca="false">WBS!G137</f>
        <v>Should</v>
      </c>
      <c r="I574" s="6" t="s">
        <v>3329</v>
      </c>
      <c r="J574" s="14"/>
      <c r="K574" s="6"/>
      <c r="L574" s="41" t="s">
        <v>2065</v>
      </c>
    </row>
    <row r="575" customFormat="false" ht="15" hidden="false" customHeight="false" outlineLevel="0" collapsed="false">
      <c r="A575" s="14" t="s">
        <v>3333</v>
      </c>
      <c r="B575" s="14" t="s">
        <v>1075</v>
      </c>
      <c r="C575" s="14" t="s">
        <v>1032</v>
      </c>
      <c r="D575" s="28" t="s">
        <v>3334</v>
      </c>
      <c r="E575" s="22" t="s">
        <v>2071</v>
      </c>
      <c r="F575" s="31" t="n">
        <f aca="false">WBS!Q137</f>
        <v>5</v>
      </c>
      <c r="G575" s="14" t="str">
        <f aca="false">WBS!H137</f>
        <v>P3</v>
      </c>
      <c r="H575" s="14" t="str">
        <f aca="false">WBS!G137</f>
        <v>Should</v>
      </c>
      <c r="I575" s="6" t="s">
        <v>3329</v>
      </c>
      <c r="J575" s="14"/>
      <c r="K575" s="6"/>
      <c r="L575" s="41" t="s">
        <v>2065</v>
      </c>
    </row>
    <row r="576" customFormat="false" ht="15" hidden="false" customHeight="false" outlineLevel="0" collapsed="false">
      <c r="A576" s="14" t="s">
        <v>3335</v>
      </c>
      <c r="B576" s="14" t="s">
        <v>1075</v>
      </c>
      <c r="C576" s="14" t="s">
        <v>1032</v>
      </c>
      <c r="D576" s="28" t="s">
        <v>3336</v>
      </c>
      <c r="E576" s="43" t="s">
        <v>96</v>
      </c>
      <c r="F576" s="31" t="n">
        <f aca="false">WBS!T137</f>
        <v>3.5</v>
      </c>
      <c r="G576" s="14" t="str">
        <f aca="false">WBS!H137</f>
        <v>P3</v>
      </c>
      <c r="H576" s="14" t="str">
        <f aca="false">WBS!G137</f>
        <v>Should</v>
      </c>
      <c r="I576" s="6" t="s">
        <v>3337</v>
      </c>
      <c r="J576" s="14"/>
      <c r="K576" s="6"/>
      <c r="L576" s="41" t="s">
        <v>2065</v>
      </c>
    </row>
    <row r="577" customFormat="false" ht="15" hidden="false" customHeight="false" outlineLevel="0" collapsed="false">
      <c r="A577" s="14" t="s">
        <v>3338</v>
      </c>
      <c r="B577" s="14" t="s">
        <v>1081</v>
      </c>
      <c r="C577" s="14" t="s">
        <v>1032</v>
      </c>
      <c r="D577" s="28" t="s">
        <v>3339</v>
      </c>
      <c r="E577" s="40" t="s">
        <v>91</v>
      </c>
      <c r="F577" s="31" t="n">
        <f aca="false">WBS!R138</f>
        <v>0.7</v>
      </c>
      <c r="G577" s="14" t="str">
        <f aca="false">WBS!H138</f>
        <v>P3</v>
      </c>
      <c r="H577" s="14" t="str">
        <f aca="false">WBS!G138</f>
        <v>Should</v>
      </c>
      <c r="I577" s="6" t="s">
        <v>192</v>
      </c>
      <c r="J577" s="14"/>
      <c r="K577" s="6"/>
      <c r="L577" s="41" t="s">
        <v>2065</v>
      </c>
    </row>
    <row r="578" customFormat="false" ht="15" hidden="false" customHeight="false" outlineLevel="0" collapsed="false">
      <c r="A578" s="14" t="s">
        <v>3340</v>
      </c>
      <c r="B578" s="14" t="s">
        <v>1081</v>
      </c>
      <c r="C578" s="14" t="s">
        <v>1032</v>
      </c>
      <c r="D578" s="28" t="s">
        <v>3341</v>
      </c>
      <c r="E578" s="42" t="s">
        <v>2068</v>
      </c>
      <c r="F578" s="31" t="n">
        <f aca="false">WBS!P138</f>
        <v>3</v>
      </c>
      <c r="G578" s="14" t="str">
        <f aca="false">WBS!H138</f>
        <v>P3</v>
      </c>
      <c r="H578" s="14" t="str">
        <f aca="false">WBS!G138</f>
        <v>Should</v>
      </c>
      <c r="I578" s="6" t="s">
        <v>3338</v>
      </c>
      <c r="J578" s="14"/>
      <c r="K578" s="6"/>
      <c r="L578" s="41" t="s">
        <v>2065</v>
      </c>
    </row>
    <row r="579" customFormat="false" ht="15" hidden="false" customHeight="false" outlineLevel="0" collapsed="false">
      <c r="A579" s="14" t="s">
        <v>3342</v>
      </c>
      <c r="B579" s="14" t="s">
        <v>1081</v>
      </c>
      <c r="C579" s="14" t="s">
        <v>1032</v>
      </c>
      <c r="D579" s="28" t="s">
        <v>3343</v>
      </c>
      <c r="E579" s="22" t="s">
        <v>2071</v>
      </c>
      <c r="F579" s="31" t="n">
        <f aca="false">WBS!Q138</f>
        <v>3</v>
      </c>
      <c r="G579" s="14" t="str">
        <f aca="false">WBS!H138</f>
        <v>P3</v>
      </c>
      <c r="H579" s="14" t="str">
        <f aca="false">WBS!G138</f>
        <v>Should</v>
      </c>
      <c r="I579" s="6" t="s">
        <v>3338</v>
      </c>
      <c r="J579" s="14"/>
      <c r="K579" s="6"/>
      <c r="L579" s="41" t="s">
        <v>2065</v>
      </c>
    </row>
    <row r="580" customFormat="false" ht="15" hidden="false" customHeight="false" outlineLevel="0" collapsed="false">
      <c r="A580" s="14" t="s">
        <v>3344</v>
      </c>
      <c r="B580" s="14" t="s">
        <v>1081</v>
      </c>
      <c r="C580" s="14" t="s">
        <v>1032</v>
      </c>
      <c r="D580" s="28" t="s">
        <v>3345</v>
      </c>
      <c r="E580" s="43" t="s">
        <v>96</v>
      </c>
      <c r="F580" s="31" t="n">
        <f aca="false">WBS!T138</f>
        <v>2.1</v>
      </c>
      <c r="G580" s="14" t="str">
        <f aca="false">WBS!H138</f>
        <v>P3</v>
      </c>
      <c r="H580" s="14" t="str">
        <f aca="false">WBS!G138</f>
        <v>Should</v>
      </c>
      <c r="I580" s="6" t="s">
        <v>3346</v>
      </c>
      <c r="J580" s="14"/>
      <c r="K580" s="6"/>
      <c r="L580" s="41" t="s">
        <v>2065</v>
      </c>
    </row>
    <row r="581" customFormat="false" ht="15" hidden="false" customHeight="false" outlineLevel="0" collapsed="false">
      <c r="A581" s="14" t="s">
        <v>3347</v>
      </c>
      <c r="B581" s="14" t="s">
        <v>1087</v>
      </c>
      <c r="C581" s="14" t="s">
        <v>1032</v>
      </c>
      <c r="D581" s="28" t="s">
        <v>3348</v>
      </c>
      <c r="E581" s="40" t="s">
        <v>91</v>
      </c>
      <c r="F581" s="31" t="n">
        <f aca="false">WBS!R139</f>
        <v>3</v>
      </c>
      <c r="G581" s="14" t="str">
        <f aca="false">WBS!H139</f>
        <v>P3</v>
      </c>
      <c r="H581" s="14" t="str">
        <f aca="false">WBS!G139</f>
        <v>Should</v>
      </c>
      <c r="I581" s="6" t="s">
        <v>270</v>
      </c>
      <c r="J581" s="14"/>
      <c r="K581" s="6"/>
      <c r="L581" s="41" t="s">
        <v>2065</v>
      </c>
    </row>
    <row r="582" customFormat="false" ht="15" hidden="false" customHeight="false" outlineLevel="0" collapsed="false">
      <c r="A582" s="14" t="s">
        <v>3349</v>
      </c>
      <c r="B582" s="14" t="s">
        <v>1087</v>
      </c>
      <c r="C582" s="14" t="s">
        <v>1032</v>
      </c>
      <c r="D582" s="28" t="s">
        <v>3350</v>
      </c>
      <c r="E582" s="37" t="s">
        <v>128</v>
      </c>
      <c r="F582" s="31" t="n">
        <f aca="false">WBS!S139</f>
        <v>2</v>
      </c>
      <c r="G582" s="14" t="str">
        <f aca="false">WBS!H139</f>
        <v>P3</v>
      </c>
      <c r="H582" s="14" t="str">
        <f aca="false">WBS!G139</f>
        <v>Should</v>
      </c>
      <c r="I582" s="6" t="s">
        <v>3347</v>
      </c>
      <c r="J582" s="14"/>
      <c r="K582" s="6"/>
      <c r="L582" s="41" t="s">
        <v>2065</v>
      </c>
    </row>
    <row r="583" customFormat="false" ht="22.35" hidden="false" customHeight="false" outlineLevel="0" collapsed="false">
      <c r="A583" s="14" t="s">
        <v>3351</v>
      </c>
      <c r="B583" s="14" t="s">
        <v>1087</v>
      </c>
      <c r="C583" s="14" t="s">
        <v>1032</v>
      </c>
      <c r="D583" s="28" t="s">
        <v>3352</v>
      </c>
      <c r="E583" s="42" t="s">
        <v>2068</v>
      </c>
      <c r="F583" s="31" t="n">
        <f aca="false">WBS!P139</f>
        <v>20</v>
      </c>
      <c r="G583" s="14" t="str">
        <f aca="false">WBS!H139</f>
        <v>P3</v>
      </c>
      <c r="H583" s="14" t="str">
        <f aca="false">WBS!G139</f>
        <v>Should</v>
      </c>
      <c r="I583" s="6" t="s">
        <v>3347</v>
      </c>
      <c r="J583" s="14"/>
      <c r="K583" s="6"/>
      <c r="L583" s="41" t="s">
        <v>2065</v>
      </c>
    </row>
    <row r="584" customFormat="false" ht="15" hidden="false" customHeight="false" outlineLevel="0" collapsed="false">
      <c r="A584" s="14" t="s">
        <v>3353</v>
      </c>
      <c r="B584" s="14" t="s">
        <v>1087</v>
      </c>
      <c r="C584" s="14" t="s">
        <v>1032</v>
      </c>
      <c r="D584" s="28" t="s">
        <v>3354</v>
      </c>
      <c r="E584" s="22" t="s">
        <v>2071</v>
      </c>
      <c r="F584" s="31" t="n">
        <f aca="false">WBS!Q139</f>
        <v>5</v>
      </c>
      <c r="G584" s="14" t="str">
        <f aca="false">WBS!H139</f>
        <v>P3</v>
      </c>
      <c r="H584" s="14" t="str">
        <f aca="false">WBS!G139</f>
        <v>Should</v>
      </c>
      <c r="I584" s="6" t="s">
        <v>3349</v>
      </c>
      <c r="J584" s="14"/>
      <c r="K584" s="6"/>
      <c r="L584" s="41" t="s">
        <v>2065</v>
      </c>
    </row>
    <row r="585" customFormat="false" ht="15" hidden="false" customHeight="false" outlineLevel="0" collapsed="false">
      <c r="A585" s="14" t="s">
        <v>3355</v>
      </c>
      <c r="B585" s="14" t="s">
        <v>1087</v>
      </c>
      <c r="C585" s="14" t="s">
        <v>1032</v>
      </c>
      <c r="D585" s="28" t="s">
        <v>3356</v>
      </c>
      <c r="E585" s="43" t="s">
        <v>96</v>
      </c>
      <c r="F585" s="31" t="n">
        <f aca="false">WBS!T139</f>
        <v>8.8</v>
      </c>
      <c r="G585" s="14" t="str">
        <f aca="false">WBS!H139</f>
        <v>P3</v>
      </c>
      <c r="H585" s="14" t="str">
        <f aca="false">WBS!G139</f>
        <v>Should</v>
      </c>
      <c r="I585" s="6" t="s">
        <v>3357</v>
      </c>
      <c r="J585" s="14"/>
      <c r="K585" s="6"/>
      <c r="L585" s="41" t="s">
        <v>2065</v>
      </c>
    </row>
    <row r="586" customFormat="false" ht="15" hidden="false" customHeight="false" outlineLevel="0" collapsed="false">
      <c r="A586" s="14" t="s">
        <v>3358</v>
      </c>
      <c r="B586" s="14" t="s">
        <v>1095</v>
      </c>
      <c r="C586" s="14" t="s">
        <v>1032</v>
      </c>
      <c r="D586" s="28" t="s">
        <v>3359</v>
      </c>
      <c r="E586" s="40" t="s">
        <v>91</v>
      </c>
      <c r="F586" s="31" t="n">
        <f aca="false">WBS!R140</f>
        <v>1.2</v>
      </c>
      <c r="G586" s="14" t="str">
        <f aca="false">WBS!H140</f>
        <v>P4</v>
      </c>
      <c r="H586" s="14" t="str">
        <f aca="false">WBS!G140</f>
        <v>Nice-to-have</v>
      </c>
      <c r="I586" s="6" t="s">
        <v>812</v>
      </c>
      <c r="J586" s="14"/>
      <c r="K586" s="6"/>
      <c r="L586" s="41" t="s">
        <v>2065</v>
      </c>
    </row>
    <row r="587" customFormat="false" ht="15" hidden="false" customHeight="false" outlineLevel="0" collapsed="false">
      <c r="A587" s="14" t="s">
        <v>3360</v>
      </c>
      <c r="B587" s="14" t="s">
        <v>1095</v>
      </c>
      <c r="C587" s="14" t="s">
        <v>1032</v>
      </c>
      <c r="D587" s="28" t="s">
        <v>3361</v>
      </c>
      <c r="E587" s="42" t="s">
        <v>2068</v>
      </c>
      <c r="F587" s="31" t="n">
        <f aca="false">WBS!P140</f>
        <v>5</v>
      </c>
      <c r="G587" s="14" t="str">
        <f aca="false">WBS!H140</f>
        <v>P4</v>
      </c>
      <c r="H587" s="14" t="str">
        <f aca="false">WBS!G140</f>
        <v>Nice-to-have</v>
      </c>
      <c r="I587" s="6" t="s">
        <v>3358</v>
      </c>
      <c r="J587" s="14"/>
      <c r="K587" s="6"/>
      <c r="L587" s="41" t="s">
        <v>2065</v>
      </c>
    </row>
    <row r="588" customFormat="false" ht="15" hidden="false" customHeight="false" outlineLevel="0" collapsed="false">
      <c r="A588" s="14" t="s">
        <v>3362</v>
      </c>
      <c r="B588" s="14" t="s">
        <v>1095</v>
      </c>
      <c r="C588" s="14" t="s">
        <v>1032</v>
      </c>
      <c r="D588" s="28" t="s">
        <v>3363</v>
      </c>
      <c r="E588" s="22" t="s">
        <v>2071</v>
      </c>
      <c r="F588" s="31" t="n">
        <f aca="false">WBS!Q140</f>
        <v>5</v>
      </c>
      <c r="G588" s="14" t="str">
        <f aca="false">WBS!H140</f>
        <v>P4</v>
      </c>
      <c r="H588" s="14" t="str">
        <f aca="false">WBS!G140</f>
        <v>Nice-to-have</v>
      </c>
      <c r="I588" s="6" t="s">
        <v>3358</v>
      </c>
      <c r="J588" s="14"/>
      <c r="K588" s="6"/>
      <c r="L588" s="41" t="s">
        <v>2065</v>
      </c>
    </row>
    <row r="589" customFormat="false" ht="15" hidden="false" customHeight="false" outlineLevel="0" collapsed="false">
      <c r="A589" s="14" t="s">
        <v>3364</v>
      </c>
      <c r="B589" s="14" t="s">
        <v>1095</v>
      </c>
      <c r="C589" s="14" t="s">
        <v>1032</v>
      </c>
      <c r="D589" s="28" t="s">
        <v>3365</v>
      </c>
      <c r="E589" s="43" t="s">
        <v>96</v>
      </c>
      <c r="F589" s="31" t="n">
        <f aca="false">WBS!T140</f>
        <v>3.5</v>
      </c>
      <c r="G589" s="14" t="str">
        <f aca="false">WBS!H140</f>
        <v>P4</v>
      </c>
      <c r="H589" s="14" t="str">
        <f aca="false">WBS!G140</f>
        <v>Nice-to-have</v>
      </c>
      <c r="I589" s="6" t="s">
        <v>3366</v>
      </c>
      <c r="J589" s="14"/>
      <c r="K589" s="6"/>
      <c r="L589" s="41" t="s">
        <v>2065</v>
      </c>
    </row>
    <row r="590" customFormat="false" ht="15" hidden="false" customHeight="false" outlineLevel="0" collapsed="false">
      <c r="A590" s="14" t="s">
        <v>3367</v>
      </c>
      <c r="B590" s="14" t="s">
        <v>1102</v>
      </c>
      <c r="C590" s="14" t="s">
        <v>1032</v>
      </c>
      <c r="D590" s="28" t="s">
        <v>3368</v>
      </c>
      <c r="E590" s="40" t="s">
        <v>91</v>
      </c>
      <c r="F590" s="31" t="n">
        <f aca="false">WBS!R141</f>
        <v>1</v>
      </c>
      <c r="G590" s="14" t="str">
        <f aca="false">WBS!H141</f>
        <v>P4</v>
      </c>
      <c r="H590" s="14" t="str">
        <f aca="false">WBS!G141</f>
        <v>Nice-to-have</v>
      </c>
      <c r="I590" s="6" t="s">
        <v>1047</v>
      </c>
      <c r="J590" s="14"/>
      <c r="K590" s="6"/>
      <c r="L590" s="41" t="s">
        <v>2065</v>
      </c>
    </row>
    <row r="591" customFormat="false" ht="15" hidden="false" customHeight="false" outlineLevel="0" collapsed="false">
      <c r="A591" s="14" t="s">
        <v>3369</v>
      </c>
      <c r="B591" s="14" t="s">
        <v>1102</v>
      </c>
      <c r="C591" s="14" t="s">
        <v>1032</v>
      </c>
      <c r="D591" s="28" t="s">
        <v>3370</v>
      </c>
      <c r="E591" s="42" t="s">
        <v>2068</v>
      </c>
      <c r="F591" s="31" t="n">
        <f aca="false">WBS!P141</f>
        <v>3</v>
      </c>
      <c r="G591" s="14" t="str">
        <f aca="false">WBS!H141</f>
        <v>P4</v>
      </c>
      <c r="H591" s="14" t="str">
        <f aca="false">WBS!G141</f>
        <v>Nice-to-have</v>
      </c>
      <c r="I591" s="6" t="s">
        <v>3367</v>
      </c>
      <c r="J591" s="14"/>
      <c r="K591" s="6"/>
      <c r="L591" s="41" t="s">
        <v>2065</v>
      </c>
    </row>
    <row r="592" customFormat="false" ht="15" hidden="false" customHeight="false" outlineLevel="0" collapsed="false">
      <c r="A592" s="14" t="s">
        <v>3371</v>
      </c>
      <c r="B592" s="14" t="s">
        <v>1102</v>
      </c>
      <c r="C592" s="14" t="s">
        <v>1032</v>
      </c>
      <c r="D592" s="28" t="s">
        <v>3372</v>
      </c>
      <c r="E592" s="22" t="s">
        <v>2071</v>
      </c>
      <c r="F592" s="31" t="n">
        <f aca="false">WBS!Q141</f>
        <v>5</v>
      </c>
      <c r="G592" s="14" t="str">
        <f aca="false">WBS!H141</f>
        <v>P4</v>
      </c>
      <c r="H592" s="14" t="str">
        <f aca="false">WBS!G141</f>
        <v>Nice-to-have</v>
      </c>
      <c r="I592" s="6" t="s">
        <v>3367</v>
      </c>
      <c r="J592" s="14"/>
      <c r="K592" s="6"/>
      <c r="L592" s="41" t="s">
        <v>2065</v>
      </c>
    </row>
    <row r="593" customFormat="false" ht="15" hidden="false" customHeight="false" outlineLevel="0" collapsed="false">
      <c r="A593" s="14" t="s">
        <v>3373</v>
      </c>
      <c r="B593" s="14" t="s">
        <v>1102</v>
      </c>
      <c r="C593" s="14" t="s">
        <v>1032</v>
      </c>
      <c r="D593" s="28" t="s">
        <v>3374</v>
      </c>
      <c r="E593" s="43" t="s">
        <v>96</v>
      </c>
      <c r="F593" s="31" t="n">
        <f aca="false">WBS!T141</f>
        <v>2.8</v>
      </c>
      <c r="G593" s="14" t="str">
        <f aca="false">WBS!H141</f>
        <v>P4</v>
      </c>
      <c r="H593" s="14" t="str">
        <f aca="false">WBS!G141</f>
        <v>Nice-to-have</v>
      </c>
      <c r="I593" s="6" t="s">
        <v>3375</v>
      </c>
      <c r="J593" s="14"/>
      <c r="K593" s="6"/>
      <c r="L593" s="41" t="s">
        <v>2065</v>
      </c>
    </row>
    <row r="594" customFormat="false" ht="15" hidden="false" customHeight="false" outlineLevel="0" collapsed="false">
      <c r="A594" s="14" t="s">
        <v>3376</v>
      </c>
      <c r="B594" s="14" t="s">
        <v>1108</v>
      </c>
      <c r="C594" s="14" t="s">
        <v>1109</v>
      </c>
      <c r="D594" s="28" t="s">
        <v>3377</v>
      </c>
      <c r="E594" s="40" t="s">
        <v>91</v>
      </c>
      <c r="F594" s="31" t="n">
        <f aca="false">WBS!R142</f>
        <v>1.2</v>
      </c>
      <c r="G594" s="14" t="str">
        <f aca="false">WBS!H142</f>
        <v>P1</v>
      </c>
      <c r="H594" s="14" t="str">
        <f aca="false">WBS!G142</f>
        <v>Must</v>
      </c>
      <c r="I594" s="6" t="s">
        <v>1117</v>
      </c>
      <c r="J594" s="14"/>
      <c r="K594" s="6"/>
      <c r="L594" s="41" t="s">
        <v>2065</v>
      </c>
    </row>
    <row r="595" customFormat="false" ht="15" hidden="false" customHeight="false" outlineLevel="0" collapsed="false">
      <c r="A595" s="14" t="s">
        <v>3378</v>
      </c>
      <c r="B595" s="14" t="s">
        <v>1108</v>
      </c>
      <c r="C595" s="14" t="s">
        <v>1109</v>
      </c>
      <c r="D595" s="28" t="s">
        <v>3379</v>
      </c>
      <c r="E595" s="37" t="s">
        <v>128</v>
      </c>
      <c r="F595" s="31" t="n">
        <f aca="false">WBS!S142</f>
        <v>2</v>
      </c>
      <c r="G595" s="14" t="str">
        <f aca="false">WBS!H142</f>
        <v>P1</v>
      </c>
      <c r="H595" s="14" t="str">
        <f aca="false">WBS!G142</f>
        <v>Must</v>
      </c>
      <c r="I595" s="6" t="s">
        <v>3376</v>
      </c>
      <c r="J595" s="14"/>
      <c r="K595" s="6"/>
      <c r="L595" s="41" t="s">
        <v>2065</v>
      </c>
    </row>
    <row r="596" customFormat="false" ht="15" hidden="false" customHeight="false" outlineLevel="0" collapsed="false">
      <c r="A596" s="14" t="s">
        <v>3380</v>
      </c>
      <c r="B596" s="14" t="s">
        <v>1108</v>
      </c>
      <c r="C596" s="14" t="s">
        <v>1109</v>
      </c>
      <c r="D596" s="28" t="s">
        <v>3381</v>
      </c>
      <c r="E596" s="42" t="s">
        <v>2068</v>
      </c>
      <c r="F596" s="31" t="n">
        <f aca="false">WBS!P142</f>
        <v>5</v>
      </c>
      <c r="G596" s="14" t="str">
        <f aca="false">WBS!H142</f>
        <v>P1</v>
      </c>
      <c r="H596" s="14" t="str">
        <f aca="false">WBS!G142</f>
        <v>Must</v>
      </c>
      <c r="I596" s="6" t="s">
        <v>3376</v>
      </c>
      <c r="J596" s="14"/>
      <c r="K596" s="6"/>
      <c r="L596" s="41" t="s">
        <v>2065</v>
      </c>
    </row>
    <row r="597" customFormat="false" ht="15" hidden="false" customHeight="false" outlineLevel="0" collapsed="false">
      <c r="A597" s="14" t="s">
        <v>3382</v>
      </c>
      <c r="B597" s="14" t="s">
        <v>1108</v>
      </c>
      <c r="C597" s="14" t="s">
        <v>1109</v>
      </c>
      <c r="D597" s="28" t="s">
        <v>3383</v>
      </c>
      <c r="E597" s="22" t="s">
        <v>2071</v>
      </c>
      <c r="F597" s="31" t="n">
        <f aca="false">WBS!Q142</f>
        <v>5</v>
      </c>
      <c r="G597" s="14" t="str">
        <f aca="false">WBS!H142</f>
        <v>P1</v>
      </c>
      <c r="H597" s="14" t="str">
        <f aca="false">WBS!G142</f>
        <v>Must</v>
      </c>
      <c r="I597" s="6" t="s">
        <v>3378</v>
      </c>
      <c r="J597" s="14"/>
      <c r="K597" s="6"/>
      <c r="L597" s="41" t="s">
        <v>2065</v>
      </c>
    </row>
    <row r="598" customFormat="false" ht="23.85" hidden="false" customHeight="false" outlineLevel="0" collapsed="false">
      <c r="A598" s="14" t="s">
        <v>3384</v>
      </c>
      <c r="B598" s="14" t="s">
        <v>1108</v>
      </c>
      <c r="C598" s="14" t="s">
        <v>1109</v>
      </c>
      <c r="D598" s="28" t="s">
        <v>3385</v>
      </c>
      <c r="E598" s="43" t="s">
        <v>96</v>
      </c>
      <c r="F598" s="31" t="n">
        <f aca="false">WBS!T142</f>
        <v>3.5</v>
      </c>
      <c r="G598" s="14" t="str">
        <f aca="false">WBS!H142</f>
        <v>P1</v>
      </c>
      <c r="H598" s="14" t="str">
        <f aca="false">WBS!G142</f>
        <v>Must</v>
      </c>
      <c r="I598" s="6" t="s">
        <v>3386</v>
      </c>
      <c r="J598" s="14"/>
      <c r="K598" s="6"/>
      <c r="L598" s="41" t="s">
        <v>2065</v>
      </c>
    </row>
    <row r="599" customFormat="false" ht="15" hidden="false" customHeight="false" outlineLevel="0" collapsed="false">
      <c r="A599" s="14" t="s">
        <v>3387</v>
      </c>
      <c r="B599" s="14" t="s">
        <v>1118</v>
      </c>
      <c r="C599" s="14" t="s">
        <v>1109</v>
      </c>
      <c r="D599" s="28" t="s">
        <v>3388</v>
      </c>
      <c r="E599" s="40" t="s">
        <v>91</v>
      </c>
      <c r="F599" s="31" t="n">
        <f aca="false">WBS!R143</f>
        <v>1</v>
      </c>
      <c r="G599" s="14" t="str">
        <f aca="false">WBS!H143</f>
        <v>P1</v>
      </c>
      <c r="H599" s="14" t="str">
        <f aca="false">WBS!G143</f>
        <v>Must</v>
      </c>
      <c r="I599" s="6" t="s">
        <v>1125</v>
      </c>
      <c r="J599" s="14"/>
      <c r="K599" s="6"/>
      <c r="L599" s="41" t="s">
        <v>2065</v>
      </c>
    </row>
    <row r="600" customFormat="false" ht="15" hidden="false" customHeight="false" outlineLevel="0" collapsed="false">
      <c r="A600" s="14" t="s">
        <v>3389</v>
      </c>
      <c r="B600" s="14" t="s">
        <v>1118</v>
      </c>
      <c r="C600" s="14" t="s">
        <v>1109</v>
      </c>
      <c r="D600" s="28" t="s">
        <v>3390</v>
      </c>
      <c r="E600" s="42" t="s">
        <v>2068</v>
      </c>
      <c r="F600" s="31" t="n">
        <f aca="false">WBS!P143</f>
        <v>3</v>
      </c>
      <c r="G600" s="14" t="str">
        <f aca="false">WBS!H143</f>
        <v>P1</v>
      </c>
      <c r="H600" s="14" t="str">
        <f aca="false">WBS!G143</f>
        <v>Must</v>
      </c>
      <c r="I600" s="6" t="s">
        <v>3387</v>
      </c>
      <c r="J600" s="14"/>
      <c r="K600" s="6"/>
      <c r="L600" s="41" t="s">
        <v>2065</v>
      </c>
    </row>
    <row r="601" customFormat="false" ht="15" hidden="false" customHeight="false" outlineLevel="0" collapsed="false">
      <c r="A601" s="14" t="s">
        <v>3391</v>
      </c>
      <c r="B601" s="14" t="s">
        <v>1118</v>
      </c>
      <c r="C601" s="14" t="s">
        <v>1109</v>
      </c>
      <c r="D601" s="28" t="s">
        <v>3392</v>
      </c>
      <c r="E601" s="22" t="s">
        <v>2071</v>
      </c>
      <c r="F601" s="31" t="n">
        <f aca="false">WBS!Q143</f>
        <v>5</v>
      </c>
      <c r="G601" s="14" t="str">
        <f aca="false">WBS!H143</f>
        <v>P1</v>
      </c>
      <c r="H601" s="14" t="str">
        <f aca="false">WBS!G143</f>
        <v>Must</v>
      </c>
      <c r="I601" s="6" t="s">
        <v>3387</v>
      </c>
      <c r="J601" s="14"/>
      <c r="K601" s="6"/>
      <c r="L601" s="41" t="s">
        <v>2065</v>
      </c>
    </row>
    <row r="602" customFormat="false" ht="23.85" hidden="false" customHeight="false" outlineLevel="0" collapsed="false">
      <c r="A602" s="14" t="s">
        <v>3393</v>
      </c>
      <c r="B602" s="14" t="s">
        <v>1118</v>
      </c>
      <c r="C602" s="14" t="s">
        <v>1109</v>
      </c>
      <c r="D602" s="28" t="s">
        <v>3394</v>
      </c>
      <c r="E602" s="43" t="s">
        <v>96</v>
      </c>
      <c r="F602" s="31" t="n">
        <f aca="false">WBS!T143</f>
        <v>2.8</v>
      </c>
      <c r="G602" s="14" t="str">
        <f aca="false">WBS!H143</f>
        <v>P1</v>
      </c>
      <c r="H602" s="14" t="str">
        <f aca="false">WBS!G143</f>
        <v>Must</v>
      </c>
      <c r="I602" s="6" t="s">
        <v>3395</v>
      </c>
      <c r="J602" s="14"/>
      <c r="K602" s="6"/>
      <c r="L602" s="41" t="s">
        <v>2065</v>
      </c>
    </row>
    <row r="603" customFormat="false" ht="15" hidden="false" customHeight="false" outlineLevel="0" collapsed="false">
      <c r="A603" s="14" t="s">
        <v>3396</v>
      </c>
      <c r="B603" s="14" t="s">
        <v>1126</v>
      </c>
      <c r="C603" s="14" t="s">
        <v>1109</v>
      </c>
      <c r="D603" s="28" t="s">
        <v>3397</v>
      </c>
      <c r="E603" s="40" t="s">
        <v>91</v>
      </c>
      <c r="F603" s="31" t="n">
        <f aca="false">WBS!R144</f>
        <v>1</v>
      </c>
      <c r="G603" s="14" t="str">
        <f aca="false">WBS!H144</f>
        <v>P1</v>
      </c>
      <c r="H603" s="14" t="str">
        <f aca="false">WBS!G144</f>
        <v>Must</v>
      </c>
      <c r="I603" s="6" t="s">
        <v>1125</v>
      </c>
      <c r="J603" s="14"/>
      <c r="K603" s="6"/>
      <c r="L603" s="41" t="s">
        <v>2065</v>
      </c>
    </row>
    <row r="604" customFormat="false" ht="15" hidden="false" customHeight="false" outlineLevel="0" collapsed="false">
      <c r="A604" s="14" t="s">
        <v>3398</v>
      </c>
      <c r="B604" s="14" t="s">
        <v>1126</v>
      </c>
      <c r="C604" s="14" t="s">
        <v>1109</v>
      </c>
      <c r="D604" s="28" t="s">
        <v>3399</v>
      </c>
      <c r="E604" s="42" t="s">
        <v>2068</v>
      </c>
      <c r="F604" s="31" t="n">
        <f aca="false">WBS!P144</f>
        <v>5</v>
      </c>
      <c r="G604" s="14" t="str">
        <f aca="false">WBS!H144</f>
        <v>P1</v>
      </c>
      <c r="H604" s="14" t="str">
        <f aca="false">WBS!G144</f>
        <v>Must</v>
      </c>
      <c r="I604" s="6" t="s">
        <v>3396</v>
      </c>
      <c r="J604" s="14"/>
      <c r="K604" s="6"/>
      <c r="L604" s="41" t="s">
        <v>2065</v>
      </c>
    </row>
    <row r="605" customFormat="false" ht="15" hidden="false" customHeight="false" outlineLevel="0" collapsed="false">
      <c r="A605" s="14" t="s">
        <v>3400</v>
      </c>
      <c r="B605" s="14" t="s">
        <v>1126</v>
      </c>
      <c r="C605" s="14" t="s">
        <v>1109</v>
      </c>
      <c r="D605" s="28" t="s">
        <v>3401</v>
      </c>
      <c r="E605" s="22" t="s">
        <v>2071</v>
      </c>
      <c r="F605" s="31" t="n">
        <f aca="false">WBS!Q144</f>
        <v>3</v>
      </c>
      <c r="G605" s="14" t="str">
        <f aca="false">WBS!H144</f>
        <v>P1</v>
      </c>
      <c r="H605" s="14" t="str">
        <f aca="false">WBS!G144</f>
        <v>Must</v>
      </c>
      <c r="I605" s="6" t="s">
        <v>3396</v>
      </c>
      <c r="J605" s="14"/>
      <c r="K605" s="6"/>
      <c r="L605" s="41" t="s">
        <v>2065</v>
      </c>
    </row>
    <row r="606" customFormat="false" ht="23.85" hidden="false" customHeight="false" outlineLevel="0" collapsed="false">
      <c r="A606" s="14" t="s">
        <v>3402</v>
      </c>
      <c r="B606" s="14" t="s">
        <v>1126</v>
      </c>
      <c r="C606" s="14" t="s">
        <v>1109</v>
      </c>
      <c r="D606" s="28" t="s">
        <v>3403</v>
      </c>
      <c r="E606" s="43" t="s">
        <v>96</v>
      </c>
      <c r="F606" s="31" t="n">
        <f aca="false">WBS!T144</f>
        <v>2.8</v>
      </c>
      <c r="G606" s="14" t="str">
        <f aca="false">WBS!H144</f>
        <v>P1</v>
      </c>
      <c r="H606" s="14" t="str">
        <f aca="false">WBS!G144</f>
        <v>Must</v>
      </c>
      <c r="I606" s="6" t="s">
        <v>3404</v>
      </c>
      <c r="J606" s="14"/>
      <c r="K606" s="6"/>
      <c r="L606" s="41" t="s">
        <v>2065</v>
      </c>
    </row>
    <row r="607" customFormat="false" ht="15" hidden="false" customHeight="false" outlineLevel="0" collapsed="false">
      <c r="A607" s="14" t="s">
        <v>3405</v>
      </c>
      <c r="B607" s="14" t="s">
        <v>1133</v>
      </c>
      <c r="C607" s="14" t="s">
        <v>1109</v>
      </c>
      <c r="D607" s="28" t="s">
        <v>3406</v>
      </c>
      <c r="E607" s="40" t="s">
        <v>91</v>
      </c>
      <c r="F607" s="31" t="n">
        <f aca="false">WBS!R145</f>
        <v>0.7</v>
      </c>
      <c r="G607" s="14" t="str">
        <f aca="false">WBS!H145</f>
        <v>P1</v>
      </c>
      <c r="H607" s="14" t="str">
        <f aca="false">WBS!G145</f>
        <v>Must</v>
      </c>
      <c r="I607" s="6" t="s">
        <v>1108</v>
      </c>
      <c r="J607" s="14"/>
      <c r="K607" s="6"/>
      <c r="L607" s="41" t="s">
        <v>2065</v>
      </c>
    </row>
    <row r="608" customFormat="false" ht="15" hidden="false" customHeight="false" outlineLevel="0" collapsed="false">
      <c r="A608" s="14" t="s">
        <v>3407</v>
      </c>
      <c r="B608" s="14" t="s">
        <v>1133</v>
      </c>
      <c r="C608" s="14" t="s">
        <v>1109</v>
      </c>
      <c r="D608" s="28" t="s">
        <v>3408</v>
      </c>
      <c r="E608" s="42" t="s">
        <v>2068</v>
      </c>
      <c r="F608" s="31" t="n">
        <f aca="false">WBS!P145</f>
        <v>3</v>
      </c>
      <c r="G608" s="14" t="str">
        <f aca="false">WBS!H145</f>
        <v>P1</v>
      </c>
      <c r="H608" s="14" t="str">
        <f aca="false">WBS!G145</f>
        <v>Must</v>
      </c>
      <c r="I608" s="6" t="s">
        <v>3405</v>
      </c>
      <c r="J608" s="14"/>
      <c r="K608" s="6"/>
      <c r="L608" s="41" t="s">
        <v>2065</v>
      </c>
    </row>
    <row r="609" customFormat="false" ht="15" hidden="false" customHeight="false" outlineLevel="0" collapsed="false">
      <c r="A609" s="14" t="s">
        <v>3409</v>
      </c>
      <c r="B609" s="14" t="s">
        <v>1133</v>
      </c>
      <c r="C609" s="14" t="s">
        <v>1109</v>
      </c>
      <c r="D609" s="28" t="s">
        <v>3410</v>
      </c>
      <c r="E609" s="22" t="s">
        <v>2071</v>
      </c>
      <c r="F609" s="31" t="n">
        <f aca="false">WBS!Q145</f>
        <v>3</v>
      </c>
      <c r="G609" s="14" t="str">
        <f aca="false">WBS!H145</f>
        <v>P1</v>
      </c>
      <c r="H609" s="14" t="str">
        <f aca="false">WBS!G145</f>
        <v>Must</v>
      </c>
      <c r="I609" s="6" t="s">
        <v>3405</v>
      </c>
      <c r="J609" s="14"/>
      <c r="K609" s="6"/>
      <c r="L609" s="41" t="s">
        <v>2065</v>
      </c>
    </row>
    <row r="610" customFormat="false" ht="23.85" hidden="false" customHeight="false" outlineLevel="0" collapsed="false">
      <c r="A610" s="14" t="s">
        <v>3411</v>
      </c>
      <c r="B610" s="14" t="s">
        <v>1133</v>
      </c>
      <c r="C610" s="14" t="s">
        <v>1109</v>
      </c>
      <c r="D610" s="28" t="s">
        <v>3412</v>
      </c>
      <c r="E610" s="43" t="s">
        <v>96</v>
      </c>
      <c r="F610" s="31" t="n">
        <f aca="false">WBS!T145</f>
        <v>2.1</v>
      </c>
      <c r="G610" s="14" t="str">
        <f aca="false">WBS!H145</f>
        <v>P1</v>
      </c>
      <c r="H610" s="14" t="str">
        <f aca="false">WBS!G145</f>
        <v>Must</v>
      </c>
      <c r="I610" s="6" t="s">
        <v>3413</v>
      </c>
      <c r="J610" s="14"/>
      <c r="K610" s="6"/>
      <c r="L610" s="41" t="s">
        <v>2065</v>
      </c>
    </row>
    <row r="611" customFormat="false" ht="15" hidden="false" customHeight="false" outlineLevel="0" collapsed="false">
      <c r="A611" s="14" t="s">
        <v>3414</v>
      </c>
      <c r="B611" s="14" t="s">
        <v>1140</v>
      </c>
      <c r="C611" s="14" t="s">
        <v>1109</v>
      </c>
      <c r="D611" s="28" t="s">
        <v>3415</v>
      </c>
      <c r="E611" s="40" t="s">
        <v>91</v>
      </c>
      <c r="F611" s="31" t="n">
        <f aca="false">WBS!R146</f>
        <v>1</v>
      </c>
      <c r="G611" s="14" t="str">
        <f aca="false">WBS!H146</f>
        <v>P1</v>
      </c>
      <c r="H611" s="14" t="str">
        <f aca="false">WBS!G146</f>
        <v>Must</v>
      </c>
      <c r="I611" s="6" t="s">
        <v>359</v>
      </c>
      <c r="J611" s="14"/>
      <c r="K611" s="6"/>
      <c r="L611" s="41" t="s">
        <v>2065</v>
      </c>
    </row>
    <row r="612" customFormat="false" ht="22.35" hidden="false" customHeight="false" outlineLevel="0" collapsed="false">
      <c r="A612" s="14" t="s">
        <v>3416</v>
      </c>
      <c r="B612" s="14" t="s">
        <v>1140</v>
      </c>
      <c r="C612" s="14" t="s">
        <v>1109</v>
      </c>
      <c r="D612" s="28" t="s">
        <v>3417</v>
      </c>
      <c r="E612" s="42" t="s">
        <v>2068</v>
      </c>
      <c r="F612" s="31" t="n">
        <f aca="false">WBS!P146</f>
        <v>5</v>
      </c>
      <c r="G612" s="14" t="str">
        <f aca="false">WBS!H146</f>
        <v>P1</v>
      </c>
      <c r="H612" s="14" t="str">
        <f aca="false">WBS!G146</f>
        <v>Must</v>
      </c>
      <c r="I612" s="6" t="s">
        <v>3414</v>
      </c>
      <c r="J612" s="14"/>
      <c r="K612" s="6"/>
      <c r="L612" s="41" t="s">
        <v>2065</v>
      </c>
    </row>
    <row r="613" customFormat="false" ht="15" hidden="false" customHeight="false" outlineLevel="0" collapsed="false">
      <c r="A613" s="14" t="s">
        <v>3418</v>
      </c>
      <c r="B613" s="14" t="s">
        <v>1140</v>
      </c>
      <c r="C613" s="14" t="s">
        <v>1109</v>
      </c>
      <c r="D613" s="28" t="s">
        <v>3419</v>
      </c>
      <c r="E613" s="22" t="s">
        <v>2071</v>
      </c>
      <c r="F613" s="31" t="n">
        <f aca="false">WBS!Q146</f>
        <v>3</v>
      </c>
      <c r="G613" s="14" t="str">
        <f aca="false">WBS!H146</f>
        <v>P1</v>
      </c>
      <c r="H613" s="14" t="str">
        <f aca="false">WBS!G146</f>
        <v>Must</v>
      </c>
      <c r="I613" s="6" t="s">
        <v>3414</v>
      </c>
      <c r="J613" s="14"/>
      <c r="K613" s="6"/>
      <c r="L613" s="41" t="s">
        <v>2065</v>
      </c>
    </row>
    <row r="614" customFormat="false" ht="23.85" hidden="false" customHeight="false" outlineLevel="0" collapsed="false">
      <c r="A614" s="14" t="s">
        <v>3420</v>
      </c>
      <c r="B614" s="14" t="s">
        <v>1140</v>
      </c>
      <c r="C614" s="14" t="s">
        <v>1109</v>
      </c>
      <c r="D614" s="28" t="s">
        <v>3421</v>
      </c>
      <c r="E614" s="43" t="s">
        <v>96</v>
      </c>
      <c r="F614" s="31" t="n">
        <f aca="false">WBS!T146</f>
        <v>2.8</v>
      </c>
      <c r="G614" s="14" t="str">
        <f aca="false">WBS!H146</f>
        <v>P1</v>
      </c>
      <c r="H614" s="14" t="str">
        <f aca="false">WBS!G146</f>
        <v>Must</v>
      </c>
      <c r="I614" s="6" t="s">
        <v>3422</v>
      </c>
      <c r="J614" s="14"/>
      <c r="K614" s="6"/>
      <c r="L614" s="41" t="s">
        <v>2065</v>
      </c>
    </row>
    <row r="615" customFormat="false" ht="15" hidden="false" customHeight="false" outlineLevel="0" collapsed="false">
      <c r="A615" s="14" t="s">
        <v>3423</v>
      </c>
      <c r="B615" s="14" t="s">
        <v>1147</v>
      </c>
      <c r="C615" s="14" t="s">
        <v>1109</v>
      </c>
      <c r="D615" s="28" t="s">
        <v>3424</v>
      </c>
      <c r="E615" s="40" t="s">
        <v>91</v>
      </c>
      <c r="F615" s="31" t="n">
        <f aca="false">WBS!R147</f>
        <v>0.7</v>
      </c>
      <c r="G615" s="14" t="str">
        <f aca="false">WBS!H147</f>
        <v>P1</v>
      </c>
      <c r="H615" s="14" t="str">
        <f aca="false">WBS!G147</f>
        <v>Must</v>
      </c>
      <c r="I615" s="6" t="s">
        <v>170</v>
      </c>
      <c r="J615" s="14"/>
      <c r="K615" s="6"/>
      <c r="L615" s="41" t="s">
        <v>2065</v>
      </c>
    </row>
    <row r="616" customFormat="false" ht="15" hidden="false" customHeight="false" outlineLevel="0" collapsed="false">
      <c r="A616" s="14" t="s">
        <v>3425</v>
      </c>
      <c r="B616" s="14" t="s">
        <v>1147</v>
      </c>
      <c r="C616" s="14" t="s">
        <v>1109</v>
      </c>
      <c r="D616" s="28" t="s">
        <v>3426</v>
      </c>
      <c r="E616" s="42" t="s">
        <v>2068</v>
      </c>
      <c r="F616" s="31" t="n">
        <f aca="false">WBS!P147</f>
        <v>3</v>
      </c>
      <c r="G616" s="14" t="str">
        <f aca="false">WBS!H147</f>
        <v>P1</v>
      </c>
      <c r="H616" s="14" t="str">
        <f aca="false">WBS!G147</f>
        <v>Must</v>
      </c>
      <c r="I616" s="6" t="s">
        <v>3423</v>
      </c>
      <c r="J616" s="14"/>
      <c r="K616" s="6"/>
      <c r="L616" s="41" t="s">
        <v>2065</v>
      </c>
    </row>
    <row r="617" customFormat="false" ht="15" hidden="false" customHeight="false" outlineLevel="0" collapsed="false">
      <c r="A617" s="14" t="s">
        <v>3427</v>
      </c>
      <c r="B617" s="14" t="s">
        <v>1147</v>
      </c>
      <c r="C617" s="14" t="s">
        <v>1109</v>
      </c>
      <c r="D617" s="28" t="s">
        <v>3428</v>
      </c>
      <c r="E617" s="22" t="s">
        <v>2071</v>
      </c>
      <c r="F617" s="31" t="n">
        <f aca="false">WBS!Q147</f>
        <v>3</v>
      </c>
      <c r="G617" s="14" t="str">
        <f aca="false">WBS!H147</f>
        <v>P1</v>
      </c>
      <c r="H617" s="14" t="str">
        <f aca="false">WBS!G147</f>
        <v>Must</v>
      </c>
      <c r="I617" s="6" t="s">
        <v>3423</v>
      </c>
      <c r="J617" s="14"/>
      <c r="K617" s="6"/>
      <c r="L617" s="41" t="s">
        <v>2065</v>
      </c>
    </row>
    <row r="618" customFormat="false" ht="23.85" hidden="false" customHeight="false" outlineLevel="0" collapsed="false">
      <c r="A618" s="14" t="s">
        <v>3429</v>
      </c>
      <c r="B618" s="14" t="s">
        <v>1147</v>
      </c>
      <c r="C618" s="14" t="s">
        <v>1109</v>
      </c>
      <c r="D618" s="28" t="s">
        <v>3430</v>
      </c>
      <c r="E618" s="43" t="s">
        <v>96</v>
      </c>
      <c r="F618" s="31" t="n">
        <f aca="false">WBS!T147</f>
        <v>2.1</v>
      </c>
      <c r="G618" s="14" t="str">
        <f aca="false">WBS!H147</f>
        <v>P1</v>
      </c>
      <c r="H618" s="14" t="str">
        <f aca="false">WBS!G147</f>
        <v>Must</v>
      </c>
      <c r="I618" s="6" t="s">
        <v>3431</v>
      </c>
      <c r="J618" s="14"/>
      <c r="K618" s="6"/>
      <c r="L618" s="41" t="s">
        <v>2065</v>
      </c>
    </row>
    <row r="619" customFormat="false" ht="15" hidden="false" customHeight="false" outlineLevel="0" collapsed="false">
      <c r="A619" s="14" t="s">
        <v>3432</v>
      </c>
      <c r="B619" s="14" t="s">
        <v>1125</v>
      </c>
      <c r="C619" s="14" t="s">
        <v>1109</v>
      </c>
      <c r="D619" s="28" t="s">
        <v>3433</v>
      </c>
      <c r="E619" s="40" t="s">
        <v>91</v>
      </c>
      <c r="F619" s="31" t="n">
        <f aca="false">WBS!R148</f>
        <v>1.8</v>
      </c>
      <c r="G619" s="14" t="str">
        <f aca="false">WBS!H148</f>
        <v>P1</v>
      </c>
      <c r="H619" s="14" t="str">
        <f aca="false">WBS!G148</f>
        <v>Must</v>
      </c>
      <c r="I619" s="6" t="s">
        <v>170</v>
      </c>
      <c r="J619" s="14"/>
      <c r="K619" s="6"/>
      <c r="L619" s="41" t="s">
        <v>2065</v>
      </c>
    </row>
    <row r="620" customFormat="false" ht="15" hidden="false" customHeight="false" outlineLevel="0" collapsed="false">
      <c r="A620" s="14" t="s">
        <v>3434</v>
      </c>
      <c r="B620" s="14" t="s">
        <v>1125</v>
      </c>
      <c r="C620" s="14" t="s">
        <v>1109</v>
      </c>
      <c r="D620" s="28" t="s">
        <v>3435</v>
      </c>
      <c r="E620" s="37" t="s">
        <v>128</v>
      </c>
      <c r="F620" s="31" t="n">
        <f aca="false">WBS!S148</f>
        <v>2</v>
      </c>
      <c r="G620" s="14" t="str">
        <f aca="false">WBS!H148</f>
        <v>P1</v>
      </c>
      <c r="H620" s="14" t="str">
        <f aca="false">WBS!G148</f>
        <v>Must</v>
      </c>
      <c r="I620" s="6" t="s">
        <v>3432</v>
      </c>
      <c r="J620" s="14"/>
      <c r="K620" s="6"/>
      <c r="L620" s="41" t="s">
        <v>2065</v>
      </c>
    </row>
    <row r="621" customFormat="false" ht="22.35" hidden="false" customHeight="false" outlineLevel="0" collapsed="false">
      <c r="A621" s="14" t="s">
        <v>3436</v>
      </c>
      <c r="B621" s="14" t="s">
        <v>1125</v>
      </c>
      <c r="C621" s="14" t="s">
        <v>1109</v>
      </c>
      <c r="D621" s="28" t="s">
        <v>3437</v>
      </c>
      <c r="E621" s="42" t="s">
        <v>2068</v>
      </c>
      <c r="F621" s="31" t="n">
        <f aca="false">WBS!P148</f>
        <v>10</v>
      </c>
      <c r="G621" s="14" t="str">
        <f aca="false">WBS!H148</f>
        <v>P1</v>
      </c>
      <c r="H621" s="14" t="str">
        <f aca="false">WBS!G148</f>
        <v>Must</v>
      </c>
      <c r="I621" s="6" t="s">
        <v>3432</v>
      </c>
      <c r="J621" s="14"/>
      <c r="K621" s="6"/>
      <c r="L621" s="41" t="s">
        <v>2065</v>
      </c>
    </row>
    <row r="622" customFormat="false" ht="15" hidden="false" customHeight="false" outlineLevel="0" collapsed="false">
      <c r="A622" s="14" t="s">
        <v>3438</v>
      </c>
      <c r="B622" s="14" t="s">
        <v>1125</v>
      </c>
      <c r="C622" s="14" t="s">
        <v>1109</v>
      </c>
      <c r="D622" s="28" t="s">
        <v>3439</v>
      </c>
      <c r="E622" s="22" t="s">
        <v>2071</v>
      </c>
      <c r="F622" s="31" t="n">
        <f aca="false">WBS!Q148</f>
        <v>5</v>
      </c>
      <c r="G622" s="14" t="str">
        <f aca="false">WBS!H148</f>
        <v>P1</v>
      </c>
      <c r="H622" s="14" t="str">
        <f aca="false">WBS!G148</f>
        <v>Must</v>
      </c>
      <c r="I622" s="6" t="s">
        <v>3434</v>
      </c>
      <c r="J622" s="14"/>
      <c r="K622" s="6"/>
      <c r="L622" s="41" t="s">
        <v>2065</v>
      </c>
    </row>
    <row r="623" customFormat="false" ht="23.85" hidden="false" customHeight="false" outlineLevel="0" collapsed="false">
      <c r="A623" s="14" t="s">
        <v>3440</v>
      </c>
      <c r="B623" s="14" t="s">
        <v>1125</v>
      </c>
      <c r="C623" s="14" t="s">
        <v>1109</v>
      </c>
      <c r="D623" s="28" t="s">
        <v>3441</v>
      </c>
      <c r="E623" s="43" t="s">
        <v>96</v>
      </c>
      <c r="F623" s="31" t="n">
        <f aca="false">WBS!T148</f>
        <v>5.3</v>
      </c>
      <c r="G623" s="14" t="str">
        <f aca="false">WBS!H148</f>
        <v>P1</v>
      </c>
      <c r="H623" s="14" t="str">
        <f aca="false">WBS!G148</f>
        <v>Must</v>
      </c>
      <c r="I623" s="6" t="s">
        <v>3442</v>
      </c>
      <c r="J623" s="14"/>
      <c r="K623" s="6"/>
      <c r="L623" s="41" t="s">
        <v>2065</v>
      </c>
    </row>
    <row r="624" customFormat="false" ht="15" hidden="false" customHeight="false" outlineLevel="0" collapsed="false">
      <c r="A624" s="14" t="s">
        <v>3443</v>
      </c>
      <c r="B624" s="14" t="s">
        <v>878</v>
      </c>
      <c r="C624" s="14" t="s">
        <v>1109</v>
      </c>
      <c r="D624" s="28" t="s">
        <v>3444</v>
      </c>
      <c r="E624" s="40" t="s">
        <v>91</v>
      </c>
      <c r="F624" s="31" t="n">
        <f aca="false">WBS!R149</f>
        <v>0.7</v>
      </c>
      <c r="G624" s="14" t="str">
        <f aca="false">WBS!H149</f>
        <v>P1</v>
      </c>
      <c r="H624" s="14" t="str">
        <f aca="false">WBS!G149</f>
        <v>Must</v>
      </c>
      <c r="I624" s="6" t="s">
        <v>1165</v>
      </c>
      <c r="J624" s="14"/>
      <c r="K624" s="6"/>
      <c r="L624" s="41" t="s">
        <v>2065</v>
      </c>
    </row>
    <row r="625" customFormat="false" ht="15" hidden="false" customHeight="false" outlineLevel="0" collapsed="false">
      <c r="A625" s="14" t="s">
        <v>3445</v>
      </c>
      <c r="B625" s="14" t="s">
        <v>878</v>
      </c>
      <c r="C625" s="14" t="s">
        <v>1109</v>
      </c>
      <c r="D625" s="28" t="s">
        <v>3446</v>
      </c>
      <c r="E625" s="42" t="s">
        <v>2068</v>
      </c>
      <c r="F625" s="31" t="n">
        <f aca="false">WBS!P149</f>
        <v>3</v>
      </c>
      <c r="G625" s="14" t="str">
        <f aca="false">WBS!H149</f>
        <v>P1</v>
      </c>
      <c r="H625" s="14" t="str">
        <f aca="false">WBS!G149</f>
        <v>Must</v>
      </c>
      <c r="I625" s="6" t="s">
        <v>3443</v>
      </c>
      <c r="J625" s="14"/>
      <c r="K625" s="6"/>
      <c r="L625" s="41" t="s">
        <v>2065</v>
      </c>
    </row>
    <row r="626" customFormat="false" ht="15" hidden="false" customHeight="false" outlineLevel="0" collapsed="false">
      <c r="A626" s="14" t="s">
        <v>3447</v>
      </c>
      <c r="B626" s="14" t="s">
        <v>878</v>
      </c>
      <c r="C626" s="14" t="s">
        <v>1109</v>
      </c>
      <c r="D626" s="28" t="s">
        <v>3448</v>
      </c>
      <c r="E626" s="22" t="s">
        <v>2071</v>
      </c>
      <c r="F626" s="31" t="n">
        <f aca="false">WBS!Q149</f>
        <v>3</v>
      </c>
      <c r="G626" s="14" t="str">
        <f aca="false">WBS!H149</f>
        <v>P1</v>
      </c>
      <c r="H626" s="14" t="str">
        <f aca="false">WBS!G149</f>
        <v>Must</v>
      </c>
      <c r="I626" s="6" t="s">
        <v>3443</v>
      </c>
      <c r="J626" s="14"/>
      <c r="K626" s="6"/>
      <c r="L626" s="41" t="s">
        <v>2065</v>
      </c>
    </row>
    <row r="627" customFormat="false" ht="23.85" hidden="false" customHeight="false" outlineLevel="0" collapsed="false">
      <c r="A627" s="14" t="s">
        <v>3449</v>
      </c>
      <c r="B627" s="14" t="s">
        <v>878</v>
      </c>
      <c r="C627" s="14" t="s">
        <v>1109</v>
      </c>
      <c r="D627" s="28" t="s">
        <v>3450</v>
      </c>
      <c r="E627" s="43" t="s">
        <v>96</v>
      </c>
      <c r="F627" s="31" t="n">
        <f aca="false">WBS!T149</f>
        <v>2.1</v>
      </c>
      <c r="G627" s="14" t="str">
        <f aca="false">WBS!H149</f>
        <v>P1</v>
      </c>
      <c r="H627" s="14" t="str">
        <f aca="false">WBS!G149</f>
        <v>Must</v>
      </c>
      <c r="I627" s="6" t="s">
        <v>3451</v>
      </c>
      <c r="J627" s="14"/>
      <c r="K627" s="6"/>
      <c r="L627" s="41" t="s">
        <v>2065</v>
      </c>
    </row>
    <row r="628" customFormat="false" ht="15" hidden="false" customHeight="false" outlineLevel="0" collapsed="false">
      <c r="A628" s="14" t="s">
        <v>3452</v>
      </c>
      <c r="B628" s="14" t="s">
        <v>1165</v>
      </c>
      <c r="C628" s="14" t="s">
        <v>1109</v>
      </c>
      <c r="D628" s="28" t="s">
        <v>3453</v>
      </c>
      <c r="E628" s="40" t="s">
        <v>91</v>
      </c>
      <c r="F628" s="31" t="n">
        <f aca="false">WBS!R150</f>
        <v>0.7</v>
      </c>
      <c r="G628" s="14" t="str">
        <f aca="false">WBS!H150</f>
        <v>P1</v>
      </c>
      <c r="H628" s="14" t="str">
        <f aca="false">WBS!G150</f>
        <v>Must</v>
      </c>
      <c r="I628" s="6" t="s">
        <v>241</v>
      </c>
      <c r="J628" s="14"/>
      <c r="K628" s="6"/>
      <c r="L628" s="41" t="s">
        <v>2065</v>
      </c>
    </row>
    <row r="629" customFormat="false" ht="15" hidden="false" customHeight="false" outlineLevel="0" collapsed="false">
      <c r="A629" s="14" t="s">
        <v>3454</v>
      </c>
      <c r="B629" s="14" t="s">
        <v>1165</v>
      </c>
      <c r="C629" s="14" t="s">
        <v>1109</v>
      </c>
      <c r="D629" s="28" t="s">
        <v>3455</v>
      </c>
      <c r="E629" s="42" t="s">
        <v>2068</v>
      </c>
      <c r="F629" s="31" t="n">
        <f aca="false">WBS!P150</f>
        <v>3</v>
      </c>
      <c r="G629" s="14" t="str">
        <f aca="false">WBS!H150</f>
        <v>P1</v>
      </c>
      <c r="H629" s="14" t="str">
        <f aca="false">WBS!G150</f>
        <v>Must</v>
      </c>
      <c r="I629" s="6" t="s">
        <v>3452</v>
      </c>
      <c r="J629" s="14"/>
      <c r="K629" s="6"/>
      <c r="L629" s="41" t="s">
        <v>2065</v>
      </c>
    </row>
    <row r="630" customFormat="false" ht="15" hidden="false" customHeight="false" outlineLevel="0" collapsed="false">
      <c r="A630" s="14" t="s">
        <v>3456</v>
      </c>
      <c r="B630" s="14" t="s">
        <v>1165</v>
      </c>
      <c r="C630" s="14" t="s">
        <v>1109</v>
      </c>
      <c r="D630" s="28" t="s">
        <v>3457</v>
      </c>
      <c r="E630" s="22" t="s">
        <v>2071</v>
      </c>
      <c r="F630" s="31" t="n">
        <f aca="false">WBS!Q150</f>
        <v>3</v>
      </c>
      <c r="G630" s="14" t="str">
        <f aca="false">WBS!H150</f>
        <v>P1</v>
      </c>
      <c r="H630" s="14" t="str">
        <f aca="false">WBS!G150</f>
        <v>Must</v>
      </c>
      <c r="I630" s="6" t="s">
        <v>3452</v>
      </c>
      <c r="J630" s="14"/>
      <c r="K630" s="6"/>
      <c r="L630" s="41" t="s">
        <v>2065</v>
      </c>
    </row>
    <row r="631" customFormat="false" ht="23.85" hidden="false" customHeight="false" outlineLevel="0" collapsed="false">
      <c r="A631" s="14" t="s">
        <v>3458</v>
      </c>
      <c r="B631" s="14" t="s">
        <v>1165</v>
      </c>
      <c r="C631" s="14" t="s">
        <v>1109</v>
      </c>
      <c r="D631" s="28" t="s">
        <v>3459</v>
      </c>
      <c r="E631" s="43" t="s">
        <v>96</v>
      </c>
      <c r="F631" s="31" t="n">
        <f aca="false">WBS!T150</f>
        <v>2.1</v>
      </c>
      <c r="G631" s="14" t="str">
        <f aca="false">WBS!H150</f>
        <v>P1</v>
      </c>
      <c r="H631" s="14" t="str">
        <f aca="false">WBS!G150</f>
        <v>Must</v>
      </c>
      <c r="I631" s="6" t="s">
        <v>3460</v>
      </c>
      <c r="J631" s="14"/>
      <c r="K631" s="6"/>
      <c r="L631" s="41" t="s">
        <v>2065</v>
      </c>
    </row>
    <row r="632" customFormat="false" ht="15" hidden="false" customHeight="false" outlineLevel="0" collapsed="false">
      <c r="A632" s="14" t="s">
        <v>3461</v>
      </c>
      <c r="B632" s="14" t="s">
        <v>1171</v>
      </c>
      <c r="C632" s="14" t="s">
        <v>1109</v>
      </c>
      <c r="D632" s="28" t="s">
        <v>3462</v>
      </c>
      <c r="E632" s="40" t="s">
        <v>91</v>
      </c>
      <c r="F632" s="31" t="n">
        <f aca="false">WBS!R151</f>
        <v>1</v>
      </c>
      <c r="G632" s="14" t="str">
        <f aca="false">WBS!H151</f>
        <v>P1</v>
      </c>
      <c r="H632" s="14" t="str">
        <f aca="false">WBS!G151</f>
        <v>Must</v>
      </c>
      <c r="I632" s="6" t="s">
        <v>1178</v>
      </c>
      <c r="J632" s="14"/>
      <c r="K632" s="6"/>
      <c r="L632" s="41" t="s">
        <v>2065</v>
      </c>
    </row>
    <row r="633" customFormat="false" ht="15" hidden="false" customHeight="false" outlineLevel="0" collapsed="false">
      <c r="A633" s="14" t="s">
        <v>3463</v>
      </c>
      <c r="B633" s="14" t="s">
        <v>1171</v>
      </c>
      <c r="C633" s="14" t="s">
        <v>1109</v>
      </c>
      <c r="D633" s="28" t="s">
        <v>3464</v>
      </c>
      <c r="E633" s="42" t="s">
        <v>2068</v>
      </c>
      <c r="F633" s="31" t="n">
        <f aca="false">WBS!P151</f>
        <v>5</v>
      </c>
      <c r="G633" s="14" t="str">
        <f aca="false">WBS!H151</f>
        <v>P1</v>
      </c>
      <c r="H633" s="14" t="str">
        <f aca="false">WBS!G151</f>
        <v>Must</v>
      </c>
      <c r="I633" s="6" t="s">
        <v>3461</v>
      </c>
      <c r="J633" s="14"/>
      <c r="K633" s="6"/>
      <c r="L633" s="41" t="s">
        <v>2065</v>
      </c>
    </row>
    <row r="634" customFormat="false" ht="15" hidden="false" customHeight="false" outlineLevel="0" collapsed="false">
      <c r="A634" s="14" t="s">
        <v>3465</v>
      </c>
      <c r="B634" s="14" t="s">
        <v>1171</v>
      </c>
      <c r="C634" s="14" t="s">
        <v>1109</v>
      </c>
      <c r="D634" s="28" t="s">
        <v>3466</v>
      </c>
      <c r="E634" s="22" t="s">
        <v>2071</v>
      </c>
      <c r="F634" s="31" t="n">
        <f aca="false">WBS!Q151</f>
        <v>3</v>
      </c>
      <c r="G634" s="14" t="str">
        <f aca="false">WBS!H151</f>
        <v>P1</v>
      </c>
      <c r="H634" s="14" t="str">
        <f aca="false">WBS!G151</f>
        <v>Must</v>
      </c>
      <c r="I634" s="6" t="s">
        <v>3461</v>
      </c>
      <c r="J634" s="14"/>
      <c r="K634" s="6"/>
      <c r="L634" s="41" t="s">
        <v>2065</v>
      </c>
    </row>
    <row r="635" customFormat="false" ht="23.85" hidden="false" customHeight="false" outlineLevel="0" collapsed="false">
      <c r="A635" s="14" t="s">
        <v>3467</v>
      </c>
      <c r="B635" s="14" t="s">
        <v>1171</v>
      </c>
      <c r="C635" s="14" t="s">
        <v>1109</v>
      </c>
      <c r="D635" s="28" t="s">
        <v>3468</v>
      </c>
      <c r="E635" s="43" t="s">
        <v>96</v>
      </c>
      <c r="F635" s="31" t="n">
        <f aca="false">WBS!T151</f>
        <v>2.8</v>
      </c>
      <c r="G635" s="14" t="str">
        <f aca="false">WBS!H151</f>
        <v>P1</v>
      </c>
      <c r="H635" s="14" t="str">
        <f aca="false">WBS!G151</f>
        <v>Must</v>
      </c>
      <c r="I635" s="6" t="s">
        <v>3469</v>
      </c>
      <c r="J635" s="14"/>
      <c r="K635" s="6"/>
      <c r="L635" s="41" t="s">
        <v>2065</v>
      </c>
    </row>
    <row r="636" customFormat="false" ht="15" hidden="false" customHeight="false" outlineLevel="0" collapsed="false">
      <c r="A636" s="14" t="s">
        <v>3470</v>
      </c>
      <c r="B636" s="14" t="s">
        <v>1179</v>
      </c>
      <c r="C636" s="14" t="s">
        <v>1109</v>
      </c>
      <c r="D636" s="28" t="s">
        <v>3471</v>
      </c>
      <c r="E636" s="40" t="s">
        <v>91</v>
      </c>
      <c r="F636" s="31" t="n">
        <f aca="false">WBS!R152</f>
        <v>0.7</v>
      </c>
      <c r="G636" s="14" t="str">
        <f aca="false">WBS!H152</f>
        <v>P1</v>
      </c>
      <c r="H636" s="14" t="str">
        <f aca="false">WBS!G152</f>
        <v>Must</v>
      </c>
      <c r="I636" s="6" t="s">
        <v>1171</v>
      </c>
      <c r="J636" s="14"/>
      <c r="K636" s="6"/>
      <c r="L636" s="41" t="s">
        <v>2065</v>
      </c>
    </row>
    <row r="637" customFormat="false" ht="15" hidden="false" customHeight="false" outlineLevel="0" collapsed="false">
      <c r="A637" s="14" t="s">
        <v>3472</v>
      </c>
      <c r="B637" s="14" t="s">
        <v>1179</v>
      </c>
      <c r="C637" s="14" t="s">
        <v>1109</v>
      </c>
      <c r="D637" s="28" t="s">
        <v>3473</v>
      </c>
      <c r="E637" s="42" t="s">
        <v>2068</v>
      </c>
      <c r="F637" s="31" t="n">
        <f aca="false">WBS!P152</f>
        <v>5</v>
      </c>
      <c r="G637" s="14" t="str">
        <f aca="false">WBS!H152</f>
        <v>P1</v>
      </c>
      <c r="H637" s="14" t="str">
        <f aca="false">WBS!G152</f>
        <v>Must</v>
      </c>
      <c r="I637" s="6" t="s">
        <v>3470</v>
      </c>
      <c r="J637" s="14"/>
      <c r="K637" s="6"/>
      <c r="L637" s="41" t="s">
        <v>2065</v>
      </c>
    </row>
    <row r="638" customFormat="false" ht="15" hidden="false" customHeight="false" outlineLevel="0" collapsed="false">
      <c r="A638" s="14" t="s">
        <v>3474</v>
      </c>
      <c r="B638" s="14" t="s">
        <v>1179</v>
      </c>
      <c r="C638" s="14" t="s">
        <v>1109</v>
      </c>
      <c r="D638" s="28" t="s">
        <v>3475</v>
      </c>
      <c r="E638" s="22" t="s">
        <v>2071</v>
      </c>
      <c r="F638" s="31" t="n">
        <f aca="false">WBS!Q152</f>
        <v>1</v>
      </c>
      <c r="G638" s="14" t="str">
        <f aca="false">WBS!H152</f>
        <v>P1</v>
      </c>
      <c r="H638" s="14" t="str">
        <f aca="false">WBS!G152</f>
        <v>Must</v>
      </c>
      <c r="I638" s="6" t="s">
        <v>3470</v>
      </c>
      <c r="J638" s="14"/>
      <c r="K638" s="6"/>
      <c r="L638" s="41" t="s">
        <v>2065</v>
      </c>
    </row>
    <row r="639" customFormat="false" ht="23.85" hidden="false" customHeight="false" outlineLevel="0" collapsed="false">
      <c r="A639" s="14" t="s">
        <v>3476</v>
      </c>
      <c r="B639" s="14" t="s">
        <v>1179</v>
      </c>
      <c r="C639" s="14" t="s">
        <v>1109</v>
      </c>
      <c r="D639" s="28" t="s">
        <v>3477</v>
      </c>
      <c r="E639" s="43" t="s">
        <v>96</v>
      </c>
      <c r="F639" s="31" t="n">
        <f aca="false">WBS!T152</f>
        <v>2.1</v>
      </c>
      <c r="G639" s="14" t="str">
        <f aca="false">WBS!H152</f>
        <v>P1</v>
      </c>
      <c r="H639" s="14" t="str">
        <f aca="false">WBS!G152</f>
        <v>Must</v>
      </c>
      <c r="I639" s="6" t="s">
        <v>3478</v>
      </c>
      <c r="J639" s="14"/>
      <c r="K639" s="6"/>
      <c r="L639" s="41" t="s">
        <v>2065</v>
      </c>
    </row>
    <row r="640" customFormat="false" ht="15" hidden="false" customHeight="false" outlineLevel="0" collapsed="false">
      <c r="A640" s="14" t="s">
        <v>3479</v>
      </c>
      <c r="B640" s="14" t="s">
        <v>1186</v>
      </c>
      <c r="C640" s="14" t="s">
        <v>1109</v>
      </c>
      <c r="D640" s="28" t="s">
        <v>3480</v>
      </c>
      <c r="E640" s="40" t="s">
        <v>91</v>
      </c>
      <c r="F640" s="31" t="n">
        <f aca="false">WBS!R153</f>
        <v>1</v>
      </c>
      <c r="G640" s="14" t="str">
        <f aca="false">WBS!H153</f>
        <v>P1</v>
      </c>
      <c r="H640" s="14" t="str">
        <f aca="false">WBS!G153</f>
        <v>Must</v>
      </c>
      <c r="I640" s="6" t="s">
        <v>185</v>
      </c>
      <c r="J640" s="14"/>
      <c r="K640" s="6"/>
      <c r="L640" s="41" t="s">
        <v>2065</v>
      </c>
    </row>
    <row r="641" customFormat="false" ht="15" hidden="false" customHeight="false" outlineLevel="0" collapsed="false">
      <c r="A641" s="14" t="s">
        <v>3481</v>
      </c>
      <c r="B641" s="14" t="s">
        <v>1186</v>
      </c>
      <c r="C641" s="14" t="s">
        <v>1109</v>
      </c>
      <c r="D641" s="28" t="s">
        <v>3482</v>
      </c>
      <c r="E641" s="42" t="s">
        <v>2068</v>
      </c>
      <c r="F641" s="31" t="n">
        <f aca="false">WBS!P153</f>
        <v>3</v>
      </c>
      <c r="G641" s="14" t="str">
        <f aca="false">WBS!H153</f>
        <v>P1</v>
      </c>
      <c r="H641" s="14" t="str">
        <f aca="false">WBS!G153</f>
        <v>Must</v>
      </c>
      <c r="I641" s="6" t="s">
        <v>3479</v>
      </c>
      <c r="J641" s="14"/>
      <c r="K641" s="6"/>
      <c r="L641" s="41" t="s">
        <v>2065</v>
      </c>
    </row>
    <row r="642" customFormat="false" ht="15" hidden="false" customHeight="false" outlineLevel="0" collapsed="false">
      <c r="A642" s="14" t="s">
        <v>3483</v>
      </c>
      <c r="B642" s="14" t="s">
        <v>1186</v>
      </c>
      <c r="C642" s="14" t="s">
        <v>1109</v>
      </c>
      <c r="D642" s="28" t="s">
        <v>3484</v>
      </c>
      <c r="E642" s="22" t="s">
        <v>2071</v>
      </c>
      <c r="F642" s="31" t="n">
        <f aca="false">WBS!Q153</f>
        <v>5</v>
      </c>
      <c r="G642" s="14" t="str">
        <f aca="false">WBS!H153</f>
        <v>P1</v>
      </c>
      <c r="H642" s="14" t="str">
        <f aca="false">WBS!G153</f>
        <v>Must</v>
      </c>
      <c r="I642" s="6" t="s">
        <v>3479</v>
      </c>
      <c r="J642" s="14"/>
      <c r="K642" s="6"/>
      <c r="L642" s="41" t="s">
        <v>2065</v>
      </c>
    </row>
    <row r="643" customFormat="false" ht="23.85" hidden="false" customHeight="false" outlineLevel="0" collapsed="false">
      <c r="A643" s="14" t="s">
        <v>3485</v>
      </c>
      <c r="B643" s="14" t="s">
        <v>1186</v>
      </c>
      <c r="C643" s="14" t="s">
        <v>1109</v>
      </c>
      <c r="D643" s="28" t="s">
        <v>3486</v>
      </c>
      <c r="E643" s="43" t="s">
        <v>96</v>
      </c>
      <c r="F643" s="31" t="n">
        <f aca="false">WBS!T153</f>
        <v>2.8</v>
      </c>
      <c r="G643" s="14" t="str">
        <f aca="false">WBS!H153</f>
        <v>P1</v>
      </c>
      <c r="H643" s="14" t="str">
        <f aca="false">WBS!G153</f>
        <v>Must</v>
      </c>
      <c r="I643" s="6" t="s">
        <v>3487</v>
      </c>
      <c r="J643" s="14"/>
      <c r="K643" s="6"/>
      <c r="L643" s="41" t="s">
        <v>2065</v>
      </c>
    </row>
    <row r="644" customFormat="false" ht="15" hidden="false" customHeight="false" outlineLevel="0" collapsed="false">
      <c r="A644" s="14" t="s">
        <v>3488</v>
      </c>
      <c r="B644" s="14" t="s">
        <v>1193</v>
      </c>
      <c r="C644" s="14" t="s">
        <v>1109</v>
      </c>
      <c r="D644" s="28" t="s">
        <v>3489</v>
      </c>
      <c r="E644" s="40" t="s">
        <v>91</v>
      </c>
      <c r="F644" s="31" t="n">
        <f aca="false">WBS!R154</f>
        <v>1</v>
      </c>
      <c r="G644" s="14" t="str">
        <f aca="false">WBS!H154</f>
        <v>P1</v>
      </c>
      <c r="H644" s="14" t="str">
        <f aca="false">WBS!G154</f>
        <v>Must</v>
      </c>
      <c r="I644" s="6" t="s">
        <v>256</v>
      </c>
      <c r="J644" s="14"/>
      <c r="K644" s="6"/>
      <c r="L644" s="41" t="s">
        <v>2065</v>
      </c>
    </row>
    <row r="645" customFormat="false" ht="15" hidden="false" customHeight="false" outlineLevel="0" collapsed="false">
      <c r="A645" s="14" t="s">
        <v>3490</v>
      </c>
      <c r="B645" s="14" t="s">
        <v>1193</v>
      </c>
      <c r="C645" s="14" t="s">
        <v>1109</v>
      </c>
      <c r="D645" s="28" t="s">
        <v>3491</v>
      </c>
      <c r="E645" s="37" t="s">
        <v>128</v>
      </c>
      <c r="F645" s="31" t="n">
        <f aca="false">WBS!S154</f>
        <v>2</v>
      </c>
      <c r="G645" s="14" t="str">
        <f aca="false">WBS!H154</f>
        <v>P1</v>
      </c>
      <c r="H645" s="14" t="str">
        <f aca="false">WBS!G154</f>
        <v>Must</v>
      </c>
      <c r="I645" s="6" t="s">
        <v>3488</v>
      </c>
      <c r="J645" s="14"/>
      <c r="K645" s="6"/>
      <c r="L645" s="41" t="s">
        <v>2065</v>
      </c>
    </row>
    <row r="646" customFormat="false" ht="15" hidden="false" customHeight="false" outlineLevel="0" collapsed="false">
      <c r="A646" s="14" t="s">
        <v>3492</v>
      </c>
      <c r="B646" s="14" t="s">
        <v>1193</v>
      </c>
      <c r="C646" s="14" t="s">
        <v>1109</v>
      </c>
      <c r="D646" s="28" t="s">
        <v>3493</v>
      </c>
      <c r="E646" s="42" t="s">
        <v>2068</v>
      </c>
      <c r="F646" s="31" t="n">
        <f aca="false">WBS!P154</f>
        <v>3</v>
      </c>
      <c r="G646" s="14" t="str">
        <f aca="false">WBS!H154</f>
        <v>P1</v>
      </c>
      <c r="H646" s="14" t="str">
        <f aca="false">WBS!G154</f>
        <v>Must</v>
      </c>
      <c r="I646" s="6" t="s">
        <v>3488</v>
      </c>
      <c r="J646" s="14"/>
      <c r="K646" s="6"/>
      <c r="L646" s="41" t="s">
        <v>2065</v>
      </c>
    </row>
    <row r="647" customFormat="false" ht="15" hidden="false" customHeight="false" outlineLevel="0" collapsed="false">
      <c r="A647" s="14" t="s">
        <v>3494</v>
      </c>
      <c r="B647" s="14" t="s">
        <v>1193</v>
      </c>
      <c r="C647" s="14" t="s">
        <v>1109</v>
      </c>
      <c r="D647" s="28" t="s">
        <v>3495</v>
      </c>
      <c r="E647" s="22" t="s">
        <v>2071</v>
      </c>
      <c r="F647" s="31" t="n">
        <f aca="false">WBS!Q154</f>
        <v>5</v>
      </c>
      <c r="G647" s="14" t="str">
        <f aca="false">WBS!H154</f>
        <v>P1</v>
      </c>
      <c r="H647" s="14" t="str">
        <f aca="false">WBS!G154</f>
        <v>Must</v>
      </c>
      <c r="I647" s="6" t="s">
        <v>3490</v>
      </c>
      <c r="J647" s="14"/>
      <c r="K647" s="6"/>
      <c r="L647" s="41" t="s">
        <v>2065</v>
      </c>
    </row>
    <row r="648" customFormat="false" ht="23.85" hidden="false" customHeight="false" outlineLevel="0" collapsed="false">
      <c r="A648" s="14" t="s">
        <v>3496</v>
      </c>
      <c r="B648" s="14" t="s">
        <v>1193</v>
      </c>
      <c r="C648" s="14" t="s">
        <v>1109</v>
      </c>
      <c r="D648" s="28" t="s">
        <v>3497</v>
      </c>
      <c r="E648" s="43" t="s">
        <v>96</v>
      </c>
      <c r="F648" s="31" t="n">
        <f aca="false">WBS!T154</f>
        <v>2.8</v>
      </c>
      <c r="G648" s="14" t="str">
        <f aca="false">WBS!H154</f>
        <v>P1</v>
      </c>
      <c r="H648" s="14" t="str">
        <f aca="false">WBS!G154</f>
        <v>Must</v>
      </c>
      <c r="I648" s="6" t="s">
        <v>3498</v>
      </c>
      <c r="J648" s="14"/>
      <c r="K648" s="6"/>
      <c r="L648" s="41" t="s">
        <v>2065</v>
      </c>
    </row>
    <row r="649" customFormat="false" ht="15" hidden="false" customHeight="false" outlineLevel="0" collapsed="false">
      <c r="A649" s="14" t="s">
        <v>3499</v>
      </c>
      <c r="B649" s="14" t="s">
        <v>1199</v>
      </c>
      <c r="C649" s="14" t="s">
        <v>1109</v>
      </c>
      <c r="D649" s="28" t="s">
        <v>3500</v>
      </c>
      <c r="E649" s="40" t="s">
        <v>91</v>
      </c>
      <c r="F649" s="31" t="n">
        <f aca="false">WBS!R155</f>
        <v>0.7</v>
      </c>
      <c r="G649" s="14" t="str">
        <f aca="false">WBS!H155</f>
        <v>P3</v>
      </c>
      <c r="H649" s="14" t="str">
        <f aca="false">WBS!G155</f>
        <v>Should</v>
      </c>
      <c r="I649" s="6" t="s">
        <v>1125</v>
      </c>
      <c r="J649" s="14"/>
      <c r="K649" s="6"/>
      <c r="L649" s="41" t="s">
        <v>2065</v>
      </c>
    </row>
    <row r="650" customFormat="false" ht="15" hidden="false" customHeight="false" outlineLevel="0" collapsed="false">
      <c r="A650" s="14" t="s">
        <v>3501</v>
      </c>
      <c r="B650" s="14" t="s">
        <v>1199</v>
      </c>
      <c r="C650" s="14" t="s">
        <v>1109</v>
      </c>
      <c r="D650" s="28" t="s">
        <v>3502</v>
      </c>
      <c r="E650" s="42" t="s">
        <v>2068</v>
      </c>
      <c r="F650" s="31" t="n">
        <f aca="false">WBS!P155</f>
        <v>3</v>
      </c>
      <c r="G650" s="14" t="str">
        <f aca="false">WBS!H155</f>
        <v>P3</v>
      </c>
      <c r="H650" s="14" t="str">
        <f aca="false">WBS!G155</f>
        <v>Should</v>
      </c>
      <c r="I650" s="6" t="s">
        <v>3499</v>
      </c>
      <c r="J650" s="14"/>
      <c r="K650" s="6"/>
      <c r="L650" s="41" t="s">
        <v>2065</v>
      </c>
    </row>
    <row r="651" customFormat="false" ht="15" hidden="false" customHeight="false" outlineLevel="0" collapsed="false">
      <c r="A651" s="14" t="s">
        <v>3503</v>
      </c>
      <c r="B651" s="14" t="s">
        <v>1199</v>
      </c>
      <c r="C651" s="14" t="s">
        <v>1109</v>
      </c>
      <c r="D651" s="28" t="s">
        <v>3504</v>
      </c>
      <c r="E651" s="22" t="s">
        <v>2071</v>
      </c>
      <c r="F651" s="31" t="n">
        <f aca="false">WBS!Q155</f>
        <v>3</v>
      </c>
      <c r="G651" s="14" t="str">
        <f aca="false">WBS!H155</f>
        <v>P3</v>
      </c>
      <c r="H651" s="14" t="str">
        <f aca="false">WBS!G155</f>
        <v>Should</v>
      </c>
      <c r="I651" s="6" t="s">
        <v>3499</v>
      </c>
      <c r="J651" s="14"/>
      <c r="K651" s="6"/>
      <c r="L651" s="41" t="s">
        <v>2065</v>
      </c>
    </row>
    <row r="652" customFormat="false" ht="23.85" hidden="false" customHeight="false" outlineLevel="0" collapsed="false">
      <c r="A652" s="14" t="s">
        <v>3505</v>
      </c>
      <c r="B652" s="14" t="s">
        <v>1199</v>
      </c>
      <c r="C652" s="14" t="s">
        <v>1109</v>
      </c>
      <c r="D652" s="28" t="s">
        <v>3506</v>
      </c>
      <c r="E652" s="43" t="s">
        <v>96</v>
      </c>
      <c r="F652" s="31" t="n">
        <f aca="false">WBS!T155</f>
        <v>2.1</v>
      </c>
      <c r="G652" s="14" t="str">
        <f aca="false">WBS!H155</f>
        <v>P3</v>
      </c>
      <c r="H652" s="14" t="str">
        <f aca="false">WBS!G155</f>
        <v>Should</v>
      </c>
      <c r="I652" s="6" t="s">
        <v>3507</v>
      </c>
      <c r="J652" s="14"/>
      <c r="K652" s="6"/>
      <c r="L652" s="41" t="s">
        <v>2065</v>
      </c>
    </row>
    <row r="653" customFormat="false" ht="15" hidden="false" customHeight="false" outlineLevel="0" collapsed="false">
      <c r="A653" s="14" t="s">
        <v>3508</v>
      </c>
      <c r="B653" s="14" t="s">
        <v>1206</v>
      </c>
      <c r="C653" s="14" t="s">
        <v>1109</v>
      </c>
      <c r="D653" s="28" t="s">
        <v>3509</v>
      </c>
      <c r="E653" s="40" t="s">
        <v>91</v>
      </c>
      <c r="F653" s="31" t="n">
        <f aca="false">WBS!R156</f>
        <v>1.8</v>
      </c>
      <c r="G653" s="14" t="str">
        <f aca="false">WBS!H156</f>
        <v>P3</v>
      </c>
      <c r="H653" s="14" t="str">
        <f aca="false">WBS!G156</f>
        <v>Should</v>
      </c>
      <c r="I653" s="6" t="s">
        <v>270</v>
      </c>
      <c r="J653" s="14"/>
      <c r="K653" s="6"/>
      <c r="L653" s="41" t="s">
        <v>2065</v>
      </c>
    </row>
    <row r="654" customFormat="false" ht="15" hidden="false" customHeight="false" outlineLevel="0" collapsed="false">
      <c r="A654" s="14" t="s">
        <v>3510</v>
      </c>
      <c r="B654" s="14" t="s">
        <v>1206</v>
      </c>
      <c r="C654" s="14" t="s">
        <v>1109</v>
      </c>
      <c r="D654" s="28" t="s">
        <v>3511</v>
      </c>
      <c r="E654" s="42" t="s">
        <v>2068</v>
      </c>
      <c r="F654" s="31" t="n">
        <f aca="false">WBS!P156</f>
        <v>10</v>
      </c>
      <c r="G654" s="14" t="str">
        <f aca="false">WBS!H156</f>
        <v>P3</v>
      </c>
      <c r="H654" s="14" t="str">
        <f aca="false">WBS!G156</f>
        <v>Should</v>
      </c>
      <c r="I654" s="6" t="s">
        <v>3508</v>
      </c>
      <c r="J654" s="14"/>
      <c r="K654" s="6"/>
      <c r="L654" s="41" t="s">
        <v>2065</v>
      </c>
    </row>
    <row r="655" customFormat="false" ht="15" hidden="false" customHeight="false" outlineLevel="0" collapsed="false">
      <c r="A655" s="14" t="s">
        <v>3512</v>
      </c>
      <c r="B655" s="14" t="s">
        <v>1206</v>
      </c>
      <c r="C655" s="14" t="s">
        <v>1109</v>
      </c>
      <c r="D655" s="28" t="s">
        <v>3513</v>
      </c>
      <c r="E655" s="22" t="s">
        <v>2071</v>
      </c>
      <c r="F655" s="31" t="n">
        <f aca="false">WBS!Q156</f>
        <v>5</v>
      </c>
      <c r="G655" s="14" t="str">
        <f aca="false">WBS!H156</f>
        <v>P3</v>
      </c>
      <c r="H655" s="14" t="str">
        <f aca="false">WBS!G156</f>
        <v>Should</v>
      </c>
      <c r="I655" s="6" t="s">
        <v>3508</v>
      </c>
      <c r="J655" s="14"/>
      <c r="K655" s="6"/>
      <c r="L655" s="41" t="s">
        <v>2065</v>
      </c>
    </row>
    <row r="656" customFormat="false" ht="23.85" hidden="false" customHeight="false" outlineLevel="0" collapsed="false">
      <c r="A656" s="14" t="s">
        <v>3514</v>
      </c>
      <c r="B656" s="14" t="s">
        <v>1206</v>
      </c>
      <c r="C656" s="14" t="s">
        <v>1109</v>
      </c>
      <c r="D656" s="28" t="s">
        <v>3515</v>
      </c>
      <c r="E656" s="43" t="s">
        <v>96</v>
      </c>
      <c r="F656" s="31" t="n">
        <f aca="false">WBS!T156</f>
        <v>5.3</v>
      </c>
      <c r="G656" s="14" t="str">
        <f aca="false">WBS!H156</f>
        <v>P3</v>
      </c>
      <c r="H656" s="14" t="str">
        <f aca="false">WBS!G156</f>
        <v>Should</v>
      </c>
      <c r="I656" s="6" t="s">
        <v>3516</v>
      </c>
      <c r="J656" s="14"/>
      <c r="K656" s="6"/>
      <c r="L656" s="41" t="s">
        <v>2065</v>
      </c>
    </row>
    <row r="657" customFormat="false" ht="15" hidden="false" customHeight="false" outlineLevel="0" collapsed="false">
      <c r="A657" s="14" t="s">
        <v>3517</v>
      </c>
      <c r="B657" s="14" t="s">
        <v>1212</v>
      </c>
      <c r="C657" s="14" t="s">
        <v>1109</v>
      </c>
      <c r="D657" s="28" t="s">
        <v>3518</v>
      </c>
      <c r="E657" s="40" t="s">
        <v>91</v>
      </c>
      <c r="F657" s="31" t="n">
        <f aca="false">WBS!R157</f>
        <v>1</v>
      </c>
      <c r="G657" s="14" t="str">
        <f aca="false">WBS!H157</f>
        <v>P3</v>
      </c>
      <c r="H657" s="14" t="str">
        <f aca="false">WBS!G157</f>
        <v>Should</v>
      </c>
      <c r="I657" s="6" t="s">
        <v>1219</v>
      </c>
      <c r="J657" s="14"/>
      <c r="K657" s="6"/>
      <c r="L657" s="41" t="s">
        <v>2065</v>
      </c>
    </row>
    <row r="658" customFormat="false" ht="15" hidden="false" customHeight="false" outlineLevel="0" collapsed="false">
      <c r="A658" s="14" t="s">
        <v>3519</v>
      </c>
      <c r="B658" s="14" t="s">
        <v>1212</v>
      </c>
      <c r="C658" s="14" t="s">
        <v>1109</v>
      </c>
      <c r="D658" s="28" t="s">
        <v>3520</v>
      </c>
      <c r="E658" s="42" t="s">
        <v>2068</v>
      </c>
      <c r="F658" s="31" t="n">
        <f aca="false">WBS!P157</f>
        <v>5</v>
      </c>
      <c r="G658" s="14" t="str">
        <f aca="false">WBS!H157</f>
        <v>P3</v>
      </c>
      <c r="H658" s="14" t="str">
        <f aca="false">WBS!G157</f>
        <v>Should</v>
      </c>
      <c r="I658" s="6" t="s">
        <v>3517</v>
      </c>
      <c r="J658" s="14"/>
      <c r="K658" s="6"/>
      <c r="L658" s="41" t="s">
        <v>2065</v>
      </c>
    </row>
    <row r="659" customFormat="false" ht="15" hidden="false" customHeight="false" outlineLevel="0" collapsed="false">
      <c r="A659" s="14" t="s">
        <v>3521</v>
      </c>
      <c r="B659" s="14" t="s">
        <v>1212</v>
      </c>
      <c r="C659" s="14" t="s">
        <v>1109</v>
      </c>
      <c r="D659" s="28" t="s">
        <v>3522</v>
      </c>
      <c r="E659" s="22" t="s">
        <v>2071</v>
      </c>
      <c r="F659" s="31" t="n">
        <f aca="false">WBS!Q157</f>
        <v>3</v>
      </c>
      <c r="G659" s="14" t="str">
        <f aca="false">WBS!H157</f>
        <v>P3</v>
      </c>
      <c r="H659" s="14" t="str">
        <f aca="false">WBS!G157</f>
        <v>Should</v>
      </c>
      <c r="I659" s="6" t="s">
        <v>3517</v>
      </c>
      <c r="J659" s="14"/>
      <c r="K659" s="6"/>
      <c r="L659" s="41" t="s">
        <v>2065</v>
      </c>
    </row>
    <row r="660" customFormat="false" ht="23.85" hidden="false" customHeight="false" outlineLevel="0" collapsed="false">
      <c r="A660" s="14" t="s">
        <v>3523</v>
      </c>
      <c r="B660" s="14" t="s">
        <v>1212</v>
      </c>
      <c r="C660" s="14" t="s">
        <v>1109</v>
      </c>
      <c r="D660" s="28" t="s">
        <v>3524</v>
      </c>
      <c r="E660" s="43" t="s">
        <v>96</v>
      </c>
      <c r="F660" s="31" t="n">
        <f aca="false">WBS!T157</f>
        <v>2.8</v>
      </c>
      <c r="G660" s="14" t="str">
        <f aca="false">WBS!H157</f>
        <v>P3</v>
      </c>
      <c r="H660" s="14" t="str">
        <f aca="false">WBS!G157</f>
        <v>Should</v>
      </c>
      <c r="I660" s="6" t="s">
        <v>3525</v>
      </c>
      <c r="J660" s="14"/>
      <c r="K660" s="6"/>
      <c r="L660" s="41" t="s">
        <v>2065</v>
      </c>
    </row>
    <row r="661" customFormat="false" ht="15" hidden="false" customHeight="false" outlineLevel="0" collapsed="false">
      <c r="A661" s="14" t="s">
        <v>3526</v>
      </c>
      <c r="B661" s="14" t="s">
        <v>1220</v>
      </c>
      <c r="C661" s="14" t="s">
        <v>1109</v>
      </c>
      <c r="D661" s="28" t="s">
        <v>3527</v>
      </c>
      <c r="E661" s="40" t="s">
        <v>91</v>
      </c>
      <c r="F661" s="31" t="n">
        <f aca="false">WBS!R158</f>
        <v>1</v>
      </c>
      <c r="G661" s="14" t="str">
        <f aca="false">WBS!H158</f>
        <v>P3</v>
      </c>
      <c r="H661" s="14" t="str">
        <f aca="false">WBS!G158</f>
        <v>Should</v>
      </c>
      <c r="I661" s="6" t="s">
        <v>1227</v>
      </c>
      <c r="J661" s="14"/>
      <c r="K661" s="6"/>
      <c r="L661" s="41" t="s">
        <v>2065</v>
      </c>
    </row>
    <row r="662" customFormat="false" ht="15" hidden="false" customHeight="false" outlineLevel="0" collapsed="false">
      <c r="A662" s="14" t="s">
        <v>3528</v>
      </c>
      <c r="B662" s="14" t="s">
        <v>1220</v>
      </c>
      <c r="C662" s="14" t="s">
        <v>1109</v>
      </c>
      <c r="D662" s="28" t="s">
        <v>3529</v>
      </c>
      <c r="E662" s="42" t="s">
        <v>2068</v>
      </c>
      <c r="F662" s="31" t="n">
        <f aca="false">WBS!P158</f>
        <v>5</v>
      </c>
      <c r="G662" s="14" t="str">
        <f aca="false">WBS!H158</f>
        <v>P3</v>
      </c>
      <c r="H662" s="14" t="str">
        <f aca="false">WBS!G158</f>
        <v>Should</v>
      </c>
      <c r="I662" s="6" t="s">
        <v>3526</v>
      </c>
      <c r="J662" s="14"/>
      <c r="K662" s="6"/>
      <c r="L662" s="41" t="s">
        <v>2065</v>
      </c>
    </row>
    <row r="663" customFormat="false" ht="15" hidden="false" customHeight="false" outlineLevel="0" collapsed="false">
      <c r="A663" s="14" t="s">
        <v>3530</v>
      </c>
      <c r="B663" s="14" t="s">
        <v>1220</v>
      </c>
      <c r="C663" s="14" t="s">
        <v>1109</v>
      </c>
      <c r="D663" s="28" t="s">
        <v>3531</v>
      </c>
      <c r="E663" s="22" t="s">
        <v>2071</v>
      </c>
      <c r="F663" s="31" t="n">
        <f aca="false">WBS!Q158</f>
        <v>3</v>
      </c>
      <c r="G663" s="14" t="str">
        <f aca="false">WBS!H158</f>
        <v>P3</v>
      </c>
      <c r="H663" s="14" t="str">
        <f aca="false">WBS!G158</f>
        <v>Should</v>
      </c>
      <c r="I663" s="6" t="s">
        <v>3526</v>
      </c>
      <c r="J663" s="14"/>
      <c r="K663" s="6"/>
      <c r="L663" s="41" t="s">
        <v>2065</v>
      </c>
    </row>
    <row r="664" customFormat="false" ht="23.85" hidden="false" customHeight="false" outlineLevel="0" collapsed="false">
      <c r="A664" s="14" t="s">
        <v>3532</v>
      </c>
      <c r="B664" s="14" t="s">
        <v>1220</v>
      </c>
      <c r="C664" s="14" t="s">
        <v>1109</v>
      </c>
      <c r="D664" s="28" t="s">
        <v>3533</v>
      </c>
      <c r="E664" s="43" t="s">
        <v>96</v>
      </c>
      <c r="F664" s="31" t="n">
        <f aca="false">WBS!T158</f>
        <v>2.8</v>
      </c>
      <c r="G664" s="14" t="str">
        <f aca="false">WBS!H158</f>
        <v>P3</v>
      </c>
      <c r="H664" s="14" t="str">
        <f aca="false">WBS!G158</f>
        <v>Should</v>
      </c>
      <c r="I664" s="6" t="s">
        <v>3534</v>
      </c>
      <c r="J664" s="14"/>
      <c r="K664" s="6"/>
      <c r="L664" s="41" t="s">
        <v>2065</v>
      </c>
    </row>
    <row r="665" customFormat="false" ht="15" hidden="false" customHeight="false" outlineLevel="0" collapsed="false">
      <c r="A665" s="14" t="s">
        <v>3535</v>
      </c>
      <c r="B665" s="14" t="s">
        <v>1228</v>
      </c>
      <c r="C665" s="14" t="s">
        <v>1109</v>
      </c>
      <c r="D665" s="28" t="s">
        <v>3536</v>
      </c>
      <c r="E665" s="40" t="s">
        <v>91</v>
      </c>
      <c r="F665" s="31" t="n">
        <f aca="false">WBS!R159</f>
        <v>1.8</v>
      </c>
      <c r="G665" s="14" t="str">
        <f aca="false">WBS!H159</f>
        <v>P3</v>
      </c>
      <c r="H665" s="14" t="str">
        <f aca="false">WBS!G159</f>
        <v>Should</v>
      </c>
      <c r="I665" s="6" t="s">
        <v>1171</v>
      </c>
      <c r="J665" s="14"/>
      <c r="K665" s="6"/>
      <c r="L665" s="41" t="s">
        <v>2065</v>
      </c>
    </row>
    <row r="666" customFormat="false" ht="15" hidden="false" customHeight="false" outlineLevel="0" collapsed="false">
      <c r="A666" s="14" t="s">
        <v>3537</v>
      </c>
      <c r="B666" s="14" t="s">
        <v>1228</v>
      </c>
      <c r="C666" s="14" t="s">
        <v>1109</v>
      </c>
      <c r="D666" s="28" t="s">
        <v>3538</v>
      </c>
      <c r="E666" s="37" t="s">
        <v>128</v>
      </c>
      <c r="F666" s="31" t="n">
        <f aca="false">WBS!S159</f>
        <v>2</v>
      </c>
      <c r="G666" s="14" t="str">
        <f aca="false">WBS!H159</f>
        <v>P3</v>
      </c>
      <c r="H666" s="14" t="str">
        <f aca="false">WBS!G159</f>
        <v>Should</v>
      </c>
      <c r="I666" s="6" t="s">
        <v>3535</v>
      </c>
      <c r="J666" s="14"/>
      <c r="K666" s="6"/>
      <c r="L666" s="41" t="s">
        <v>2065</v>
      </c>
    </row>
    <row r="667" customFormat="false" ht="15" hidden="false" customHeight="false" outlineLevel="0" collapsed="false">
      <c r="A667" s="14" t="s">
        <v>3539</v>
      </c>
      <c r="B667" s="14" t="s">
        <v>1228</v>
      </c>
      <c r="C667" s="14" t="s">
        <v>1109</v>
      </c>
      <c r="D667" s="28" t="s">
        <v>3540</v>
      </c>
      <c r="E667" s="42" t="s">
        <v>2068</v>
      </c>
      <c r="F667" s="31" t="n">
        <f aca="false">WBS!P159</f>
        <v>10</v>
      </c>
      <c r="G667" s="14" t="str">
        <f aca="false">WBS!H159</f>
        <v>P3</v>
      </c>
      <c r="H667" s="14" t="str">
        <f aca="false">WBS!G159</f>
        <v>Should</v>
      </c>
      <c r="I667" s="6" t="s">
        <v>3535</v>
      </c>
      <c r="J667" s="14"/>
      <c r="K667" s="6"/>
      <c r="L667" s="41" t="s">
        <v>2065</v>
      </c>
    </row>
    <row r="668" customFormat="false" ht="15" hidden="false" customHeight="false" outlineLevel="0" collapsed="false">
      <c r="A668" s="14" t="s">
        <v>3541</v>
      </c>
      <c r="B668" s="14" t="s">
        <v>1228</v>
      </c>
      <c r="C668" s="14" t="s">
        <v>1109</v>
      </c>
      <c r="D668" s="28" t="s">
        <v>3542</v>
      </c>
      <c r="E668" s="22" t="s">
        <v>2071</v>
      </c>
      <c r="F668" s="31" t="n">
        <f aca="false">WBS!Q159</f>
        <v>5</v>
      </c>
      <c r="G668" s="14" t="str">
        <f aca="false">WBS!H159</f>
        <v>P3</v>
      </c>
      <c r="H668" s="14" t="str">
        <f aca="false">WBS!G159</f>
        <v>Should</v>
      </c>
      <c r="I668" s="6" t="s">
        <v>3537</v>
      </c>
      <c r="J668" s="14"/>
      <c r="K668" s="6"/>
      <c r="L668" s="41" t="s">
        <v>2065</v>
      </c>
    </row>
    <row r="669" customFormat="false" ht="23.85" hidden="false" customHeight="false" outlineLevel="0" collapsed="false">
      <c r="A669" s="14" t="s">
        <v>3543</v>
      </c>
      <c r="B669" s="14" t="s">
        <v>1228</v>
      </c>
      <c r="C669" s="14" t="s">
        <v>1109</v>
      </c>
      <c r="D669" s="28" t="s">
        <v>3544</v>
      </c>
      <c r="E669" s="43" t="s">
        <v>96</v>
      </c>
      <c r="F669" s="31" t="n">
        <f aca="false">WBS!T159</f>
        <v>5.3</v>
      </c>
      <c r="G669" s="14" t="str">
        <f aca="false">WBS!H159</f>
        <v>P3</v>
      </c>
      <c r="H669" s="14" t="str">
        <f aca="false">WBS!G159</f>
        <v>Should</v>
      </c>
      <c r="I669" s="6" t="s">
        <v>3545</v>
      </c>
      <c r="J669" s="14"/>
      <c r="K669" s="6"/>
      <c r="L669" s="41" t="s">
        <v>2065</v>
      </c>
    </row>
    <row r="670" customFormat="false" ht="15" hidden="false" customHeight="false" outlineLevel="0" collapsed="false">
      <c r="A670" s="14" t="s">
        <v>3546</v>
      </c>
      <c r="B670" s="14" t="s">
        <v>1236</v>
      </c>
      <c r="C670" s="14" t="s">
        <v>1109</v>
      </c>
      <c r="D670" s="28" t="s">
        <v>3547</v>
      </c>
      <c r="E670" s="40" t="s">
        <v>91</v>
      </c>
      <c r="F670" s="31" t="n">
        <f aca="false">WBS!R160</f>
        <v>1.2</v>
      </c>
      <c r="G670" s="14" t="str">
        <f aca="false">WBS!H160</f>
        <v>P3</v>
      </c>
      <c r="H670" s="14" t="str">
        <f aca="false">WBS!G160</f>
        <v>Should</v>
      </c>
      <c r="I670" s="6" t="s">
        <v>1242</v>
      </c>
      <c r="J670" s="14"/>
      <c r="K670" s="6"/>
      <c r="L670" s="41" t="s">
        <v>2065</v>
      </c>
    </row>
    <row r="671" customFormat="false" ht="15" hidden="false" customHeight="false" outlineLevel="0" collapsed="false">
      <c r="A671" s="14" t="s">
        <v>3548</v>
      </c>
      <c r="B671" s="14" t="s">
        <v>1236</v>
      </c>
      <c r="C671" s="14" t="s">
        <v>1109</v>
      </c>
      <c r="D671" s="28" t="s">
        <v>3549</v>
      </c>
      <c r="E671" s="37" t="s">
        <v>128</v>
      </c>
      <c r="F671" s="31" t="n">
        <f aca="false">WBS!S160</f>
        <v>2</v>
      </c>
      <c r="G671" s="14" t="str">
        <f aca="false">WBS!H160</f>
        <v>P3</v>
      </c>
      <c r="H671" s="14" t="str">
        <f aca="false">WBS!G160</f>
        <v>Should</v>
      </c>
      <c r="I671" s="6" t="s">
        <v>3546</v>
      </c>
      <c r="J671" s="14"/>
      <c r="K671" s="6"/>
      <c r="L671" s="41" t="s">
        <v>2065</v>
      </c>
    </row>
    <row r="672" customFormat="false" ht="15" hidden="false" customHeight="false" outlineLevel="0" collapsed="false">
      <c r="A672" s="14" t="s">
        <v>3550</v>
      </c>
      <c r="B672" s="14" t="s">
        <v>1236</v>
      </c>
      <c r="C672" s="14" t="s">
        <v>1109</v>
      </c>
      <c r="D672" s="28" t="s">
        <v>3551</v>
      </c>
      <c r="E672" s="42" t="s">
        <v>2068</v>
      </c>
      <c r="F672" s="31" t="n">
        <f aca="false">WBS!P160</f>
        <v>5</v>
      </c>
      <c r="G672" s="14" t="str">
        <f aca="false">WBS!H160</f>
        <v>P3</v>
      </c>
      <c r="H672" s="14" t="str">
        <f aca="false">WBS!G160</f>
        <v>Should</v>
      </c>
      <c r="I672" s="6" t="s">
        <v>3546</v>
      </c>
      <c r="J672" s="14"/>
      <c r="K672" s="6"/>
      <c r="L672" s="41" t="s">
        <v>2065</v>
      </c>
    </row>
    <row r="673" customFormat="false" ht="15" hidden="false" customHeight="false" outlineLevel="0" collapsed="false">
      <c r="A673" s="14" t="s">
        <v>3552</v>
      </c>
      <c r="B673" s="14" t="s">
        <v>1236</v>
      </c>
      <c r="C673" s="14" t="s">
        <v>1109</v>
      </c>
      <c r="D673" s="28" t="s">
        <v>3553</v>
      </c>
      <c r="E673" s="22" t="s">
        <v>2071</v>
      </c>
      <c r="F673" s="31" t="n">
        <f aca="false">WBS!Q160</f>
        <v>5</v>
      </c>
      <c r="G673" s="14" t="str">
        <f aca="false">WBS!H160</f>
        <v>P3</v>
      </c>
      <c r="H673" s="14" t="str">
        <f aca="false">WBS!G160</f>
        <v>Should</v>
      </c>
      <c r="I673" s="6" t="s">
        <v>3548</v>
      </c>
      <c r="J673" s="14"/>
      <c r="K673" s="6"/>
      <c r="L673" s="41" t="s">
        <v>2065</v>
      </c>
    </row>
    <row r="674" customFormat="false" ht="23.85" hidden="false" customHeight="false" outlineLevel="0" collapsed="false">
      <c r="A674" s="14" t="s">
        <v>3554</v>
      </c>
      <c r="B674" s="14" t="s">
        <v>1236</v>
      </c>
      <c r="C674" s="14" t="s">
        <v>1109</v>
      </c>
      <c r="D674" s="28" t="s">
        <v>3555</v>
      </c>
      <c r="E674" s="43" t="s">
        <v>96</v>
      </c>
      <c r="F674" s="31" t="n">
        <f aca="false">WBS!T160</f>
        <v>3.5</v>
      </c>
      <c r="G674" s="14" t="str">
        <f aca="false">WBS!H160</f>
        <v>P3</v>
      </c>
      <c r="H674" s="14" t="str">
        <f aca="false">WBS!G160</f>
        <v>Should</v>
      </c>
      <c r="I674" s="6" t="s">
        <v>3556</v>
      </c>
      <c r="J674" s="14"/>
      <c r="K674" s="6"/>
      <c r="L674" s="41" t="s">
        <v>2065</v>
      </c>
    </row>
    <row r="675" customFormat="false" ht="15" hidden="false" customHeight="false" outlineLevel="0" collapsed="false">
      <c r="A675" s="14" t="s">
        <v>3557</v>
      </c>
      <c r="B675" s="14" t="s">
        <v>1243</v>
      </c>
      <c r="C675" s="14" t="s">
        <v>1109</v>
      </c>
      <c r="D675" s="28" t="s">
        <v>3558</v>
      </c>
      <c r="E675" s="40" t="s">
        <v>91</v>
      </c>
      <c r="F675" s="31" t="n">
        <f aca="false">WBS!R161</f>
        <v>1.2</v>
      </c>
      <c r="G675" s="14" t="str">
        <f aca="false">WBS!H161</f>
        <v>P3</v>
      </c>
      <c r="H675" s="14" t="str">
        <f aca="false">WBS!G161</f>
        <v>Should</v>
      </c>
      <c r="I675" s="6" t="s">
        <v>1125</v>
      </c>
      <c r="J675" s="14"/>
      <c r="K675" s="6"/>
      <c r="L675" s="41" t="s">
        <v>2065</v>
      </c>
    </row>
    <row r="676" customFormat="false" ht="15" hidden="false" customHeight="false" outlineLevel="0" collapsed="false">
      <c r="A676" s="14" t="s">
        <v>3559</v>
      </c>
      <c r="B676" s="14" t="s">
        <v>1243</v>
      </c>
      <c r="C676" s="14" t="s">
        <v>1109</v>
      </c>
      <c r="D676" s="28" t="s">
        <v>3560</v>
      </c>
      <c r="E676" s="37" t="s">
        <v>128</v>
      </c>
      <c r="F676" s="31" t="n">
        <f aca="false">WBS!S161</f>
        <v>2</v>
      </c>
      <c r="G676" s="14" t="str">
        <f aca="false">WBS!H161</f>
        <v>P3</v>
      </c>
      <c r="H676" s="14" t="str">
        <f aca="false">WBS!G161</f>
        <v>Should</v>
      </c>
      <c r="I676" s="6" t="s">
        <v>3557</v>
      </c>
      <c r="J676" s="14"/>
      <c r="K676" s="6"/>
      <c r="L676" s="41" t="s">
        <v>2065</v>
      </c>
    </row>
    <row r="677" customFormat="false" ht="15" hidden="false" customHeight="false" outlineLevel="0" collapsed="false">
      <c r="A677" s="14" t="s">
        <v>3561</v>
      </c>
      <c r="B677" s="14" t="s">
        <v>1243</v>
      </c>
      <c r="C677" s="14" t="s">
        <v>1109</v>
      </c>
      <c r="D677" s="28" t="s">
        <v>3562</v>
      </c>
      <c r="E677" s="42" t="s">
        <v>2068</v>
      </c>
      <c r="F677" s="31" t="n">
        <f aca="false">WBS!P161</f>
        <v>5</v>
      </c>
      <c r="G677" s="14" t="str">
        <f aca="false">WBS!H161</f>
        <v>P3</v>
      </c>
      <c r="H677" s="14" t="str">
        <f aca="false">WBS!G161</f>
        <v>Should</v>
      </c>
      <c r="I677" s="6" t="s">
        <v>3557</v>
      </c>
      <c r="J677" s="14"/>
      <c r="K677" s="6"/>
      <c r="L677" s="41" t="s">
        <v>2065</v>
      </c>
    </row>
    <row r="678" customFormat="false" ht="15" hidden="false" customHeight="false" outlineLevel="0" collapsed="false">
      <c r="A678" s="14" t="s">
        <v>3563</v>
      </c>
      <c r="B678" s="14" t="s">
        <v>1243</v>
      </c>
      <c r="C678" s="14" t="s">
        <v>1109</v>
      </c>
      <c r="D678" s="28" t="s">
        <v>3564</v>
      </c>
      <c r="E678" s="22" t="s">
        <v>2071</v>
      </c>
      <c r="F678" s="31" t="n">
        <f aca="false">WBS!Q161</f>
        <v>5</v>
      </c>
      <c r="G678" s="14" t="str">
        <f aca="false">WBS!H161</f>
        <v>P3</v>
      </c>
      <c r="H678" s="14" t="str">
        <f aca="false">WBS!G161</f>
        <v>Should</v>
      </c>
      <c r="I678" s="6" t="s">
        <v>3559</v>
      </c>
      <c r="J678" s="14"/>
      <c r="K678" s="6"/>
      <c r="L678" s="41" t="s">
        <v>2065</v>
      </c>
    </row>
    <row r="679" customFormat="false" ht="23.85" hidden="false" customHeight="false" outlineLevel="0" collapsed="false">
      <c r="A679" s="14" t="s">
        <v>3565</v>
      </c>
      <c r="B679" s="14" t="s">
        <v>1243</v>
      </c>
      <c r="C679" s="14" t="s">
        <v>1109</v>
      </c>
      <c r="D679" s="28" t="s">
        <v>3566</v>
      </c>
      <c r="E679" s="43" t="s">
        <v>96</v>
      </c>
      <c r="F679" s="31" t="n">
        <f aca="false">WBS!T161</f>
        <v>3.5</v>
      </c>
      <c r="G679" s="14" t="str">
        <f aca="false">WBS!H161</f>
        <v>P3</v>
      </c>
      <c r="H679" s="14" t="str">
        <f aca="false">WBS!G161</f>
        <v>Should</v>
      </c>
      <c r="I679" s="6" t="s">
        <v>3567</v>
      </c>
      <c r="J679" s="14"/>
      <c r="K679" s="6"/>
      <c r="L679" s="41" t="s">
        <v>2065</v>
      </c>
    </row>
    <row r="680" customFormat="false" ht="15" hidden="false" customHeight="false" outlineLevel="0" collapsed="false">
      <c r="A680" s="14" t="s">
        <v>3568</v>
      </c>
      <c r="B680" s="14" t="s">
        <v>1249</v>
      </c>
      <c r="C680" s="14" t="s">
        <v>1109</v>
      </c>
      <c r="D680" s="28" t="s">
        <v>3569</v>
      </c>
      <c r="E680" s="40" t="s">
        <v>91</v>
      </c>
      <c r="F680" s="31" t="n">
        <f aca="false">WBS!R162</f>
        <v>0.5</v>
      </c>
      <c r="G680" s="14" t="str">
        <f aca="false">WBS!H162</f>
        <v>P3</v>
      </c>
      <c r="H680" s="14" t="str">
        <f aca="false">WBS!G162</f>
        <v>Should</v>
      </c>
      <c r="I680" s="6" t="s">
        <v>579</v>
      </c>
      <c r="J680" s="14"/>
      <c r="K680" s="6"/>
      <c r="L680" s="41" t="s">
        <v>2065</v>
      </c>
    </row>
    <row r="681" customFormat="false" ht="15" hidden="false" customHeight="false" outlineLevel="0" collapsed="false">
      <c r="A681" s="14" t="s">
        <v>3570</v>
      </c>
      <c r="B681" s="14" t="s">
        <v>1249</v>
      </c>
      <c r="C681" s="14" t="s">
        <v>1109</v>
      </c>
      <c r="D681" s="28" t="s">
        <v>3571</v>
      </c>
      <c r="E681" s="42" t="s">
        <v>2068</v>
      </c>
      <c r="F681" s="31" t="n">
        <f aca="false">WBS!P162</f>
        <v>3</v>
      </c>
      <c r="G681" s="14" t="str">
        <f aca="false">WBS!H162</f>
        <v>P3</v>
      </c>
      <c r="H681" s="14" t="str">
        <f aca="false">WBS!G162</f>
        <v>Should</v>
      </c>
      <c r="I681" s="6" t="s">
        <v>3568</v>
      </c>
      <c r="J681" s="14"/>
      <c r="K681" s="6"/>
      <c r="L681" s="41" t="s">
        <v>2065</v>
      </c>
    </row>
    <row r="682" customFormat="false" ht="15" hidden="false" customHeight="false" outlineLevel="0" collapsed="false">
      <c r="A682" s="14" t="s">
        <v>3572</v>
      </c>
      <c r="B682" s="14" t="s">
        <v>1249</v>
      </c>
      <c r="C682" s="14" t="s">
        <v>1109</v>
      </c>
      <c r="D682" s="28" t="s">
        <v>3573</v>
      </c>
      <c r="E682" s="22" t="s">
        <v>2071</v>
      </c>
      <c r="F682" s="31" t="n">
        <f aca="false">WBS!Q162</f>
        <v>1</v>
      </c>
      <c r="G682" s="14" t="str">
        <f aca="false">WBS!H162</f>
        <v>P3</v>
      </c>
      <c r="H682" s="14" t="str">
        <f aca="false">WBS!G162</f>
        <v>Should</v>
      </c>
      <c r="I682" s="6" t="s">
        <v>3568</v>
      </c>
      <c r="J682" s="14"/>
      <c r="K682" s="6"/>
      <c r="L682" s="41" t="s">
        <v>2065</v>
      </c>
    </row>
    <row r="683" customFormat="false" ht="23.85" hidden="false" customHeight="false" outlineLevel="0" collapsed="false">
      <c r="A683" s="14" t="s">
        <v>3574</v>
      </c>
      <c r="B683" s="14" t="s">
        <v>1249</v>
      </c>
      <c r="C683" s="14" t="s">
        <v>1109</v>
      </c>
      <c r="D683" s="28" t="s">
        <v>3575</v>
      </c>
      <c r="E683" s="43" t="s">
        <v>96</v>
      </c>
      <c r="F683" s="31" t="n">
        <f aca="false">WBS!T162</f>
        <v>1.4</v>
      </c>
      <c r="G683" s="14" t="str">
        <f aca="false">WBS!H162</f>
        <v>P3</v>
      </c>
      <c r="H683" s="14" t="str">
        <f aca="false">WBS!G162</f>
        <v>Should</v>
      </c>
      <c r="I683" s="6" t="s">
        <v>3576</v>
      </c>
      <c r="J683" s="14"/>
      <c r="K683" s="6"/>
      <c r="L683" s="41" t="s">
        <v>2065</v>
      </c>
    </row>
    <row r="684" customFormat="false" ht="15" hidden="false" customHeight="false" outlineLevel="0" collapsed="false">
      <c r="A684" s="14" t="s">
        <v>3577</v>
      </c>
      <c r="B684" s="14" t="s">
        <v>1256</v>
      </c>
      <c r="C684" s="14" t="s">
        <v>1257</v>
      </c>
      <c r="D684" s="28" t="s">
        <v>3578</v>
      </c>
      <c r="E684" s="40" t="s">
        <v>91</v>
      </c>
      <c r="F684" s="31" t="n">
        <f aca="false">WBS!R163</f>
        <v>1</v>
      </c>
      <c r="G684" s="14" t="str">
        <f aca="false">WBS!H163</f>
        <v>P1</v>
      </c>
      <c r="H684" s="14" t="str">
        <f aca="false">WBS!G163</f>
        <v>Must</v>
      </c>
      <c r="I684" s="6" t="s">
        <v>1117</v>
      </c>
      <c r="J684" s="14"/>
      <c r="K684" s="6"/>
      <c r="L684" s="41" t="s">
        <v>2065</v>
      </c>
    </row>
    <row r="685" customFormat="false" ht="15" hidden="false" customHeight="false" outlineLevel="0" collapsed="false">
      <c r="A685" s="14" t="s">
        <v>3579</v>
      </c>
      <c r="B685" s="14" t="s">
        <v>1256</v>
      </c>
      <c r="C685" s="14" t="s">
        <v>1257</v>
      </c>
      <c r="D685" s="28" t="s">
        <v>3580</v>
      </c>
      <c r="E685" s="37" t="s">
        <v>128</v>
      </c>
      <c r="F685" s="31" t="n">
        <f aca="false">WBS!S163</f>
        <v>2</v>
      </c>
      <c r="G685" s="14" t="str">
        <f aca="false">WBS!H163</f>
        <v>P1</v>
      </c>
      <c r="H685" s="14" t="str">
        <f aca="false">WBS!G163</f>
        <v>Must</v>
      </c>
      <c r="I685" s="6" t="s">
        <v>3577</v>
      </c>
      <c r="J685" s="14"/>
      <c r="K685" s="6"/>
      <c r="L685" s="41" t="s">
        <v>2065</v>
      </c>
    </row>
    <row r="686" customFormat="false" ht="22.35" hidden="false" customHeight="false" outlineLevel="0" collapsed="false">
      <c r="A686" s="14" t="s">
        <v>3581</v>
      </c>
      <c r="B686" s="14" t="s">
        <v>1256</v>
      </c>
      <c r="C686" s="14" t="s">
        <v>1257</v>
      </c>
      <c r="D686" s="28" t="s">
        <v>3582</v>
      </c>
      <c r="E686" s="42" t="s">
        <v>2068</v>
      </c>
      <c r="F686" s="31" t="n">
        <f aca="false">WBS!P163</f>
        <v>3</v>
      </c>
      <c r="G686" s="14" t="str">
        <f aca="false">WBS!H163</f>
        <v>P1</v>
      </c>
      <c r="H686" s="14" t="str">
        <f aca="false">WBS!G163</f>
        <v>Must</v>
      </c>
      <c r="I686" s="6" t="s">
        <v>3577</v>
      </c>
      <c r="J686" s="14"/>
      <c r="K686" s="6"/>
      <c r="L686" s="41" t="s">
        <v>2065</v>
      </c>
    </row>
    <row r="687" customFormat="false" ht="15" hidden="false" customHeight="false" outlineLevel="0" collapsed="false">
      <c r="A687" s="14" t="s">
        <v>3583</v>
      </c>
      <c r="B687" s="14" t="s">
        <v>1256</v>
      </c>
      <c r="C687" s="14" t="s">
        <v>1257</v>
      </c>
      <c r="D687" s="28" t="s">
        <v>3584</v>
      </c>
      <c r="E687" s="22" t="s">
        <v>2071</v>
      </c>
      <c r="F687" s="31" t="n">
        <f aca="false">WBS!Q163</f>
        <v>5</v>
      </c>
      <c r="G687" s="14" t="str">
        <f aca="false">WBS!H163</f>
        <v>P1</v>
      </c>
      <c r="H687" s="14" t="str">
        <f aca="false">WBS!G163</f>
        <v>Must</v>
      </c>
      <c r="I687" s="6" t="s">
        <v>3579</v>
      </c>
      <c r="J687" s="14"/>
      <c r="K687" s="6"/>
      <c r="L687" s="41" t="s">
        <v>2065</v>
      </c>
    </row>
    <row r="688" customFormat="false" ht="15" hidden="false" customHeight="false" outlineLevel="0" collapsed="false">
      <c r="A688" s="14" t="s">
        <v>3585</v>
      </c>
      <c r="B688" s="14" t="s">
        <v>1256</v>
      </c>
      <c r="C688" s="14" t="s">
        <v>1257</v>
      </c>
      <c r="D688" s="28" t="s">
        <v>3586</v>
      </c>
      <c r="E688" s="43" t="s">
        <v>96</v>
      </c>
      <c r="F688" s="31" t="n">
        <f aca="false">WBS!T163</f>
        <v>2.8</v>
      </c>
      <c r="G688" s="14" t="str">
        <f aca="false">WBS!H163</f>
        <v>P1</v>
      </c>
      <c r="H688" s="14" t="str">
        <f aca="false">WBS!G163</f>
        <v>Must</v>
      </c>
      <c r="I688" s="6" t="s">
        <v>3587</v>
      </c>
      <c r="J688" s="14"/>
      <c r="K688" s="6"/>
      <c r="L688" s="41" t="s">
        <v>2065</v>
      </c>
    </row>
    <row r="689" customFormat="false" ht="15" hidden="false" customHeight="false" outlineLevel="0" collapsed="false">
      <c r="A689" s="14" t="s">
        <v>3588</v>
      </c>
      <c r="B689" s="14" t="s">
        <v>1265</v>
      </c>
      <c r="C689" s="14" t="s">
        <v>1257</v>
      </c>
      <c r="D689" s="28" t="s">
        <v>3589</v>
      </c>
      <c r="E689" s="40" t="s">
        <v>91</v>
      </c>
      <c r="F689" s="31" t="n">
        <f aca="false">WBS!R164</f>
        <v>1.2</v>
      </c>
      <c r="G689" s="14" t="str">
        <f aca="false">WBS!H164</f>
        <v>P1</v>
      </c>
      <c r="H689" s="14" t="str">
        <f aca="false">WBS!G164</f>
        <v>Must</v>
      </c>
      <c r="I689" s="6" t="s">
        <v>170</v>
      </c>
      <c r="J689" s="14"/>
      <c r="K689" s="6"/>
      <c r="L689" s="41" t="s">
        <v>2065</v>
      </c>
    </row>
    <row r="690" customFormat="false" ht="15" hidden="false" customHeight="false" outlineLevel="0" collapsed="false">
      <c r="A690" s="14" t="s">
        <v>3590</v>
      </c>
      <c r="B690" s="14" t="s">
        <v>1265</v>
      </c>
      <c r="C690" s="14" t="s">
        <v>1257</v>
      </c>
      <c r="D690" s="28" t="s">
        <v>3591</v>
      </c>
      <c r="E690" s="37" t="s">
        <v>128</v>
      </c>
      <c r="F690" s="31" t="n">
        <f aca="false">WBS!S164</f>
        <v>2</v>
      </c>
      <c r="G690" s="14" t="str">
        <f aca="false">WBS!H164</f>
        <v>P1</v>
      </c>
      <c r="H690" s="14" t="str">
        <f aca="false">WBS!G164</f>
        <v>Must</v>
      </c>
      <c r="I690" s="6" t="s">
        <v>3588</v>
      </c>
      <c r="J690" s="14"/>
      <c r="K690" s="6"/>
      <c r="L690" s="41" t="s">
        <v>2065</v>
      </c>
    </row>
    <row r="691" customFormat="false" ht="22.35" hidden="false" customHeight="false" outlineLevel="0" collapsed="false">
      <c r="A691" s="14" t="s">
        <v>3592</v>
      </c>
      <c r="B691" s="14" t="s">
        <v>1265</v>
      </c>
      <c r="C691" s="14" t="s">
        <v>1257</v>
      </c>
      <c r="D691" s="28" t="s">
        <v>3593</v>
      </c>
      <c r="E691" s="42" t="s">
        <v>2068</v>
      </c>
      <c r="F691" s="31" t="n">
        <f aca="false">WBS!P164</f>
        <v>5</v>
      </c>
      <c r="G691" s="14" t="str">
        <f aca="false">WBS!H164</f>
        <v>P1</v>
      </c>
      <c r="H691" s="14" t="str">
        <f aca="false">WBS!G164</f>
        <v>Must</v>
      </c>
      <c r="I691" s="6" t="s">
        <v>3588</v>
      </c>
      <c r="J691" s="14"/>
      <c r="K691" s="6"/>
      <c r="L691" s="41" t="s">
        <v>2065</v>
      </c>
    </row>
    <row r="692" customFormat="false" ht="15" hidden="false" customHeight="false" outlineLevel="0" collapsed="false">
      <c r="A692" s="14" t="s">
        <v>3594</v>
      </c>
      <c r="B692" s="14" t="s">
        <v>1265</v>
      </c>
      <c r="C692" s="14" t="s">
        <v>1257</v>
      </c>
      <c r="D692" s="28" t="s">
        <v>3595</v>
      </c>
      <c r="E692" s="22" t="s">
        <v>2071</v>
      </c>
      <c r="F692" s="31" t="n">
        <f aca="false">WBS!Q164</f>
        <v>5</v>
      </c>
      <c r="G692" s="14" t="str">
        <f aca="false">WBS!H164</f>
        <v>P1</v>
      </c>
      <c r="H692" s="14" t="str">
        <f aca="false">WBS!G164</f>
        <v>Must</v>
      </c>
      <c r="I692" s="6" t="s">
        <v>3590</v>
      </c>
      <c r="J692" s="14"/>
      <c r="K692" s="6"/>
      <c r="L692" s="41" t="s">
        <v>2065</v>
      </c>
    </row>
    <row r="693" customFormat="false" ht="15" hidden="false" customHeight="false" outlineLevel="0" collapsed="false">
      <c r="A693" s="14" t="s">
        <v>3596</v>
      </c>
      <c r="B693" s="14" t="s">
        <v>1265</v>
      </c>
      <c r="C693" s="14" t="s">
        <v>1257</v>
      </c>
      <c r="D693" s="28" t="s">
        <v>3597</v>
      </c>
      <c r="E693" s="43" t="s">
        <v>96</v>
      </c>
      <c r="F693" s="31" t="n">
        <f aca="false">WBS!T164</f>
        <v>3.5</v>
      </c>
      <c r="G693" s="14" t="str">
        <f aca="false">WBS!H164</f>
        <v>P1</v>
      </c>
      <c r="H693" s="14" t="str">
        <f aca="false">WBS!G164</f>
        <v>Must</v>
      </c>
      <c r="I693" s="6" t="s">
        <v>3598</v>
      </c>
      <c r="J693" s="14"/>
      <c r="K693" s="6"/>
      <c r="L693" s="41" t="s">
        <v>2065</v>
      </c>
    </row>
    <row r="694" customFormat="false" ht="15" hidden="false" customHeight="false" outlineLevel="0" collapsed="false">
      <c r="A694" s="14" t="s">
        <v>3599</v>
      </c>
      <c r="B694" s="14" t="s">
        <v>1272</v>
      </c>
      <c r="C694" s="14" t="s">
        <v>1257</v>
      </c>
      <c r="D694" s="28" t="s">
        <v>3600</v>
      </c>
      <c r="E694" s="40" t="s">
        <v>91</v>
      </c>
      <c r="F694" s="31" t="n">
        <f aca="false">WBS!R165</f>
        <v>0.7</v>
      </c>
      <c r="G694" s="14" t="str">
        <f aca="false">WBS!H165</f>
        <v>P1</v>
      </c>
      <c r="H694" s="14" t="str">
        <f aca="false">WBS!G165</f>
        <v>Must</v>
      </c>
      <c r="I694" s="6" t="s">
        <v>1279</v>
      </c>
      <c r="J694" s="14"/>
      <c r="K694" s="6"/>
      <c r="L694" s="41" t="s">
        <v>2065</v>
      </c>
    </row>
    <row r="695" customFormat="false" ht="15" hidden="false" customHeight="false" outlineLevel="0" collapsed="false">
      <c r="A695" s="14" t="s">
        <v>3601</v>
      </c>
      <c r="B695" s="14" t="s">
        <v>1272</v>
      </c>
      <c r="C695" s="14" t="s">
        <v>1257</v>
      </c>
      <c r="D695" s="28" t="s">
        <v>3602</v>
      </c>
      <c r="E695" s="42" t="s">
        <v>2068</v>
      </c>
      <c r="F695" s="31" t="n">
        <f aca="false">WBS!P165</f>
        <v>3</v>
      </c>
      <c r="G695" s="14" t="str">
        <f aca="false">WBS!H165</f>
        <v>P1</v>
      </c>
      <c r="H695" s="14" t="str">
        <f aca="false">WBS!G165</f>
        <v>Must</v>
      </c>
      <c r="I695" s="6" t="s">
        <v>3599</v>
      </c>
      <c r="J695" s="14"/>
      <c r="K695" s="6"/>
      <c r="L695" s="41" t="s">
        <v>2065</v>
      </c>
    </row>
    <row r="696" customFormat="false" ht="15" hidden="false" customHeight="false" outlineLevel="0" collapsed="false">
      <c r="A696" s="14" t="s">
        <v>3603</v>
      </c>
      <c r="B696" s="14" t="s">
        <v>1272</v>
      </c>
      <c r="C696" s="14" t="s">
        <v>1257</v>
      </c>
      <c r="D696" s="28" t="s">
        <v>3604</v>
      </c>
      <c r="E696" s="22" t="s">
        <v>2071</v>
      </c>
      <c r="F696" s="31" t="n">
        <f aca="false">WBS!Q165</f>
        <v>3</v>
      </c>
      <c r="G696" s="14" t="str">
        <f aca="false">WBS!H165</f>
        <v>P1</v>
      </c>
      <c r="H696" s="14" t="str">
        <f aca="false">WBS!G165</f>
        <v>Must</v>
      </c>
      <c r="I696" s="6" t="s">
        <v>3599</v>
      </c>
      <c r="J696" s="14"/>
      <c r="K696" s="6"/>
      <c r="L696" s="41" t="s">
        <v>2065</v>
      </c>
    </row>
    <row r="697" customFormat="false" ht="15" hidden="false" customHeight="false" outlineLevel="0" collapsed="false">
      <c r="A697" s="14" t="s">
        <v>3605</v>
      </c>
      <c r="B697" s="14" t="s">
        <v>1272</v>
      </c>
      <c r="C697" s="14" t="s">
        <v>1257</v>
      </c>
      <c r="D697" s="28" t="s">
        <v>3606</v>
      </c>
      <c r="E697" s="43" t="s">
        <v>96</v>
      </c>
      <c r="F697" s="31" t="n">
        <f aca="false">WBS!T165</f>
        <v>2.1</v>
      </c>
      <c r="G697" s="14" t="str">
        <f aca="false">WBS!H165</f>
        <v>P1</v>
      </c>
      <c r="H697" s="14" t="str">
        <f aca="false">WBS!G165</f>
        <v>Must</v>
      </c>
      <c r="I697" s="6" t="s">
        <v>3607</v>
      </c>
      <c r="J697" s="14"/>
      <c r="K697" s="6"/>
      <c r="L697" s="41" t="s">
        <v>2065</v>
      </c>
    </row>
    <row r="698" customFormat="false" ht="15" hidden="false" customHeight="false" outlineLevel="0" collapsed="false">
      <c r="A698" s="14" t="s">
        <v>3608</v>
      </c>
      <c r="B698" s="14" t="s">
        <v>1280</v>
      </c>
      <c r="C698" s="14" t="s">
        <v>1257</v>
      </c>
      <c r="D698" s="28" t="s">
        <v>3609</v>
      </c>
      <c r="E698" s="40" t="s">
        <v>91</v>
      </c>
      <c r="F698" s="31" t="n">
        <f aca="false">WBS!R166</f>
        <v>0.7</v>
      </c>
      <c r="G698" s="14" t="str">
        <f aca="false">WBS!H166</f>
        <v>P1</v>
      </c>
      <c r="H698" s="14" t="str">
        <f aca="false">WBS!G166</f>
        <v>Must</v>
      </c>
      <c r="I698" s="6" t="s">
        <v>366</v>
      </c>
      <c r="J698" s="14"/>
      <c r="K698" s="6"/>
      <c r="L698" s="41" t="s">
        <v>2065</v>
      </c>
    </row>
    <row r="699" customFormat="false" ht="22.35" hidden="false" customHeight="false" outlineLevel="0" collapsed="false">
      <c r="A699" s="14" t="s">
        <v>3610</v>
      </c>
      <c r="B699" s="14" t="s">
        <v>1280</v>
      </c>
      <c r="C699" s="14" t="s">
        <v>1257</v>
      </c>
      <c r="D699" s="28" t="s">
        <v>3611</v>
      </c>
      <c r="E699" s="42" t="s">
        <v>2068</v>
      </c>
      <c r="F699" s="31" t="n">
        <f aca="false">WBS!P166</f>
        <v>3</v>
      </c>
      <c r="G699" s="14" t="str">
        <f aca="false">WBS!H166</f>
        <v>P1</v>
      </c>
      <c r="H699" s="14" t="str">
        <f aca="false">WBS!G166</f>
        <v>Must</v>
      </c>
      <c r="I699" s="6" t="s">
        <v>3608</v>
      </c>
      <c r="J699" s="14"/>
      <c r="K699" s="6"/>
      <c r="L699" s="41" t="s">
        <v>2065</v>
      </c>
    </row>
    <row r="700" customFormat="false" ht="15" hidden="false" customHeight="false" outlineLevel="0" collapsed="false">
      <c r="A700" s="14" t="s">
        <v>3612</v>
      </c>
      <c r="B700" s="14" t="s">
        <v>1280</v>
      </c>
      <c r="C700" s="14" t="s">
        <v>1257</v>
      </c>
      <c r="D700" s="28" t="s">
        <v>3613</v>
      </c>
      <c r="E700" s="22" t="s">
        <v>2071</v>
      </c>
      <c r="F700" s="31" t="n">
        <f aca="false">WBS!Q166</f>
        <v>3</v>
      </c>
      <c r="G700" s="14" t="str">
        <f aca="false">WBS!H166</f>
        <v>P1</v>
      </c>
      <c r="H700" s="14" t="str">
        <f aca="false">WBS!G166</f>
        <v>Must</v>
      </c>
      <c r="I700" s="6" t="s">
        <v>3608</v>
      </c>
      <c r="J700" s="14"/>
      <c r="K700" s="6"/>
      <c r="L700" s="41" t="s">
        <v>2065</v>
      </c>
    </row>
    <row r="701" customFormat="false" ht="15" hidden="false" customHeight="false" outlineLevel="0" collapsed="false">
      <c r="A701" s="14" t="s">
        <v>3614</v>
      </c>
      <c r="B701" s="14" t="s">
        <v>1280</v>
      </c>
      <c r="C701" s="14" t="s">
        <v>1257</v>
      </c>
      <c r="D701" s="28" t="s">
        <v>3615</v>
      </c>
      <c r="E701" s="43" t="s">
        <v>96</v>
      </c>
      <c r="F701" s="31" t="n">
        <f aca="false">WBS!T166</f>
        <v>2.1</v>
      </c>
      <c r="G701" s="14" t="str">
        <f aca="false">WBS!H166</f>
        <v>P1</v>
      </c>
      <c r="H701" s="14" t="str">
        <f aca="false">WBS!G166</f>
        <v>Must</v>
      </c>
      <c r="I701" s="6" t="s">
        <v>3616</v>
      </c>
      <c r="J701" s="14"/>
      <c r="K701" s="6"/>
      <c r="L701" s="41" t="s">
        <v>2065</v>
      </c>
    </row>
    <row r="702" customFormat="false" ht="15" hidden="false" customHeight="false" outlineLevel="0" collapsed="false">
      <c r="A702" s="14" t="s">
        <v>3617</v>
      </c>
      <c r="B702" s="14" t="s">
        <v>1288</v>
      </c>
      <c r="C702" s="14" t="s">
        <v>1257</v>
      </c>
      <c r="D702" s="28" t="s">
        <v>3618</v>
      </c>
      <c r="E702" s="40" t="s">
        <v>91</v>
      </c>
      <c r="F702" s="31" t="n">
        <f aca="false">WBS!R167</f>
        <v>1</v>
      </c>
      <c r="G702" s="14" t="str">
        <f aca="false">WBS!H167</f>
        <v>P1</v>
      </c>
      <c r="H702" s="14" t="str">
        <f aca="false">WBS!G167</f>
        <v>Must</v>
      </c>
      <c r="I702" s="6" t="s">
        <v>178</v>
      </c>
      <c r="J702" s="14"/>
      <c r="K702" s="6"/>
      <c r="L702" s="41" t="s">
        <v>2065</v>
      </c>
    </row>
    <row r="703" customFormat="false" ht="15" hidden="false" customHeight="false" outlineLevel="0" collapsed="false">
      <c r="A703" s="14" t="s">
        <v>3619</v>
      </c>
      <c r="B703" s="14" t="s">
        <v>1288</v>
      </c>
      <c r="C703" s="14" t="s">
        <v>1257</v>
      </c>
      <c r="D703" s="28" t="s">
        <v>3620</v>
      </c>
      <c r="E703" s="42" t="s">
        <v>2068</v>
      </c>
      <c r="F703" s="31" t="n">
        <f aca="false">WBS!P167</f>
        <v>5</v>
      </c>
      <c r="G703" s="14" t="str">
        <f aca="false">WBS!H167</f>
        <v>P1</v>
      </c>
      <c r="H703" s="14" t="str">
        <f aca="false">WBS!G167</f>
        <v>Must</v>
      </c>
      <c r="I703" s="6" t="s">
        <v>3617</v>
      </c>
      <c r="J703" s="14"/>
      <c r="K703" s="6"/>
      <c r="L703" s="41" t="s">
        <v>2065</v>
      </c>
    </row>
    <row r="704" customFormat="false" ht="15" hidden="false" customHeight="false" outlineLevel="0" collapsed="false">
      <c r="A704" s="14" t="s">
        <v>3621</v>
      </c>
      <c r="B704" s="14" t="s">
        <v>1288</v>
      </c>
      <c r="C704" s="14" t="s">
        <v>1257</v>
      </c>
      <c r="D704" s="28" t="s">
        <v>3622</v>
      </c>
      <c r="E704" s="22" t="s">
        <v>2071</v>
      </c>
      <c r="F704" s="31" t="n">
        <f aca="false">WBS!Q167</f>
        <v>3</v>
      </c>
      <c r="G704" s="14" t="str">
        <f aca="false">WBS!H167</f>
        <v>P1</v>
      </c>
      <c r="H704" s="14" t="str">
        <f aca="false">WBS!G167</f>
        <v>Must</v>
      </c>
      <c r="I704" s="6" t="s">
        <v>3617</v>
      </c>
      <c r="J704" s="14"/>
      <c r="K704" s="6"/>
      <c r="L704" s="41" t="s">
        <v>2065</v>
      </c>
    </row>
    <row r="705" customFormat="false" ht="15" hidden="false" customHeight="false" outlineLevel="0" collapsed="false">
      <c r="A705" s="14" t="s">
        <v>3623</v>
      </c>
      <c r="B705" s="14" t="s">
        <v>1288</v>
      </c>
      <c r="C705" s="14" t="s">
        <v>1257</v>
      </c>
      <c r="D705" s="28" t="s">
        <v>3624</v>
      </c>
      <c r="E705" s="43" t="s">
        <v>96</v>
      </c>
      <c r="F705" s="31" t="n">
        <f aca="false">WBS!T167</f>
        <v>2.8</v>
      </c>
      <c r="G705" s="14" t="str">
        <f aca="false">WBS!H167</f>
        <v>P1</v>
      </c>
      <c r="H705" s="14" t="str">
        <f aca="false">WBS!G167</f>
        <v>Must</v>
      </c>
      <c r="I705" s="6" t="s">
        <v>3625</v>
      </c>
      <c r="J705" s="14"/>
      <c r="K705" s="6"/>
      <c r="L705" s="41" t="s">
        <v>2065</v>
      </c>
    </row>
    <row r="706" customFormat="false" ht="15" hidden="false" customHeight="false" outlineLevel="0" collapsed="false">
      <c r="A706" s="14" t="s">
        <v>3626</v>
      </c>
      <c r="B706" s="14" t="s">
        <v>1295</v>
      </c>
      <c r="C706" s="14" t="s">
        <v>1257</v>
      </c>
      <c r="D706" s="28" t="s">
        <v>3627</v>
      </c>
      <c r="E706" s="40" t="s">
        <v>91</v>
      </c>
      <c r="F706" s="31" t="n">
        <f aca="false">WBS!R168</f>
        <v>0.7</v>
      </c>
      <c r="G706" s="14" t="str">
        <f aca="false">WBS!H168</f>
        <v>P1</v>
      </c>
      <c r="H706" s="14" t="str">
        <f aca="false">WBS!G168</f>
        <v>Must</v>
      </c>
      <c r="I706" s="6" t="s">
        <v>1288</v>
      </c>
      <c r="J706" s="14"/>
      <c r="K706" s="6"/>
      <c r="L706" s="41" t="s">
        <v>2065</v>
      </c>
    </row>
    <row r="707" customFormat="false" ht="15" hidden="false" customHeight="false" outlineLevel="0" collapsed="false">
      <c r="A707" s="14" t="s">
        <v>3628</v>
      </c>
      <c r="B707" s="14" t="s">
        <v>1295</v>
      </c>
      <c r="C707" s="14" t="s">
        <v>1257</v>
      </c>
      <c r="D707" s="28" t="s">
        <v>3629</v>
      </c>
      <c r="E707" s="42" t="s">
        <v>2068</v>
      </c>
      <c r="F707" s="31" t="n">
        <f aca="false">WBS!P168</f>
        <v>3</v>
      </c>
      <c r="G707" s="14" t="str">
        <f aca="false">WBS!H168</f>
        <v>P1</v>
      </c>
      <c r="H707" s="14" t="str">
        <f aca="false">WBS!G168</f>
        <v>Must</v>
      </c>
      <c r="I707" s="6" t="s">
        <v>3626</v>
      </c>
      <c r="J707" s="14"/>
      <c r="K707" s="6"/>
      <c r="L707" s="41" t="s">
        <v>2065</v>
      </c>
    </row>
    <row r="708" customFormat="false" ht="15" hidden="false" customHeight="false" outlineLevel="0" collapsed="false">
      <c r="A708" s="14" t="s">
        <v>3630</v>
      </c>
      <c r="B708" s="14" t="s">
        <v>1295</v>
      </c>
      <c r="C708" s="14" t="s">
        <v>1257</v>
      </c>
      <c r="D708" s="28" t="s">
        <v>3631</v>
      </c>
      <c r="E708" s="22" t="s">
        <v>2071</v>
      </c>
      <c r="F708" s="31" t="n">
        <f aca="false">WBS!Q168</f>
        <v>3</v>
      </c>
      <c r="G708" s="14" t="str">
        <f aca="false">WBS!H168</f>
        <v>P1</v>
      </c>
      <c r="H708" s="14" t="str">
        <f aca="false">WBS!G168</f>
        <v>Must</v>
      </c>
      <c r="I708" s="6" t="s">
        <v>3626</v>
      </c>
      <c r="J708" s="14"/>
      <c r="K708" s="6"/>
      <c r="L708" s="41" t="s">
        <v>2065</v>
      </c>
    </row>
    <row r="709" customFormat="false" ht="15" hidden="false" customHeight="false" outlineLevel="0" collapsed="false">
      <c r="A709" s="14" t="s">
        <v>3632</v>
      </c>
      <c r="B709" s="14" t="s">
        <v>1295</v>
      </c>
      <c r="C709" s="14" t="s">
        <v>1257</v>
      </c>
      <c r="D709" s="28" t="s">
        <v>3633</v>
      </c>
      <c r="E709" s="43" t="s">
        <v>96</v>
      </c>
      <c r="F709" s="31" t="n">
        <f aca="false">WBS!T168</f>
        <v>2.1</v>
      </c>
      <c r="G709" s="14" t="str">
        <f aca="false">WBS!H168</f>
        <v>P1</v>
      </c>
      <c r="H709" s="14" t="str">
        <f aca="false">WBS!G168</f>
        <v>Must</v>
      </c>
      <c r="I709" s="6" t="s">
        <v>3634</v>
      </c>
      <c r="J709" s="14"/>
      <c r="K709" s="6"/>
      <c r="L709" s="41" t="s">
        <v>2065</v>
      </c>
    </row>
    <row r="710" customFormat="false" ht="15" hidden="false" customHeight="false" outlineLevel="0" collapsed="false">
      <c r="A710" s="14" t="s">
        <v>3635</v>
      </c>
      <c r="B710" s="14" t="s">
        <v>1301</v>
      </c>
      <c r="C710" s="14" t="s">
        <v>1257</v>
      </c>
      <c r="D710" s="28" t="s">
        <v>3636</v>
      </c>
      <c r="E710" s="40" t="s">
        <v>91</v>
      </c>
      <c r="F710" s="31" t="n">
        <f aca="false">WBS!R169</f>
        <v>0.7</v>
      </c>
      <c r="G710" s="14" t="str">
        <f aca="false">WBS!H169</f>
        <v>P1</v>
      </c>
      <c r="H710" s="14" t="str">
        <f aca="false">WBS!G169</f>
        <v>Must</v>
      </c>
      <c r="I710" s="6" t="s">
        <v>170</v>
      </c>
      <c r="J710" s="14"/>
      <c r="K710" s="6"/>
      <c r="L710" s="41" t="s">
        <v>2065</v>
      </c>
    </row>
    <row r="711" customFormat="false" ht="15" hidden="false" customHeight="false" outlineLevel="0" collapsed="false">
      <c r="A711" s="14" t="s">
        <v>3637</v>
      </c>
      <c r="B711" s="14" t="s">
        <v>1301</v>
      </c>
      <c r="C711" s="14" t="s">
        <v>1257</v>
      </c>
      <c r="D711" s="28" t="s">
        <v>3638</v>
      </c>
      <c r="E711" s="42" t="s">
        <v>2068</v>
      </c>
      <c r="F711" s="31" t="n">
        <f aca="false">WBS!P169</f>
        <v>3</v>
      </c>
      <c r="G711" s="14" t="str">
        <f aca="false">WBS!H169</f>
        <v>P1</v>
      </c>
      <c r="H711" s="14" t="str">
        <f aca="false">WBS!G169</f>
        <v>Must</v>
      </c>
      <c r="I711" s="6" t="s">
        <v>3635</v>
      </c>
      <c r="J711" s="14"/>
      <c r="K711" s="6"/>
      <c r="L711" s="41" t="s">
        <v>2065</v>
      </c>
    </row>
    <row r="712" customFormat="false" ht="15" hidden="false" customHeight="false" outlineLevel="0" collapsed="false">
      <c r="A712" s="14" t="s">
        <v>3639</v>
      </c>
      <c r="B712" s="14" t="s">
        <v>1301</v>
      </c>
      <c r="C712" s="14" t="s">
        <v>1257</v>
      </c>
      <c r="D712" s="28" t="s">
        <v>3640</v>
      </c>
      <c r="E712" s="22" t="s">
        <v>2071</v>
      </c>
      <c r="F712" s="31" t="n">
        <f aca="false">WBS!Q169</f>
        <v>3</v>
      </c>
      <c r="G712" s="14" t="str">
        <f aca="false">WBS!H169</f>
        <v>P1</v>
      </c>
      <c r="H712" s="14" t="str">
        <f aca="false">WBS!G169</f>
        <v>Must</v>
      </c>
      <c r="I712" s="6" t="s">
        <v>3635</v>
      </c>
      <c r="J712" s="14"/>
      <c r="K712" s="6"/>
      <c r="L712" s="41" t="s">
        <v>2065</v>
      </c>
    </row>
    <row r="713" customFormat="false" ht="15" hidden="false" customHeight="false" outlineLevel="0" collapsed="false">
      <c r="A713" s="14" t="s">
        <v>3641</v>
      </c>
      <c r="B713" s="14" t="s">
        <v>1301</v>
      </c>
      <c r="C713" s="14" t="s">
        <v>1257</v>
      </c>
      <c r="D713" s="28" t="s">
        <v>3642</v>
      </c>
      <c r="E713" s="43" t="s">
        <v>96</v>
      </c>
      <c r="F713" s="31" t="n">
        <f aca="false">WBS!T169</f>
        <v>2.1</v>
      </c>
      <c r="G713" s="14" t="str">
        <f aca="false">WBS!H169</f>
        <v>P1</v>
      </c>
      <c r="H713" s="14" t="str">
        <f aca="false">WBS!G169</f>
        <v>Must</v>
      </c>
      <c r="I713" s="6" t="s">
        <v>3643</v>
      </c>
      <c r="J713" s="14"/>
      <c r="K713" s="6"/>
      <c r="L713" s="41" t="s">
        <v>2065</v>
      </c>
    </row>
    <row r="714" customFormat="false" ht="15" hidden="false" customHeight="false" outlineLevel="0" collapsed="false">
      <c r="A714" s="14" t="s">
        <v>3644</v>
      </c>
      <c r="B714" s="14" t="s">
        <v>1307</v>
      </c>
      <c r="C714" s="14" t="s">
        <v>1257</v>
      </c>
      <c r="D714" s="28" t="s">
        <v>3645</v>
      </c>
      <c r="E714" s="40" t="s">
        <v>91</v>
      </c>
      <c r="F714" s="31" t="n">
        <f aca="false">WBS!R170</f>
        <v>0.7</v>
      </c>
      <c r="G714" s="14" t="str">
        <f aca="false">WBS!H170</f>
        <v>P1</v>
      </c>
      <c r="H714" s="14" t="str">
        <f aca="false">WBS!G170</f>
        <v>Must</v>
      </c>
      <c r="I714" s="6" t="s">
        <v>1301</v>
      </c>
      <c r="J714" s="14"/>
      <c r="K714" s="6"/>
      <c r="L714" s="41" t="s">
        <v>2065</v>
      </c>
    </row>
    <row r="715" customFormat="false" ht="15" hidden="false" customHeight="false" outlineLevel="0" collapsed="false">
      <c r="A715" s="14" t="s">
        <v>3646</v>
      </c>
      <c r="B715" s="14" t="s">
        <v>1307</v>
      </c>
      <c r="C715" s="14" t="s">
        <v>1257</v>
      </c>
      <c r="D715" s="28" t="s">
        <v>3647</v>
      </c>
      <c r="E715" s="42" t="s">
        <v>2068</v>
      </c>
      <c r="F715" s="31" t="n">
        <f aca="false">WBS!P170</f>
        <v>3</v>
      </c>
      <c r="G715" s="14" t="str">
        <f aca="false">WBS!H170</f>
        <v>P1</v>
      </c>
      <c r="H715" s="14" t="str">
        <f aca="false">WBS!G170</f>
        <v>Must</v>
      </c>
      <c r="I715" s="6" t="s">
        <v>3644</v>
      </c>
      <c r="J715" s="14"/>
      <c r="K715" s="6"/>
      <c r="L715" s="41" t="s">
        <v>2065</v>
      </c>
    </row>
    <row r="716" customFormat="false" ht="15" hidden="false" customHeight="false" outlineLevel="0" collapsed="false">
      <c r="A716" s="14" t="s">
        <v>3648</v>
      </c>
      <c r="B716" s="14" t="s">
        <v>1307</v>
      </c>
      <c r="C716" s="14" t="s">
        <v>1257</v>
      </c>
      <c r="D716" s="28" t="s">
        <v>3649</v>
      </c>
      <c r="E716" s="22" t="s">
        <v>2071</v>
      </c>
      <c r="F716" s="31" t="n">
        <f aca="false">WBS!Q170</f>
        <v>3</v>
      </c>
      <c r="G716" s="14" t="str">
        <f aca="false">WBS!H170</f>
        <v>P1</v>
      </c>
      <c r="H716" s="14" t="str">
        <f aca="false">WBS!G170</f>
        <v>Must</v>
      </c>
      <c r="I716" s="6" t="s">
        <v>3644</v>
      </c>
      <c r="J716" s="14"/>
      <c r="K716" s="6"/>
      <c r="L716" s="41" t="s">
        <v>2065</v>
      </c>
    </row>
    <row r="717" customFormat="false" ht="15" hidden="false" customHeight="false" outlineLevel="0" collapsed="false">
      <c r="A717" s="14" t="s">
        <v>3650</v>
      </c>
      <c r="B717" s="14" t="s">
        <v>1307</v>
      </c>
      <c r="C717" s="14" t="s">
        <v>1257</v>
      </c>
      <c r="D717" s="28" t="s">
        <v>3651</v>
      </c>
      <c r="E717" s="43" t="s">
        <v>96</v>
      </c>
      <c r="F717" s="31" t="n">
        <f aca="false">WBS!T170</f>
        <v>2.1</v>
      </c>
      <c r="G717" s="14" t="str">
        <f aca="false">WBS!H170</f>
        <v>P1</v>
      </c>
      <c r="H717" s="14" t="str">
        <f aca="false">WBS!G170</f>
        <v>Must</v>
      </c>
      <c r="I717" s="6" t="s">
        <v>3652</v>
      </c>
      <c r="J717" s="14"/>
      <c r="K717" s="6"/>
      <c r="L717" s="41" t="s">
        <v>2065</v>
      </c>
    </row>
    <row r="718" customFormat="false" ht="15" hidden="false" customHeight="false" outlineLevel="0" collapsed="false">
      <c r="A718" s="14" t="s">
        <v>3653</v>
      </c>
      <c r="B718" s="14" t="s">
        <v>1314</v>
      </c>
      <c r="C718" s="14" t="s">
        <v>1257</v>
      </c>
      <c r="D718" s="28" t="s">
        <v>3654</v>
      </c>
      <c r="E718" s="40" t="s">
        <v>91</v>
      </c>
      <c r="F718" s="31" t="n">
        <f aca="false">WBS!R171</f>
        <v>1.2</v>
      </c>
      <c r="G718" s="14" t="str">
        <f aca="false">WBS!H171</f>
        <v>P1</v>
      </c>
      <c r="H718" s="14" t="str">
        <f aca="false">WBS!G171</f>
        <v>Must</v>
      </c>
      <c r="I718" s="6" t="s">
        <v>241</v>
      </c>
      <c r="J718" s="14"/>
      <c r="K718" s="6"/>
      <c r="L718" s="41" t="s">
        <v>2065</v>
      </c>
    </row>
    <row r="719" customFormat="false" ht="15" hidden="false" customHeight="false" outlineLevel="0" collapsed="false">
      <c r="A719" s="14" t="s">
        <v>3655</v>
      </c>
      <c r="B719" s="14" t="s">
        <v>1314</v>
      </c>
      <c r="C719" s="14" t="s">
        <v>1257</v>
      </c>
      <c r="D719" s="28" t="s">
        <v>3656</v>
      </c>
      <c r="E719" s="37" t="s">
        <v>128</v>
      </c>
      <c r="F719" s="31" t="n">
        <f aca="false">WBS!S171</f>
        <v>2</v>
      </c>
      <c r="G719" s="14" t="str">
        <f aca="false">WBS!H171</f>
        <v>P1</v>
      </c>
      <c r="H719" s="14" t="str">
        <f aca="false">WBS!G171</f>
        <v>Must</v>
      </c>
      <c r="I719" s="6" t="s">
        <v>3653</v>
      </c>
      <c r="J719" s="14"/>
      <c r="K719" s="6"/>
      <c r="L719" s="41" t="s">
        <v>2065</v>
      </c>
    </row>
    <row r="720" customFormat="false" ht="22.35" hidden="false" customHeight="false" outlineLevel="0" collapsed="false">
      <c r="A720" s="14" t="s">
        <v>3657</v>
      </c>
      <c r="B720" s="14" t="s">
        <v>1314</v>
      </c>
      <c r="C720" s="14" t="s">
        <v>1257</v>
      </c>
      <c r="D720" s="28" t="s">
        <v>3658</v>
      </c>
      <c r="E720" s="42" t="s">
        <v>2068</v>
      </c>
      <c r="F720" s="31" t="n">
        <f aca="false">WBS!P171</f>
        <v>5</v>
      </c>
      <c r="G720" s="14" t="str">
        <f aca="false">WBS!H171</f>
        <v>P1</v>
      </c>
      <c r="H720" s="14" t="str">
        <f aca="false">WBS!G171</f>
        <v>Must</v>
      </c>
      <c r="I720" s="6" t="s">
        <v>3653</v>
      </c>
      <c r="J720" s="14"/>
      <c r="K720" s="6"/>
      <c r="L720" s="41" t="s">
        <v>2065</v>
      </c>
    </row>
    <row r="721" customFormat="false" ht="15" hidden="false" customHeight="false" outlineLevel="0" collapsed="false">
      <c r="A721" s="14" t="s">
        <v>3659</v>
      </c>
      <c r="B721" s="14" t="s">
        <v>1314</v>
      </c>
      <c r="C721" s="14" t="s">
        <v>1257</v>
      </c>
      <c r="D721" s="28" t="s">
        <v>3660</v>
      </c>
      <c r="E721" s="22" t="s">
        <v>2071</v>
      </c>
      <c r="F721" s="31" t="n">
        <f aca="false">WBS!Q171</f>
        <v>5</v>
      </c>
      <c r="G721" s="14" t="str">
        <f aca="false">WBS!H171</f>
        <v>P1</v>
      </c>
      <c r="H721" s="14" t="str">
        <f aca="false">WBS!G171</f>
        <v>Must</v>
      </c>
      <c r="I721" s="6" t="s">
        <v>3655</v>
      </c>
      <c r="J721" s="14"/>
      <c r="K721" s="6"/>
      <c r="L721" s="41" t="s">
        <v>2065</v>
      </c>
    </row>
    <row r="722" customFormat="false" ht="15" hidden="false" customHeight="false" outlineLevel="0" collapsed="false">
      <c r="A722" s="14" t="s">
        <v>3661</v>
      </c>
      <c r="B722" s="14" t="s">
        <v>1314</v>
      </c>
      <c r="C722" s="14" t="s">
        <v>1257</v>
      </c>
      <c r="D722" s="28" t="s">
        <v>3662</v>
      </c>
      <c r="E722" s="43" t="s">
        <v>96</v>
      </c>
      <c r="F722" s="31" t="n">
        <f aca="false">WBS!T171</f>
        <v>3.5</v>
      </c>
      <c r="G722" s="14" t="str">
        <f aca="false">WBS!H171</f>
        <v>P1</v>
      </c>
      <c r="H722" s="14" t="str">
        <f aca="false">WBS!G171</f>
        <v>Must</v>
      </c>
      <c r="I722" s="6" t="s">
        <v>3663</v>
      </c>
      <c r="J722" s="14"/>
      <c r="K722" s="6"/>
      <c r="L722" s="41" t="s">
        <v>2065</v>
      </c>
    </row>
    <row r="723" customFormat="false" ht="15" hidden="false" customHeight="false" outlineLevel="0" collapsed="false">
      <c r="A723" s="14" t="s">
        <v>3664</v>
      </c>
      <c r="B723" s="14" t="s">
        <v>1321</v>
      </c>
      <c r="C723" s="14" t="s">
        <v>1257</v>
      </c>
      <c r="D723" s="28" t="s">
        <v>3665</v>
      </c>
      <c r="E723" s="40" t="s">
        <v>91</v>
      </c>
      <c r="F723" s="31" t="n">
        <f aca="false">WBS!R172</f>
        <v>1</v>
      </c>
      <c r="G723" s="14" t="str">
        <f aca="false">WBS!H172</f>
        <v>P1</v>
      </c>
      <c r="H723" s="14" t="str">
        <f aca="false">WBS!G172</f>
        <v>Must</v>
      </c>
      <c r="I723" s="6" t="s">
        <v>162</v>
      </c>
      <c r="J723" s="14"/>
      <c r="K723" s="6"/>
      <c r="L723" s="41" t="s">
        <v>2065</v>
      </c>
    </row>
    <row r="724" customFormat="false" ht="15" hidden="false" customHeight="false" outlineLevel="0" collapsed="false">
      <c r="A724" s="14" t="s">
        <v>3666</v>
      </c>
      <c r="B724" s="14" t="s">
        <v>1321</v>
      </c>
      <c r="C724" s="14" t="s">
        <v>1257</v>
      </c>
      <c r="D724" s="28" t="s">
        <v>3667</v>
      </c>
      <c r="E724" s="42" t="s">
        <v>2068</v>
      </c>
      <c r="F724" s="31" t="n">
        <f aca="false">WBS!P172</f>
        <v>5</v>
      </c>
      <c r="G724" s="14" t="str">
        <f aca="false">WBS!H172</f>
        <v>P1</v>
      </c>
      <c r="H724" s="14" t="str">
        <f aca="false">WBS!G172</f>
        <v>Must</v>
      </c>
      <c r="I724" s="6" t="s">
        <v>3664</v>
      </c>
      <c r="J724" s="14"/>
      <c r="K724" s="6"/>
      <c r="L724" s="41" t="s">
        <v>2065</v>
      </c>
    </row>
    <row r="725" customFormat="false" ht="15" hidden="false" customHeight="false" outlineLevel="0" collapsed="false">
      <c r="A725" s="14" t="s">
        <v>3668</v>
      </c>
      <c r="B725" s="14" t="s">
        <v>1321</v>
      </c>
      <c r="C725" s="14" t="s">
        <v>1257</v>
      </c>
      <c r="D725" s="28" t="s">
        <v>3669</v>
      </c>
      <c r="E725" s="22" t="s">
        <v>2071</v>
      </c>
      <c r="F725" s="31" t="n">
        <f aca="false">WBS!Q172</f>
        <v>3</v>
      </c>
      <c r="G725" s="14" t="str">
        <f aca="false">WBS!H172</f>
        <v>P1</v>
      </c>
      <c r="H725" s="14" t="str">
        <f aca="false">WBS!G172</f>
        <v>Must</v>
      </c>
      <c r="I725" s="6" t="s">
        <v>3664</v>
      </c>
      <c r="J725" s="14"/>
      <c r="K725" s="6"/>
      <c r="L725" s="41" t="s">
        <v>2065</v>
      </c>
    </row>
    <row r="726" customFormat="false" ht="15" hidden="false" customHeight="false" outlineLevel="0" collapsed="false">
      <c r="A726" s="14" t="s">
        <v>3670</v>
      </c>
      <c r="B726" s="14" t="s">
        <v>1321</v>
      </c>
      <c r="C726" s="14" t="s">
        <v>1257</v>
      </c>
      <c r="D726" s="28" t="s">
        <v>3671</v>
      </c>
      <c r="E726" s="43" t="s">
        <v>96</v>
      </c>
      <c r="F726" s="31" t="n">
        <f aca="false">WBS!T172</f>
        <v>2.8</v>
      </c>
      <c r="G726" s="14" t="str">
        <f aca="false">WBS!H172</f>
        <v>P1</v>
      </c>
      <c r="H726" s="14" t="str">
        <f aca="false">WBS!G172</f>
        <v>Must</v>
      </c>
      <c r="I726" s="6" t="s">
        <v>3672</v>
      </c>
      <c r="J726" s="14"/>
      <c r="K726" s="6"/>
      <c r="L726" s="41" t="s">
        <v>2065</v>
      </c>
    </row>
    <row r="727" customFormat="false" ht="15" hidden="false" customHeight="false" outlineLevel="0" collapsed="false">
      <c r="A727" s="14" t="s">
        <v>3673</v>
      </c>
      <c r="B727" s="14" t="s">
        <v>1328</v>
      </c>
      <c r="C727" s="14" t="s">
        <v>1257</v>
      </c>
      <c r="D727" s="28" t="s">
        <v>3674</v>
      </c>
      <c r="E727" s="40" t="s">
        <v>91</v>
      </c>
      <c r="F727" s="31" t="n">
        <f aca="false">WBS!R173</f>
        <v>1</v>
      </c>
      <c r="G727" s="14" t="str">
        <f aca="false">WBS!H173</f>
        <v>P1</v>
      </c>
      <c r="H727" s="14" t="str">
        <f aca="false">WBS!G173</f>
        <v>Must</v>
      </c>
      <c r="I727" s="6" t="s">
        <v>1334</v>
      </c>
      <c r="J727" s="14"/>
      <c r="K727" s="6"/>
      <c r="L727" s="41" t="s">
        <v>2065</v>
      </c>
    </row>
    <row r="728" customFormat="false" ht="15" hidden="false" customHeight="false" outlineLevel="0" collapsed="false">
      <c r="A728" s="14" t="s">
        <v>3675</v>
      </c>
      <c r="B728" s="14" t="s">
        <v>1328</v>
      </c>
      <c r="C728" s="14" t="s">
        <v>1257</v>
      </c>
      <c r="D728" s="28" t="s">
        <v>3676</v>
      </c>
      <c r="E728" s="42" t="s">
        <v>2068</v>
      </c>
      <c r="F728" s="31" t="n">
        <f aca="false">WBS!P173</f>
        <v>3</v>
      </c>
      <c r="G728" s="14" t="str">
        <f aca="false">WBS!H173</f>
        <v>P1</v>
      </c>
      <c r="H728" s="14" t="str">
        <f aca="false">WBS!G173</f>
        <v>Must</v>
      </c>
      <c r="I728" s="6" t="s">
        <v>3673</v>
      </c>
      <c r="J728" s="14"/>
      <c r="K728" s="6"/>
      <c r="L728" s="41" t="s">
        <v>2065</v>
      </c>
    </row>
    <row r="729" customFormat="false" ht="15" hidden="false" customHeight="false" outlineLevel="0" collapsed="false">
      <c r="A729" s="14" t="s">
        <v>3677</v>
      </c>
      <c r="B729" s="14" t="s">
        <v>1328</v>
      </c>
      <c r="C729" s="14" t="s">
        <v>1257</v>
      </c>
      <c r="D729" s="28" t="s">
        <v>3678</v>
      </c>
      <c r="E729" s="22" t="s">
        <v>2071</v>
      </c>
      <c r="F729" s="31" t="n">
        <f aca="false">WBS!Q173</f>
        <v>5</v>
      </c>
      <c r="G729" s="14" t="str">
        <f aca="false">WBS!H173</f>
        <v>P1</v>
      </c>
      <c r="H729" s="14" t="str">
        <f aca="false">WBS!G173</f>
        <v>Must</v>
      </c>
      <c r="I729" s="6" t="s">
        <v>3673</v>
      </c>
      <c r="J729" s="14"/>
      <c r="K729" s="6"/>
      <c r="L729" s="41" t="s">
        <v>2065</v>
      </c>
    </row>
    <row r="730" customFormat="false" ht="15" hidden="false" customHeight="false" outlineLevel="0" collapsed="false">
      <c r="A730" s="14" t="s">
        <v>3679</v>
      </c>
      <c r="B730" s="14" t="s">
        <v>1328</v>
      </c>
      <c r="C730" s="14" t="s">
        <v>1257</v>
      </c>
      <c r="D730" s="28" t="s">
        <v>3680</v>
      </c>
      <c r="E730" s="43" t="s">
        <v>96</v>
      </c>
      <c r="F730" s="31" t="n">
        <f aca="false">WBS!T173</f>
        <v>2.8</v>
      </c>
      <c r="G730" s="14" t="str">
        <f aca="false">WBS!H173</f>
        <v>P1</v>
      </c>
      <c r="H730" s="14" t="str">
        <f aca="false">WBS!G173</f>
        <v>Must</v>
      </c>
      <c r="I730" s="6" t="s">
        <v>3681</v>
      </c>
      <c r="J730" s="14"/>
      <c r="K730" s="6"/>
      <c r="L730" s="41" t="s">
        <v>2065</v>
      </c>
    </row>
    <row r="731" customFormat="false" ht="15" hidden="false" customHeight="false" outlineLevel="0" collapsed="false">
      <c r="A731" s="14" t="s">
        <v>3682</v>
      </c>
      <c r="B731" s="14" t="s">
        <v>1335</v>
      </c>
      <c r="C731" s="14" t="s">
        <v>1257</v>
      </c>
      <c r="D731" s="28" t="s">
        <v>3683</v>
      </c>
      <c r="E731" s="40" t="s">
        <v>91</v>
      </c>
      <c r="F731" s="31" t="n">
        <f aca="false">WBS!R174</f>
        <v>0.5</v>
      </c>
      <c r="G731" s="14" t="str">
        <f aca="false">WBS!H174</f>
        <v>P1</v>
      </c>
      <c r="H731" s="14" t="str">
        <f aca="false">WBS!G174</f>
        <v>Must</v>
      </c>
      <c r="I731" s="6" t="s">
        <v>1265</v>
      </c>
      <c r="J731" s="14"/>
      <c r="K731" s="6"/>
      <c r="L731" s="41" t="s">
        <v>2065</v>
      </c>
    </row>
    <row r="732" customFormat="false" ht="15" hidden="false" customHeight="false" outlineLevel="0" collapsed="false">
      <c r="A732" s="14" t="s">
        <v>3684</v>
      </c>
      <c r="B732" s="14" t="s">
        <v>1335</v>
      </c>
      <c r="C732" s="14" t="s">
        <v>1257</v>
      </c>
      <c r="D732" s="28" t="s">
        <v>3685</v>
      </c>
      <c r="E732" s="42" t="s">
        <v>2068</v>
      </c>
      <c r="F732" s="31" t="n">
        <f aca="false">WBS!P174</f>
        <v>1</v>
      </c>
      <c r="G732" s="14" t="str">
        <f aca="false">WBS!H174</f>
        <v>P1</v>
      </c>
      <c r="H732" s="14" t="str">
        <f aca="false">WBS!G174</f>
        <v>Must</v>
      </c>
      <c r="I732" s="6" t="s">
        <v>3682</v>
      </c>
      <c r="J732" s="14"/>
      <c r="K732" s="6"/>
      <c r="L732" s="41" t="s">
        <v>2065</v>
      </c>
    </row>
    <row r="733" customFormat="false" ht="15" hidden="false" customHeight="false" outlineLevel="0" collapsed="false">
      <c r="A733" s="14" t="s">
        <v>3686</v>
      </c>
      <c r="B733" s="14" t="s">
        <v>1335</v>
      </c>
      <c r="C733" s="14" t="s">
        <v>1257</v>
      </c>
      <c r="D733" s="28" t="s">
        <v>3687</v>
      </c>
      <c r="E733" s="22" t="s">
        <v>2071</v>
      </c>
      <c r="F733" s="31" t="n">
        <f aca="false">WBS!Q174</f>
        <v>3</v>
      </c>
      <c r="G733" s="14" t="str">
        <f aca="false">WBS!H174</f>
        <v>P1</v>
      </c>
      <c r="H733" s="14" t="str">
        <f aca="false">WBS!G174</f>
        <v>Must</v>
      </c>
      <c r="I733" s="6" t="s">
        <v>3682</v>
      </c>
      <c r="J733" s="14"/>
      <c r="K733" s="6"/>
      <c r="L733" s="41" t="s">
        <v>2065</v>
      </c>
    </row>
    <row r="734" customFormat="false" ht="15" hidden="false" customHeight="false" outlineLevel="0" collapsed="false">
      <c r="A734" s="14" t="s">
        <v>3688</v>
      </c>
      <c r="B734" s="14" t="s">
        <v>1335</v>
      </c>
      <c r="C734" s="14" t="s">
        <v>1257</v>
      </c>
      <c r="D734" s="28" t="s">
        <v>3689</v>
      </c>
      <c r="E734" s="43" t="s">
        <v>96</v>
      </c>
      <c r="F734" s="31" t="n">
        <f aca="false">WBS!T174</f>
        <v>1.4</v>
      </c>
      <c r="G734" s="14" t="str">
        <f aca="false">WBS!H174</f>
        <v>P1</v>
      </c>
      <c r="H734" s="14" t="str">
        <f aca="false">WBS!G174</f>
        <v>Must</v>
      </c>
      <c r="I734" s="6" t="s">
        <v>3690</v>
      </c>
      <c r="J734" s="14"/>
      <c r="K734" s="6"/>
      <c r="L734" s="41" t="s">
        <v>2065</v>
      </c>
    </row>
    <row r="735" customFormat="false" ht="15" hidden="false" customHeight="false" outlineLevel="0" collapsed="false">
      <c r="A735" s="14" t="s">
        <v>3691</v>
      </c>
      <c r="B735" s="14" t="s">
        <v>1341</v>
      </c>
      <c r="C735" s="14" t="s">
        <v>1257</v>
      </c>
      <c r="D735" s="28" t="s">
        <v>3692</v>
      </c>
      <c r="E735" s="40" t="s">
        <v>91</v>
      </c>
      <c r="F735" s="31" t="n">
        <f aca="false">WBS!R175</f>
        <v>1.2</v>
      </c>
      <c r="G735" s="14" t="str">
        <f aca="false">WBS!H175</f>
        <v>P3</v>
      </c>
      <c r="H735" s="14" t="str">
        <f aca="false">WBS!G175</f>
        <v>Should</v>
      </c>
      <c r="I735" s="6" t="s">
        <v>170</v>
      </c>
      <c r="J735" s="14"/>
      <c r="K735" s="6"/>
      <c r="L735" s="41" t="s">
        <v>2065</v>
      </c>
    </row>
    <row r="736" customFormat="false" ht="15" hidden="false" customHeight="false" outlineLevel="0" collapsed="false">
      <c r="A736" s="14" t="s">
        <v>3693</v>
      </c>
      <c r="B736" s="14" t="s">
        <v>1341</v>
      </c>
      <c r="C736" s="14" t="s">
        <v>1257</v>
      </c>
      <c r="D736" s="28" t="s">
        <v>3694</v>
      </c>
      <c r="E736" s="37" t="s">
        <v>128</v>
      </c>
      <c r="F736" s="31" t="n">
        <f aca="false">WBS!S175</f>
        <v>2</v>
      </c>
      <c r="G736" s="14" t="str">
        <f aca="false">WBS!H175</f>
        <v>P3</v>
      </c>
      <c r="H736" s="14" t="str">
        <f aca="false">WBS!G175</f>
        <v>Should</v>
      </c>
      <c r="I736" s="6" t="s">
        <v>3691</v>
      </c>
      <c r="J736" s="14"/>
      <c r="K736" s="6"/>
      <c r="L736" s="41" t="s">
        <v>2065</v>
      </c>
    </row>
    <row r="737" customFormat="false" ht="15" hidden="false" customHeight="false" outlineLevel="0" collapsed="false">
      <c r="A737" s="14" t="s">
        <v>3695</v>
      </c>
      <c r="B737" s="14" t="s">
        <v>1341</v>
      </c>
      <c r="C737" s="14" t="s">
        <v>1257</v>
      </c>
      <c r="D737" s="28" t="s">
        <v>3696</v>
      </c>
      <c r="E737" s="42" t="s">
        <v>2068</v>
      </c>
      <c r="F737" s="31" t="n">
        <f aca="false">WBS!P175</f>
        <v>5</v>
      </c>
      <c r="G737" s="14" t="str">
        <f aca="false">WBS!H175</f>
        <v>P3</v>
      </c>
      <c r="H737" s="14" t="str">
        <f aca="false">WBS!G175</f>
        <v>Should</v>
      </c>
      <c r="I737" s="6" t="s">
        <v>3691</v>
      </c>
      <c r="J737" s="14"/>
      <c r="K737" s="6"/>
      <c r="L737" s="41" t="s">
        <v>2065</v>
      </c>
    </row>
    <row r="738" customFormat="false" ht="15" hidden="false" customHeight="false" outlineLevel="0" collapsed="false">
      <c r="A738" s="14" t="s">
        <v>3697</v>
      </c>
      <c r="B738" s="14" t="s">
        <v>1341</v>
      </c>
      <c r="C738" s="14" t="s">
        <v>1257</v>
      </c>
      <c r="D738" s="28" t="s">
        <v>3698</v>
      </c>
      <c r="E738" s="22" t="s">
        <v>2071</v>
      </c>
      <c r="F738" s="31" t="n">
        <f aca="false">WBS!Q175</f>
        <v>5</v>
      </c>
      <c r="G738" s="14" t="str">
        <f aca="false">WBS!H175</f>
        <v>P3</v>
      </c>
      <c r="H738" s="14" t="str">
        <f aca="false">WBS!G175</f>
        <v>Should</v>
      </c>
      <c r="I738" s="6" t="s">
        <v>3693</v>
      </c>
      <c r="J738" s="14"/>
      <c r="K738" s="6"/>
      <c r="L738" s="41" t="s">
        <v>2065</v>
      </c>
    </row>
    <row r="739" customFormat="false" ht="15" hidden="false" customHeight="false" outlineLevel="0" collapsed="false">
      <c r="A739" s="14" t="s">
        <v>3699</v>
      </c>
      <c r="B739" s="14" t="s">
        <v>1341</v>
      </c>
      <c r="C739" s="14" t="s">
        <v>1257</v>
      </c>
      <c r="D739" s="28" t="s">
        <v>3700</v>
      </c>
      <c r="E739" s="43" t="s">
        <v>96</v>
      </c>
      <c r="F739" s="31" t="n">
        <f aca="false">WBS!T175</f>
        <v>3.5</v>
      </c>
      <c r="G739" s="14" t="str">
        <f aca="false">WBS!H175</f>
        <v>P3</v>
      </c>
      <c r="H739" s="14" t="str">
        <f aca="false">WBS!G175</f>
        <v>Should</v>
      </c>
      <c r="I739" s="6" t="s">
        <v>3701</v>
      </c>
      <c r="J739" s="14"/>
      <c r="K739" s="6"/>
      <c r="L739" s="41" t="s">
        <v>2065</v>
      </c>
    </row>
    <row r="740" customFormat="false" ht="15" hidden="false" customHeight="false" outlineLevel="0" collapsed="false">
      <c r="A740" s="14" t="s">
        <v>3702</v>
      </c>
      <c r="B740" s="14" t="s">
        <v>1347</v>
      </c>
      <c r="C740" s="14" t="s">
        <v>1257</v>
      </c>
      <c r="D740" s="28" t="s">
        <v>3703</v>
      </c>
      <c r="E740" s="40" t="s">
        <v>91</v>
      </c>
      <c r="F740" s="31" t="n">
        <f aca="false">WBS!R176</f>
        <v>1</v>
      </c>
      <c r="G740" s="14" t="str">
        <f aca="false">WBS!H176</f>
        <v>P3</v>
      </c>
      <c r="H740" s="14" t="str">
        <f aca="false">WBS!G176</f>
        <v>Should</v>
      </c>
      <c r="I740" s="6" t="s">
        <v>256</v>
      </c>
      <c r="J740" s="14"/>
      <c r="K740" s="6"/>
      <c r="L740" s="41" t="s">
        <v>2065</v>
      </c>
    </row>
    <row r="741" customFormat="false" ht="15" hidden="false" customHeight="false" outlineLevel="0" collapsed="false">
      <c r="A741" s="14" t="s">
        <v>3704</v>
      </c>
      <c r="B741" s="14" t="s">
        <v>1347</v>
      </c>
      <c r="C741" s="14" t="s">
        <v>1257</v>
      </c>
      <c r="D741" s="28" t="s">
        <v>3705</v>
      </c>
      <c r="E741" s="42" t="s">
        <v>2068</v>
      </c>
      <c r="F741" s="31" t="n">
        <f aca="false">WBS!P176</f>
        <v>3</v>
      </c>
      <c r="G741" s="14" t="str">
        <f aca="false">WBS!H176</f>
        <v>P3</v>
      </c>
      <c r="H741" s="14" t="str">
        <f aca="false">WBS!G176</f>
        <v>Should</v>
      </c>
      <c r="I741" s="6" t="s">
        <v>3702</v>
      </c>
      <c r="J741" s="14"/>
      <c r="K741" s="6"/>
      <c r="L741" s="41" t="s">
        <v>2065</v>
      </c>
    </row>
    <row r="742" customFormat="false" ht="15" hidden="false" customHeight="false" outlineLevel="0" collapsed="false">
      <c r="A742" s="14" t="s">
        <v>3706</v>
      </c>
      <c r="B742" s="14" t="s">
        <v>1347</v>
      </c>
      <c r="C742" s="14" t="s">
        <v>1257</v>
      </c>
      <c r="D742" s="28" t="s">
        <v>3707</v>
      </c>
      <c r="E742" s="22" t="s">
        <v>2071</v>
      </c>
      <c r="F742" s="31" t="n">
        <f aca="false">WBS!Q176</f>
        <v>5</v>
      </c>
      <c r="G742" s="14" t="str">
        <f aca="false">WBS!H176</f>
        <v>P3</v>
      </c>
      <c r="H742" s="14" t="str">
        <f aca="false">WBS!G176</f>
        <v>Should</v>
      </c>
      <c r="I742" s="6" t="s">
        <v>3702</v>
      </c>
      <c r="J742" s="14"/>
      <c r="K742" s="6"/>
      <c r="L742" s="41" t="s">
        <v>2065</v>
      </c>
    </row>
    <row r="743" customFormat="false" ht="15" hidden="false" customHeight="false" outlineLevel="0" collapsed="false">
      <c r="A743" s="14" t="s">
        <v>3708</v>
      </c>
      <c r="B743" s="14" t="s">
        <v>1347</v>
      </c>
      <c r="C743" s="14" t="s">
        <v>1257</v>
      </c>
      <c r="D743" s="28" t="s">
        <v>3709</v>
      </c>
      <c r="E743" s="43" t="s">
        <v>96</v>
      </c>
      <c r="F743" s="31" t="n">
        <f aca="false">WBS!T176</f>
        <v>2.8</v>
      </c>
      <c r="G743" s="14" t="str">
        <f aca="false">WBS!H176</f>
        <v>P3</v>
      </c>
      <c r="H743" s="14" t="str">
        <f aca="false">WBS!G176</f>
        <v>Should</v>
      </c>
      <c r="I743" s="6" t="s">
        <v>3710</v>
      </c>
      <c r="J743" s="14"/>
      <c r="K743" s="6"/>
      <c r="L743" s="41" t="s">
        <v>2065</v>
      </c>
    </row>
    <row r="744" customFormat="false" ht="15" hidden="false" customHeight="false" outlineLevel="0" collapsed="false">
      <c r="A744" s="14" t="s">
        <v>3711</v>
      </c>
      <c r="B744" s="14" t="s">
        <v>1353</v>
      </c>
      <c r="C744" s="14" t="s">
        <v>1257</v>
      </c>
      <c r="D744" s="28" t="s">
        <v>3712</v>
      </c>
      <c r="E744" s="40" t="s">
        <v>91</v>
      </c>
      <c r="F744" s="31" t="n">
        <f aca="false">WBS!R177</f>
        <v>0.7</v>
      </c>
      <c r="G744" s="14" t="str">
        <f aca="false">WBS!H177</f>
        <v>P3</v>
      </c>
      <c r="H744" s="14" t="str">
        <f aca="false">WBS!G177</f>
        <v>Should</v>
      </c>
      <c r="I744" s="6" t="s">
        <v>1265</v>
      </c>
      <c r="J744" s="14"/>
      <c r="K744" s="6"/>
      <c r="L744" s="41" t="s">
        <v>2065</v>
      </c>
    </row>
    <row r="745" customFormat="false" ht="15" hidden="false" customHeight="false" outlineLevel="0" collapsed="false">
      <c r="A745" s="14" t="s">
        <v>3713</v>
      </c>
      <c r="B745" s="14" t="s">
        <v>1353</v>
      </c>
      <c r="C745" s="14" t="s">
        <v>1257</v>
      </c>
      <c r="D745" s="28" t="s">
        <v>3714</v>
      </c>
      <c r="E745" s="42" t="s">
        <v>2068</v>
      </c>
      <c r="F745" s="31" t="n">
        <f aca="false">WBS!P177</f>
        <v>3</v>
      </c>
      <c r="G745" s="14" t="str">
        <f aca="false">WBS!H177</f>
        <v>P3</v>
      </c>
      <c r="H745" s="14" t="str">
        <f aca="false">WBS!G177</f>
        <v>Should</v>
      </c>
      <c r="I745" s="6" t="s">
        <v>3711</v>
      </c>
      <c r="J745" s="14"/>
      <c r="K745" s="6"/>
      <c r="L745" s="41" t="s">
        <v>2065</v>
      </c>
    </row>
    <row r="746" customFormat="false" ht="15" hidden="false" customHeight="false" outlineLevel="0" collapsed="false">
      <c r="A746" s="14" t="s">
        <v>3715</v>
      </c>
      <c r="B746" s="14" t="s">
        <v>1353</v>
      </c>
      <c r="C746" s="14" t="s">
        <v>1257</v>
      </c>
      <c r="D746" s="28" t="s">
        <v>3716</v>
      </c>
      <c r="E746" s="22" t="s">
        <v>2071</v>
      </c>
      <c r="F746" s="31" t="n">
        <f aca="false">WBS!Q177</f>
        <v>3</v>
      </c>
      <c r="G746" s="14" t="str">
        <f aca="false">WBS!H177</f>
        <v>P3</v>
      </c>
      <c r="H746" s="14" t="str">
        <f aca="false">WBS!G177</f>
        <v>Should</v>
      </c>
      <c r="I746" s="6" t="s">
        <v>3711</v>
      </c>
      <c r="J746" s="14"/>
      <c r="K746" s="6"/>
      <c r="L746" s="41" t="s">
        <v>2065</v>
      </c>
    </row>
    <row r="747" customFormat="false" ht="15" hidden="false" customHeight="false" outlineLevel="0" collapsed="false">
      <c r="A747" s="14" t="s">
        <v>3717</v>
      </c>
      <c r="B747" s="14" t="s">
        <v>1353</v>
      </c>
      <c r="C747" s="14" t="s">
        <v>1257</v>
      </c>
      <c r="D747" s="28" t="s">
        <v>3718</v>
      </c>
      <c r="E747" s="43" t="s">
        <v>96</v>
      </c>
      <c r="F747" s="31" t="n">
        <f aca="false">WBS!T177</f>
        <v>2.1</v>
      </c>
      <c r="G747" s="14" t="str">
        <f aca="false">WBS!H177</f>
        <v>P3</v>
      </c>
      <c r="H747" s="14" t="str">
        <f aca="false">WBS!G177</f>
        <v>Should</v>
      </c>
      <c r="I747" s="6" t="s">
        <v>3719</v>
      </c>
      <c r="J747" s="14"/>
      <c r="K747" s="6"/>
      <c r="L747" s="41" t="s">
        <v>2065</v>
      </c>
    </row>
    <row r="748" customFormat="false" ht="15" hidden="false" customHeight="false" outlineLevel="0" collapsed="false">
      <c r="A748" s="14" t="s">
        <v>3720</v>
      </c>
      <c r="B748" s="14" t="s">
        <v>1360</v>
      </c>
      <c r="C748" s="14" t="s">
        <v>1257</v>
      </c>
      <c r="D748" s="28" t="s">
        <v>3721</v>
      </c>
      <c r="E748" s="40" t="s">
        <v>91</v>
      </c>
      <c r="F748" s="31" t="n">
        <f aca="false">WBS!R178</f>
        <v>0.7</v>
      </c>
      <c r="G748" s="14" t="str">
        <f aca="false">WBS!H178</f>
        <v>P4</v>
      </c>
      <c r="H748" s="14" t="str">
        <f aca="false">WBS!G178</f>
        <v>Nice-to-have</v>
      </c>
      <c r="I748" s="6" t="s">
        <v>1265</v>
      </c>
      <c r="J748" s="14"/>
      <c r="K748" s="6"/>
      <c r="L748" s="41" t="s">
        <v>2065</v>
      </c>
    </row>
    <row r="749" customFormat="false" ht="15" hidden="false" customHeight="false" outlineLevel="0" collapsed="false">
      <c r="A749" s="14" t="s">
        <v>3722</v>
      </c>
      <c r="B749" s="14" t="s">
        <v>1360</v>
      </c>
      <c r="C749" s="14" t="s">
        <v>1257</v>
      </c>
      <c r="D749" s="28" t="s">
        <v>3723</v>
      </c>
      <c r="E749" s="42" t="s">
        <v>2068</v>
      </c>
      <c r="F749" s="31" t="n">
        <f aca="false">WBS!P178</f>
        <v>3</v>
      </c>
      <c r="G749" s="14" t="str">
        <f aca="false">WBS!H178</f>
        <v>P4</v>
      </c>
      <c r="H749" s="14" t="str">
        <f aca="false">WBS!G178</f>
        <v>Nice-to-have</v>
      </c>
      <c r="I749" s="6" t="s">
        <v>3720</v>
      </c>
      <c r="J749" s="14"/>
      <c r="K749" s="6"/>
      <c r="L749" s="41" t="s">
        <v>2065</v>
      </c>
    </row>
    <row r="750" customFormat="false" ht="15" hidden="false" customHeight="false" outlineLevel="0" collapsed="false">
      <c r="A750" s="14" t="s">
        <v>3724</v>
      </c>
      <c r="B750" s="14" t="s">
        <v>1360</v>
      </c>
      <c r="C750" s="14" t="s">
        <v>1257</v>
      </c>
      <c r="D750" s="28" t="s">
        <v>3725</v>
      </c>
      <c r="E750" s="22" t="s">
        <v>2071</v>
      </c>
      <c r="F750" s="31" t="n">
        <f aca="false">WBS!Q178</f>
        <v>3</v>
      </c>
      <c r="G750" s="14" t="str">
        <f aca="false">WBS!H178</f>
        <v>P4</v>
      </c>
      <c r="H750" s="14" t="str">
        <f aca="false">WBS!G178</f>
        <v>Nice-to-have</v>
      </c>
      <c r="I750" s="6" t="s">
        <v>3720</v>
      </c>
      <c r="J750" s="14"/>
      <c r="K750" s="6"/>
      <c r="L750" s="41" t="s">
        <v>2065</v>
      </c>
    </row>
    <row r="751" customFormat="false" ht="15" hidden="false" customHeight="false" outlineLevel="0" collapsed="false">
      <c r="A751" s="14" t="s">
        <v>3726</v>
      </c>
      <c r="B751" s="14" t="s">
        <v>1360</v>
      </c>
      <c r="C751" s="14" t="s">
        <v>1257</v>
      </c>
      <c r="D751" s="28" t="s">
        <v>3727</v>
      </c>
      <c r="E751" s="43" t="s">
        <v>96</v>
      </c>
      <c r="F751" s="31" t="n">
        <f aca="false">WBS!T178</f>
        <v>2.1</v>
      </c>
      <c r="G751" s="14" t="str">
        <f aca="false">WBS!H178</f>
        <v>P4</v>
      </c>
      <c r="H751" s="14" t="str">
        <f aca="false">WBS!G178</f>
        <v>Nice-to-have</v>
      </c>
      <c r="I751" s="6" t="s">
        <v>3728</v>
      </c>
      <c r="J751" s="14"/>
      <c r="K751" s="6"/>
      <c r="L751" s="41" t="s">
        <v>2065</v>
      </c>
    </row>
    <row r="752" customFormat="false" ht="15" hidden="false" customHeight="false" outlineLevel="0" collapsed="false">
      <c r="A752" s="14" t="s">
        <v>3729</v>
      </c>
      <c r="B752" s="14" t="s">
        <v>1366</v>
      </c>
      <c r="C752" s="14" t="s">
        <v>1257</v>
      </c>
      <c r="D752" s="28" t="s">
        <v>3730</v>
      </c>
      <c r="E752" s="40" t="s">
        <v>91</v>
      </c>
      <c r="F752" s="31" t="n">
        <f aca="false">WBS!R179</f>
        <v>1</v>
      </c>
      <c r="G752" s="14" t="str">
        <f aca="false">WBS!H179</f>
        <v>P4</v>
      </c>
      <c r="H752" s="14" t="str">
        <f aca="false">WBS!G179</f>
        <v>Nice-to-have</v>
      </c>
      <c r="I752" s="6" t="s">
        <v>284</v>
      </c>
      <c r="J752" s="14"/>
      <c r="K752" s="6"/>
      <c r="L752" s="41" t="s">
        <v>2065</v>
      </c>
    </row>
    <row r="753" customFormat="false" ht="15" hidden="false" customHeight="false" outlineLevel="0" collapsed="false">
      <c r="A753" s="14" t="s">
        <v>3731</v>
      </c>
      <c r="B753" s="14" t="s">
        <v>1366</v>
      </c>
      <c r="C753" s="14" t="s">
        <v>1257</v>
      </c>
      <c r="D753" s="28" t="s">
        <v>3732</v>
      </c>
      <c r="E753" s="42" t="s">
        <v>2068</v>
      </c>
      <c r="F753" s="31" t="n">
        <f aca="false">WBS!P179</f>
        <v>5</v>
      </c>
      <c r="G753" s="14" t="str">
        <f aca="false">WBS!H179</f>
        <v>P4</v>
      </c>
      <c r="H753" s="14" t="str">
        <f aca="false">WBS!G179</f>
        <v>Nice-to-have</v>
      </c>
      <c r="I753" s="6" t="s">
        <v>3729</v>
      </c>
      <c r="J753" s="14"/>
      <c r="K753" s="6"/>
      <c r="L753" s="41" t="s">
        <v>2065</v>
      </c>
    </row>
    <row r="754" customFormat="false" ht="15" hidden="false" customHeight="false" outlineLevel="0" collapsed="false">
      <c r="A754" s="14" t="s">
        <v>3733</v>
      </c>
      <c r="B754" s="14" t="s">
        <v>1366</v>
      </c>
      <c r="C754" s="14" t="s">
        <v>1257</v>
      </c>
      <c r="D754" s="28" t="s">
        <v>3734</v>
      </c>
      <c r="E754" s="22" t="s">
        <v>2071</v>
      </c>
      <c r="F754" s="31" t="n">
        <f aca="false">WBS!Q179</f>
        <v>3</v>
      </c>
      <c r="G754" s="14" t="str">
        <f aca="false">WBS!H179</f>
        <v>P4</v>
      </c>
      <c r="H754" s="14" t="str">
        <f aca="false">WBS!G179</f>
        <v>Nice-to-have</v>
      </c>
      <c r="I754" s="6" t="s">
        <v>3729</v>
      </c>
      <c r="J754" s="14"/>
      <c r="K754" s="6"/>
      <c r="L754" s="41" t="s">
        <v>2065</v>
      </c>
    </row>
    <row r="755" customFormat="false" ht="15" hidden="false" customHeight="false" outlineLevel="0" collapsed="false">
      <c r="A755" s="14" t="s">
        <v>3735</v>
      </c>
      <c r="B755" s="14" t="s">
        <v>1366</v>
      </c>
      <c r="C755" s="14" t="s">
        <v>1257</v>
      </c>
      <c r="D755" s="28" t="s">
        <v>3736</v>
      </c>
      <c r="E755" s="43" t="s">
        <v>96</v>
      </c>
      <c r="F755" s="31" t="n">
        <f aca="false">WBS!T179</f>
        <v>2.8</v>
      </c>
      <c r="G755" s="14" t="str">
        <f aca="false">WBS!H179</f>
        <v>P4</v>
      </c>
      <c r="H755" s="14" t="str">
        <f aca="false">WBS!G179</f>
        <v>Nice-to-have</v>
      </c>
      <c r="I755" s="6" t="s">
        <v>3737</v>
      </c>
      <c r="J755" s="14"/>
      <c r="K755" s="6"/>
      <c r="L755" s="41" t="s">
        <v>2065</v>
      </c>
    </row>
    <row r="756" customFormat="false" ht="15" hidden="false" customHeight="false" outlineLevel="0" collapsed="false">
      <c r="A756" s="14" t="s">
        <v>3738</v>
      </c>
      <c r="B756" s="14" t="s">
        <v>1373</v>
      </c>
      <c r="C756" s="14" t="s">
        <v>1374</v>
      </c>
      <c r="D756" s="28" t="s">
        <v>3739</v>
      </c>
      <c r="E756" s="40" t="s">
        <v>91</v>
      </c>
      <c r="F756" s="31" t="n">
        <f aca="false">WBS!R180</f>
        <v>0.7</v>
      </c>
      <c r="G756" s="14" t="str">
        <f aca="false">WBS!H180</f>
        <v>P1</v>
      </c>
      <c r="H756" s="14" t="str">
        <f aca="false">WBS!G180</f>
        <v>Must</v>
      </c>
      <c r="I756" s="6" t="s">
        <v>435</v>
      </c>
      <c r="J756" s="14"/>
      <c r="K756" s="6"/>
      <c r="L756" s="41" t="s">
        <v>2065</v>
      </c>
    </row>
    <row r="757" customFormat="false" ht="15" hidden="false" customHeight="false" outlineLevel="0" collapsed="false">
      <c r="A757" s="14" t="s">
        <v>3740</v>
      </c>
      <c r="B757" s="14" t="s">
        <v>1373</v>
      </c>
      <c r="C757" s="14" t="s">
        <v>1374</v>
      </c>
      <c r="D757" s="28" t="s">
        <v>3741</v>
      </c>
      <c r="E757" s="42" t="s">
        <v>2068</v>
      </c>
      <c r="F757" s="31" t="n">
        <f aca="false">WBS!P180</f>
        <v>3</v>
      </c>
      <c r="G757" s="14" t="str">
        <f aca="false">WBS!H180</f>
        <v>P1</v>
      </c>
      <c r="H757" s="14" t="str">
        <f aca="false">WBS!G180</f>
        <v>Must</v>
      </c>
      <c r="I757" s="6" t="s">
        <v>3738</v>
      </c>
      <c r="J757" s="14"/>
      <c r="K757" s="6"/>
      <c r="L757" s="41" t="s">
        <v>2065</v>
      </c>
    </row>
    <row r="758" customFormat="false" ht="15" hidden="false" customHeight="false" outlineLevel="0" collapsed="false">
      <c r="A758" s="14" t="s">
        <v>3742</v>
      </c>
      <c r="B758" s="14" t="s">
        <v>1373</v>
      </c>
      <c r="C758" s="14" t="s">
        <v>1374</v>
      </c>
      <c r="D758" s="28" t="s">
        <v>3743</v>
      </c>
      <c r="E758" s="22" t="s">
        <v>2071</v>
      </c>
      <c r="F758" s="31" t="n">
        <f aca="false">WBS!Q180</f>
        <v>3</v>
      </c>
      <c r="G758" s="14" t="str">
        <f aca="false">WBS!H180</f>
        <v>P1</v>
      </c>
      <c r="H758" s="14" t="str">
        <f aca="false">WBS!G180</f>
        <v>Must</v>
      </c>
      <c r="I758" s="6" t="s">
        <v>3738</v>
      </c>
      <c r="J758" s="14"/>
      <c r="K758" s="6"/>
      <c r="L758" s="41" t="s">
        <v>2065</v>
      </c>
    </row>
    <row r="759" customFormat="false" ht="15" hidden="false" customHeight="false" outlineLevel="0" collapsed="false">
      <c r="A759" s="14" t="s">
        <v>3744</v>
      </c>
      <c r="B759" s="14" t="s">
        <v>1373</v>
      </c>
      <c r="C759" s="14" t="s">
        <v>1374</v>
      </c>
      <c r="D759" s="28" t="s">
        <v>3745</v>
      </c>
      <c r="E759" s="43" t="s">
        <v>96</v>
      </c>
      <c r="F759" s="31" t="n">
        <f aca="false">WBS!T180</f>
        <v>2.1</v>
      </c>
      <c r="G759" s="14" t="str">
        <f aca="false">WBS!H180</f>
        <v>P1</v>
      </c>
      <c r="H759" s="14" t="str">
        <f aca="false">WBS!G180</f>
        <v>Must</v>
      </c>
      <c r="I759" s="6" t="s">
        <v>3746</v>
      </c>
      <c r="J759" s="14"/>
      <c r="K759" s="6"/>
      <c r="L759" s="41" t="s">
        <v>2065</v>
      </c>
    </row>
    <row r="760" customFormat="false" ht="15" hidden="false" customHeight="false" outlineLevel="0" collapsed="false">
      <c r="A760" s="14" t="s">
        <v>3747</v>
      </c>
      <c r="B760" s="14" t="s">
        <v>1382</v>
      </c>
      <c r="C760" s="14" t="s">
        <v>1374</v>
      </c>
      <c r="D760" s="28" t="s">
        <v>3748</v>
      </c>
      <c r="E760" s="40" t="s">
        <v>91</v>
      </c>
      <c r="F760" s="31" t="n">
        <f aca="false">WBS!R181</f>
        <v>1.2</v>
      </c>
      <c r="G760" s="14" t="str">
        <f aca="false">WBS!H181</f>
        <v>P1</v>
      </c>
      <c r="H760" s="14" t="str">
        <f aca="false">WBS!G181</f>
        <v>Should</v>
      </c>
      <c r="I760" s="6" t="s">
        <v>256</v>
      </c>
      <c r="J760" s="14"/>
      <c r="K760" s="6"/>
      <c r="L760" s="41" t="s">
        <v>2065</v>
      </c>
    </row>
    <row r="761" customFormat="false" ht="15" hidden="false" customHeight="false" outlineLevel="0" collapsed="false">
      <c r="A761" s="14" t="s">
        <v>3749</v>
      </c>
      <c r="B761" s="14" t="s">
        <v>1382</v>
      </c>
      <c r="C761" s="14" t="s">
        <v>1374</v>
      </c>
      <c r="D761" s="28" t="s">
        <v>3750</v>
      </c>
      <c r="E761" s="37" t="s">
        <v>128</v>
      </c>
      <c r="F761" s="31" t="n">
        <f aca="false">WBS!S181</f>
        <v>2</v>
      </c>
      <c r="G761" s="14" t="str">
        <f aca="false">WBS!H181</f>
        <v>P1</v>
      </c>
      <c r="H761" s="14" t="str">
        <f aca="false">WBS!G181</f>
        <v>Should</v>
      </c>
      <c r="I761" s="6" t="s">
        <v>3747</v>
      </c>
      <c r="J761" s="14"/>
      <c r="K761" s="6"/>
      <c r="L761" s="41" t="s">
        <v>2065</v>
      </c>
    </row>
    <row r="762" customFormat="false" ht="15" hidden="false" customHeight="false" outlineLevel="0" collapsed="false">
      <c r="A762" s="14" t="s">
        <v>3751</v>
      </c>
      <c r="B762" s="14" t="s">
        <v>1382</v>
      </c>
      <c r="C762" s="14" t="s">
        <v>1374</v>
      </c>
      <c r="D762" s="28" t="s">
        <v>3752</v>
      </c>
      <c r="E762" s="42" t="s">
        <v>2068</v>
      </c>
      <c r="F762" s="31" t="n">
        <f aca="false">WBS!P181</f>
        <v>5</v>
      </c>
      <c r="G762" s="14" t="str">
        <f aca="false">WBS!H181</f>
        <v>P1</v>
      </c>
      <c r="H762" s="14" t="str">
        <f aca="false">WBS!G181</f>
        <v>Should</v>
      </c>
      <c r="I762" s="6" t="s">
        <v>3747</v>
      </c>
      <c r="J762" s="14"/>
      <c r="K762" s="6"/>
      <c r="L762" s="41" t="s">
        <v>2065</v>
      </c>
    </row>
    <row r="763" customFormat="false" ht="15" hidden="false" customHeight="false" outlineLevel="0" collapsed="false">
      <c r="A763" s="14" t="s">
        <v>3753</v>
      </c>
      <c r="B763" s="14" t="s">
        <v>1382</v>
      </c>
      <c r="C763" s="14" t="s">
        <v>1374</v>
      </c>
      <c r="D763" s="28" t="s">
        <v>3754</v>
      </c>
      <c r="E763" s="22" t="s">
        <v>2071</v>
      </c>
      <c r="F763" s="31" t="n">
        <f aca="false">WBS!Q181</f>
        <v>5</v>
      </c>
      <c r="G763" s="14" t="str">
        <f aca="false">WBS!H181</f>
        <v>P1</v>
      </c>
      <c r="H763" s="14" t="str">
        <f aca="false">WBS!G181</f>
        <v>Should</v>
      </c>
      <c r="I763" s="6" t="s">
        <v>3749</v>
      </c>
      <c r="J763" s="14"/>
      <c r="K763" s="6"/>
      <c r="L763" s="41" t="s">
        <v>2065</v>
      </c>
    </row>
    <row r="764" customFormat="false" ht="15" hidden="false" customHeight="false" outlineLevel="0" collapsed="false">
      <c r="A764" s="14" t="s">
        <v>3755</v>
      </c>
      <c r="B764" s="14" t="s">
        <v>1382</v>
      </c>
      <c r="C764" s="14" t="s">
        <v>1374</v>
      </c>
      <c r="D764" s="28" t="s">
        <v>3756</v>
      </c>
      <c r="E764" s="43" t="s">
        <v>96</v>
      </c>
      <c r="F764" s="31" t="n">
        <f aca="false">WBS!T181</f>
        <v>3.5</v>
      </c>
      <c r="G764" s="14" t="str">
        <f aca="false">WBS!H181</f>
        <v>P1</v>
      </c>
      <c r="H764" s="14" t="str">
        <f aca="false">WBS!G181</f>
        <v>Should</v>
      </c>
      <c r="I764" s="6" t="s">
        <v>3757</v>
      </c>
      <c r="J764" s="14"/>
      <c r="K764" s="6"/>
      <c r="L764" s="41" t="s">
        <v>2065</v>
      </c>
    </row>
    <row r="765" customFormat="false" ht="15" hidden="false" customHeight="false" outlineLevel="0" collapsed="false">
      <c r="A765" s="14" t="s">
        <v>3758</v>
      </c>
      <c r="B765" s="14" t="s">
        <v>1390</v>
      </c>
      <c r="C765" s="14" t="s">
        <v>1374</v>
      </c>
      <c r="D765" s="28" t="s">
        <v>3759</v>
      </c>
      <c r="E765" s="40" t="s">
        <v>91</v>
      </c>
      <c r="F765" s="31" t="n">
        <f aca="false">WBS!R182</f>
        <v>1.2</v>
      </c>
      <c r="G765" s="14" t="str">
        <f aca="false">WBS!H182</f>
        <v>P1</v>
      </c>
      <c r="H765" s="14" t="str">
        <f aca="false">WBS!G182</f>
        <v>Must</v>
      </c>
      <c r="I765" s="6" t="s">
        <v>721</v>
      </c>
      <c r="J765" s="14"/>
      <c r="K765" s="6"/>
      <c r="L765" s="41" t="s">
        <v>2065</v>
      </c>
    </row>
    <row r="766" customFormat="false" ht="15" hidden="false" customHeight="false" outlineLevel="0" collapsed="false">
      <c r="A766" s="14" t="s">
        <v>3760</v>
      </c>
      <c r="B766" s="14" t="s">
        <v>1390</v>
      </c>
      <c r="C766" s="14" t="s">
        <v>1374</v>
      </c>
      <c r="D766" s="28" t="s">
        <v>3761</v>
      </c>
      <c r="E766" s="37" t="s">
        <v>128</v>
      </c>
      <c r="F766" s="31" t="n">
        <f aca="false">WBS!S182</f>
        <v>2</v>
      </c>
      <c r="G766" s="14" t="str">
        <f aca="false">WBS!H182</f>
        <v>P1</v>
      </c>
      <c r="H766" s="14" t="str">
        <f aca="false">WBS!G182</f>
        <v>Must</v>
      </c>
      <c r="I766" s="6" t="s">
        <v>3758</v>
      </c>
      <c r="J766" s="14"/>
      <c r="K766" s="6"/>
      <c r="L766" s="41" t="s">
        <v>2065</v>
      </c>
    </row>
    <row r="767" customFormat="false" ht="22.35" hidden="false" customHeight="false" outlineLevel="0" collapsed="false">
      <c r="A767" s="14" t="s">
        <v>3762</v>
      </c>
      <c r="B767" s="14" t="s">
        <v>1390</v>
      </c>
      <c r="C767" s="14" t="s">
        <v>1374</v>
      </c>
      <c r="D767" s="28" t="s">
        <v>3763</v>
      </c>
      <c r="E767" s="42" t="s">
        <v>2068</v>
      </c>
      <c r="F767" s="31" t="n">
        <f aca="false">WBS!P182</f>
        <v>5</v>
      </c>
      <c r="G767" s="14" t="str">
        <f aca="false">WBS!H182</f>
        <v>P1</v>
      </c>
      <c r="H767" s="14" t="str">
        <f aca="false">WBS!G182</f>
        <v>Must</v>
      </c>
      <c r="I767" s="6" t="s">
        <v>3758</v>
      </c>
      <c r="J767" s="14"/>
      <c r="K767" s="6"/>
      <c r="L767" s="41" t="s">
        <v>2065</v>
      </c>
    </row>
    <row r="768" customFormat="false" ht="15" hidden="false" customHeight="false" outlineLevel="0" collapsed="false">
      <c r="A768" s="14" t="s">
        <v>3764</v>
      </c>
      <c r="B768" s="14" t="s">
        <v>1390</v>
      </c>
      <c r="C768" s="14" t="s">
        <v>1374</v>
      </c>
      <c r="D768" s="28" t="s">
        <v>3765</v>
      </c>
      <c r="E768" s="22" t="s">
        <v>2071</v>
      </c>
      <c r="F768" s="31" t="n">
        <f aca="false">WBS!Q182</f>
        <v>5</v>
      </c>
      <c r="G768" s="14" t="str">
        <f aca="false">WBS!H182</f>
        <v>P1</v>
      </c>
      <c r="H768" s="14" t="str">
        <f aca="false">WBS!G182</f>
        <v>Must</v>
      </c>
      <c r="I768" s="6" t="s">
        <v>3760</v>
      </c>
      <c r="J768" s="14"/>
      <c r="K768" s="6"/>
      <c r="L768" s="41" t="s">
        <v>2065</v>
      </c>
    </row>
    <row r="769" customFormat="false" ht="15" hidden="false" customHeight="false" outlineLevel="0" collapsed="false">
      <c r="A769" s="14" t="s">
        <v>3766</v>
      </c>
      <c r="B769" s="14" t="s">
        <v>1390</v>
      </c>
      <c r="C769" s="14" t="s">
        <v>1374</v>
      </c>
      <c r="D769" s="28" t="s">
        <v>3767</v>
      </c>
      <c r="E769" s="43" t="s">
        <v>96</v>
      </c>
      <c r="F769" s="31" t="n">
        <f aca="false">WBS!T182</f>
        <v>3.5</v>
      </c>
      <c r="G769" s="14" t="str">
        <f aca="false">WBS!H182</f>
        <v>P1</v>
      </c>
      <c r="H769" s="14" t="str">
        <f aca="false">WBS!G182</f>
        <v>Must</v>
      </c>
      <c r="I769" s="6" t="s">
        <v>3768</v>
      </c>
      <c r="J769" s="14"/>
      <c r="K769" s="6"/>
      <c r="L769" s="41" t="s">
        <v>2065</v>
      </c>
    </row>
    <row r="770" customFormat="false" ht="15" hidden="false" customHeight="false" outlineLevel="0" collapsed="false">
      <c r="A770" s="14" t="s">
        <v>3769</v>
      </c>
      <c r="B770" s="14" t="s">
        <v>870</v>
      </c>
      <c r="C770" s="14" t="s">
        <v>1374</v>
      </c>
      <c r="D770" s="28" t="s">
        <v>3770</v>
      </c>
      <c r="E770" s="40" t="s">
        <v>91</v>
      </c>
      <c r="F770" s="31" t="n">
        <f aca="false">WBS!R183</f>
        <v>1</v>
      </c>
      <c r="G770" s="14" t="str">
        <f aca="false">WBS!H183</f>
        <v>P1</v>
      </c>
      <c r="H770" s="14" t="str">
        <f aca="false">WBS!G183</f>
        <v>Must</v>
      </c>
      <c r="I770" s="6" t="s">
        <v>178</v>
      </c>
      <c r="J770" s="14"/>
      <c r="K770" s="6"/>
      <c r="L770" s="41" t="s">
        <v>2065</v>
      </c>
    </row>
    <row r="771" customFormat="false" ht="15" hidden="false" customHeight="false" outlineLevel="0" collapsed="false">
      <c r="A771" s="14" t="s">
        <v>3771</v>
      </c>
      <c r="B771" s="14" t="s">
        <v>870</v>
      </c>
      <c r="C771" s="14" t="s">
        <v>1374</v>
      </c>
      <c r="D771" s="28" t="s">
        <v>3772</v>
      </c>
      <c r="E771" s="42" t="s">
        <v>2068</v>
      </c>
      <c r="F771" s="31" t="n">
        <f aca="false">WBS!P183</f>
        <v>5</v>
      </c>
      <c r="G771" s="14" t="str">
        <f aca="false">WBS!H183</f>
        <v>P1</v>
      </c>
      <c r="H771" s="14" t="str">
        <f aca="false">WBS!G183</f>
        <v>Must</v>
      </c>
      <c r="I771" s="6" t="s">
        <v>3769</v>
      </c>
      <c r="J771" s="14"/>
      <c r="K771" s="6"/>
      <c r="L771" s="41" t="s">
        <v>2065</v>
      </c>
    </row>
    <row r="772" customFormat="false" ht="15" hidden="false" customHeight="false" outlineLevel="0" collapsed="false">
      <c r="A772" s="14" t="s">
        <v>3773</v>
      </c>
      <c r="B772" s="14" t="s">
        <v>870</v>
      </c>
      <c r="C772" s="14" t="s">
        <v>1374</v>
      </c>
      <c r="D772" s="28" t="s">
        <v>3774</v>
      </c>
      <c r="E772" s="22" t="s">
        <v>2071</v>
      </c>
      <c r="F772" s="31" t="n">
        <f aca="false">WBS!Q183</f>
        <v>3</v>
      </c>
      <c r="G772" s="14" t="str">
        <f aca="false">WBS!H183</f>
        <v>P1</v>
      </c>
      <c r="H772" s="14" t="str">
        <f aca="false">WBS!G183</f>
        <v>Must</v>
      </c>
      <c r="I772" s="6" t="s">
        <v>3769</v>
      </c>
      <c r="J772" s="14"/>
      <c r="K772" s="6"/>
      <c r="L772" s="41" t="s">
        <v>2065</v>
      </c>
    </row>
    <row r="773" customFormat="false" ht="15" hidden="false" customHeight="false" outlineLevel="0" collapsed="false">
      <c r="A773" s="14" t="s">
        <v>3775</v>
      </c>
      <c r="B773" s="14" t="s">
        <v>870</v>
      </c>
      <c r="C773" s="14" t="s">
        <v>1374</v>
      </c>
      <c r="D773" s="28" t="s">
        <v>3776</v>
      </c>
      <c r="E773" s="43" t="s">
        <v>96</v>
      </c>
      <c r="F773" s="31" t="n">
        <f aca="false">WBS!T183</f>
        <v>2.8</v>
      </c>
      <c r="G773" s="14" t="str">
        <f aca="false">WBS!H183</f>
        <v>P1</v>
      </c>
      <c r="H773" s="14" t="str">
        <f aca="false">WBS!G183</f>
        <v>Must</v>
      </c>
      <c r="I773" s="6" t="s">
        <v>3777</v>
      </c>
      <c r="J773" s="14"/>
      <c r="K773" s="6"/>
      <c r="L773" s="41" t="s">
        <v>2065</v>
      </c>
    </row>
    <row r="774" customFormat="false" ht="15" hidden="false" customHeight="false" outlineLevel="0" collapsed="false">
      <c r="A774" s="14" t="s">
        <v>3778</v>
      </c>
      <c r="B774" s="14" t="s">
        <v>1404</v>
      </c>
      <c r="C774" s="14" t="s">
        <v>1374</v>
      </c>
      <c r="D774" s="28" t="s">
        <v>3779</v>
      </c>
      <c r="E774" s="40" t="s">
        <v>91</v>
      </c>
      <c r="F774" s="31" t="n">
        <f aca="false">WBS!R184</f>
        <v>0.7</v>
      </c>
      <c r="G774" s="14" t="str">
        <f aca="false">WBS!H184</f>
        <v>P3</v>
      </c>
      <c r="H774" s="14" t="str">
        <f aca="false">WBS!G184</f>
        <v>Should</v>
      </c>
      <c r="I774" s="6" t="s">
        <v>178</v>
      </c>
      <c r="J774" s="14"/>
      <c r="K774" s="6"/>
      <c r="L774" s="41" t="s">
        <v>2065</v>
      </c>
    </row>
    <row r="775" customFormat="false" ht="15" hidden="false" customHeight="false" outlineLevel="0" collapsed="false">
      <c r="A775" s="14" t="s">
        <v>3780</v>
      </c>
      <c r="B775" s="14" t="s">
        <v>1404</v>
      </c>
      <c r="C775" s="14" t="s">
        <v>1374</v>
      </c>
      <c r="D775" s="28" t="s">
        <v>3781</v>
      </c>
      <c r="E775" s="42" t="s">
        <v>2068</v>
      </c>
      <c r="F775" s="31" t="n">
        <f aca="false">WBS!P184</f>
        <v>3</v>
      </c>
      <c r="G775" s="14" t="str">
        <f aca="false">WBS!H184</f>
        <v>P3</v>
      </c>
      <c r="H775" s="14" t="str">
        <f aca="false">WBS!G184</f>
        <v>Should</v>
      </c>
      <c r="I775" s="6" t="s">
        <v>3778</v>
      </c>
      <c r="J775" s="14"/>
      <c r="K775" s="6"/>
      <c r="L775" s="41" t="s">
        <v>2065</v>
      </c>
    </row>
    <row r="776" customFormat="false" ht="15" hidden="false" customHeight="false" outlineLevel="0" collapsed="false">
      <c r="A776" s="14" t="s">
        <v>3782</v>
      </c>
      <c r="B776" s="14" t="s">
        <v>1404</v>
      </c>
      <c r="C776" s="14" t="s">
        <v>1374</v>
      </c>
      <c r="D776" s="28" t="s">
        <v>3783</v>
      </c>
      <c r="E776" s="22" t="s">
        <v>2071</v>
      </c>
      <c r="F776" s="31" t="n">
        <f aca="false">WBS!Q184</f>
        <v>3</v>
      </c>
      <c r="G776" s="14" t="str">
        <f aca="false">WBS!H184</f>
        <v>P3</v>
      </c>
      <c r="H776" s="14" t="str">
        <f aca="false">WBS!G184</f>
        <v>Should</v>
      </c>
      <c r="I776" s="6" t="s">
        <v>3778</v>
      </c>
      <c r="J776" s="14"/>
      <c r="K776" s="6"/>
      <c r="L776" s="41" t="s">
        <v>2065</v>
      </c>
    </row>
    <row r="777" customFormat="false" ht="15" hidden="false" customHeight="false" outlineLevel="0" collapsed="false">
      <c r="A777" s="14" t="s">
        <v>3784</v>
      </c>
      <c r="B777" s="14" t="s">
        <v>1404</v>
      </c>
      <c r="C777" s="14" t="s">
        <v>1374</v>
      </c>
      <c r="D777" s="28" t="s">
        <v>3785</v>
      </c>
      <c r="E777" s="43" t="s">
        <v>96</v>
      </c>
      <c r="F777" s="31" t="n">
        <f aca="false">WBS!T184</f>
        <v>2.1</v>
      </c>
      <c r="G777" s="14" t="str">
        <f aca="false">WBS!H184</f>
        <v>P3</v>
      </c>
      <c r="H777" s="14" t="str">
        <f aca="false">WBS!G184</f>
        <v>Should</v>
      </c>
      <c r="I777" s="6" t="s">
        <v>3786</v>
      </c>
      <c r="J777" s="14"/>
      <c r="K777" s="6"/>
      <c r="L777" s="41" t="s">
        <v>2065</v>
      </c>
    </row>
    <row r="778" customFormat="false" ht="15" hidden="false" customHeight="false" outlineLevel="0" collapsed="false">
      <c r="A778" s="14" t="s">
        <v>3787</v>
      </c>
      <c r="B778" s="14" t="s">
        <v>1411</v>
      </c>
      <c r="C778" s="14" t="s">
        <v>1374</v>
      </c>
      <c r="D778" s="28" t="s">
        <v>3788</v>
      </c>
      <c r="E778" s="40" t="s">
        <v>91</v>
      </c>
      <c r="F778" s="31" t="n">
        <f aca="false">WBS!R185</f>
        <v>1.2</v>
      </c>
      <c r="G778" s="14" t="str">
        <f aca="false">WBS!H185</f>
        <v>P3</v>
      </c>
      <c r="H778" s="14" t="str">
        <f aca="false">WBS!G185</f>
        <v>Should</v>
      </c>
      <c r="I778" s="6" t="s">
        <v>170</v>
      </c>
      <c r="J778" s="14"/>
      <c r="K778" s="6"/>
      <c r="L778" s="41" t="s">
        <v>2065</v>
      </c>
    </row>
    <row r="779" customFormat="false" ht="15" hidden="false" customHeight="false" outlineLevel="0" collapsed="false">
      <c r="A779" s="14" t="s">
        <v>3789</v>
      </c>
      <c r="B779" s="14" t="s">
        <v>1411</v>
      </c>
      <c r="C779" s="14" t="s">
        <v>1374</v>
      </c>
      <c r="D779" s="28" t="s">
        <v>3790</v>
      </c>
      <c r="E779" s="37" t="s">
        <v>128</v>
      </c>
      <c r="F779" s="31" t="n">
        <f aca="false">WBS!S185</f>
        <v>2</v>
      </c>
      <c r="G779" s="14" t="str">
        <f aca="false">WBS!H185</f>
        <v>P3</v>
      </c>
      <c r="H779" s="14" t="str">
        <f aca="false">WBS!G185</f>
        <v>Should</v>
      </c>
      <c r="I779" s="6" t="s">
        <v>3787</v>
      </c>
      <c r="J779" s="14"/>
      <c r="K779" s="6"/>
      <c r="L779" s="41" t="s">
        <v>2065</v>
      </c>
    </row>
    <row r="780" customFormat="false" ht="15" hidden="false" customHeight="false" outlineLevel="0" collapsed="false">
      <c r="A780" s="14" t="s">
        <v>3791</v>
      </c>
      <c r="B780" s="14" t="s">
        <v>1411</v>
      </c>
      <c r="C780" s="14" t="s">
        <v>1374</v>
      </c>
      <c r="D780" s="28" t="s">
        <v>3792</v>
      </c>
      <c r="E780" s="42" t="s">
        <v>2068</v>
      </c>
      <c r="F780" s="31" t="n">
        <f aca="false">WBS!P185</f>
        <v>5</v>
      </c>
      <c r="G780" s="14" t="str">
        <f aca="false">WBS!H185</f>
        <v>P3</v>
      </c>
      <c r="H780" s="14" t="str">
        <f aca="false">WBS!G185</f>
        <v>Should</v>
      </c>
      <c r="I780" s="6" t="s">
        <v>3787</v>
      </c>
      <c r="J780" s="14"/>
      <c r="K780" s="6"/>
      <c r="L780" s="41" t="s">
        <v>2065</v>
      </c>
    </row>
    <row r="781" customFormat="false" ht="15" hidden="false" customHeight="false" outlineLevel="0" collapsed="false">
      <c r="A781" s="14" t="s">
        <v>3793</v>
      </c>
      <c r="B781" s="14" t="s">
        <v>1411</v>
      </c>
      <c r="C781" s="14" t="s">
        <v>1374</v>
      </c>
      <c r="D781" s="28" t="s">
        <v>3794</v>
      </c>
      <c r="E781" s="22" t="s">
        <v>2071</v>
      </c>
      <c r="F781" s="31" t="n">
        <f aca="false">WBS!Q185</f>
        <v>5</v>
      </c>
      <c r="G781" s="14" t="str">
        <f aca="false">WBS!H185</f>
        <v>P3</v>
      </c>
      <c r="H781" s="14" t="str">
        <f aca="false">WBS!G185</f>
        <v>Should</v>
      </c>
      <c r="I781" s="6" t="s">
        <v>3789</v>
      </c>
      <c r="J781" s="14"/>
      <c r="K781" s="6"/>
      <c r="L781" s="41" t="s">
        <v>2065</v>
      </c>
    </row>
    <row r="782" customFormat="false" ht="15" hidden="false" customHeight="false" outlineLevel="0" collapsed="false">
      <c r="A782" s="14" t="s">
        <v>3795</v>
      </c>
      <c r="B782" s="14" t="s">
        <v>1411</v>
      </c>
      <c r="C782" s="14" t="s">
        <v>1374</v>
      </c>
      <c r="D782" s="28" t="s">
        <v>3796</v>
      </c>
      <c r="E782" s="43" t="s">
        <v>96</v>
      </c>
      <c r="F782" s="31" t="n">
        <f aca="false">WBS!T185</f>
        <v>3.5</v>
      </c>
      <c r="G782" s="14" t="str">
        <f aca="false">WBS!H185</f>
        <v>P3</v>
      </c>
      <c r="H782" s="14" t="str">
        <f aca="false">WBS!G185</f>
        <v>Should</v>
      </c>
      <c r="I782" s="6" t="s">
        <v>3797</v>
      </c>
      <c r="J782" s="14"/>
      <c r="K782" s="6"/>
      <c r="L782" s="41" t="s">
        <v>2065</v>
      </c>
    </row>
    <row r="783" customFormat="false" ht="15" hidden="false" customHeight="false" outlineLevel="0" collapsed="false">
      <c r="A783" s="14" t="s">
        <v>3798</v>
      </c>
      <c r="B783" s="14" t="s">
        <v>1418</v>
      </c>
      <c r="C783" s="14" t="s">
        <v>1374</v>
      </c>
      <c r="D783" s="28" t="s">
        <v>3799</v>
      </c>
      <c r="E783" s="40" t="s">
        <v>91</v>
      </c>
      <c r="F783" s="31" t="n">
        <f aca="false">WBS!R186</f>
        <v>0.7</v>
      </c>
      <c r="G783" s="14" t="str">
        <f aca="false">WBS!H186</f>
        <v>P3</v>
      </c>
      <c r="H783" s="14" t="str">
        <f aca="false">WBS!G186</f>
        <v>Should</v>
      </c>
      <c r="I783" s="6" t="s">
        <v>170</v>
      </c>
      <c r="J783" s="14"/>
      <c r="K783" s="6"/>
      <c r="L783" s="41" t="s">
        <v>2065</v>
      </c>
    </row>
    <row r="784" customFormat="false" ht="15" hidden="false" customHeight="false" outlineLevel="0" collapsed="false">
      <c r="A784" s="14" t="s">
        <v>3800</v>
      </c>
      <c r="B784" s="14" t="s">
        <v>1418</v>
      </c>
      <c r="C784" s="14" t="s">
        <v>1374</v>
      </c>
      <c r="D784" s="28" t="s">
        <v>3801</v>
      </c>
      <c r="E784" s="42" t="s">
        <v>2068</v>
      </c>
      <c r="F784" s="31" t="n">
        <f aca="false">WBS!P186</f>
        <v>3</v>
      </c>
      <c r="G784" s="14" t="str">
        <f aca="false">WBS!H186</f>
        <v>P3</v>
      </c>
      <c r="H784" s="14" t="str">
        <f aca="false">WBS!G186</f>
        <v>Should</v>
      </c>
      <c r="I784" s="6" t="s">
        <v>3798</v>
      </c>
      <c r="J784" s="14"/>
      <c r="K784" s="6"/>
      <c r="L784" s="41" t="s">
        <v>2065</v>
      </c>
    </row>
    <row r="785" customFormat="false" ht="15" hidden="false" customHeight="false" outlineLevel="0" collapsed="false">
      <c r="A785" s="14" t="s">
        <v>3802</v>
      </c>
      <c r="B785" s="14" t="s">
        <v>1418</v>
      </c>
      <c r="C785" s="14" t="s">
        <v>1374</v>
      </c>
      <c r="D785" s="28" t="s">
        <v>3803</v>
      </c>
      <c r="E785" s="22" t="s">
        <v>2071</v>
      </c>
      <c r="F785" s="31" t="n">
        <f aca="false">WBS!Q186</f>
        <v>3</v>
      </c>
      <c r="G785" s="14" t="str">
        <f aca="false">WBS!H186</f>
        <v>P3</v>
      </c>
      <c r="H785" s="14" t="str">
        <f aca="false">WBS!G186</f>
        <v>Should</v>
      </c>
      <c r="I785" s="6" t="s">
        <v>3798</v>
      </c>
      <c r="J785" s="14"/>
      <c r="K785" s="6"/>
      <c r="L785" s="41" t="s">
        <v>2065</v>
      </c>
    </row>
    <row r="786" customFormat="false" ht="15" hidden="false" customHeight="false" outlineLevel="0" collapsed="false">
      <c r="A786" s="14" t="s">
        <v>3804</v>
      </c>
      <c r="B786" s="14" t="s">
        <v>1418</v>
      </c>
      <c r="C786" s="14" t="s">
        <v>1374</v>
      </c>
      <c r="D786" s="28" t="s">
        <v>3805</v>
      </c>
      <c r="E786" s="43" t="s">
        <v>96</v>
      </c>
      <c r="F786" s="31" t="n">
        <f aca="false">WBS!T186</f>
        <v>2.1</v>
      </c>
      <c r="G786" s="14" t="str">
        <f aca="false">WBS!H186</f>
        <v>P3</v>
      </c>
      <c r="H786" s="14" t="str">
        <f aca="false">WBS!G186</f>
        <v>Should</v>
      </c>
      <c r="I786" s="6" t="s">
        <v>3806</v>
      </c>
      <c r="J786" s="14"/>
      <c r="K786" s="6"/>
      <c r="L786" s="41" t="s">
        <v>2065</v>
      </c>
    </row>
    <row r="787" customFormat="false" ht="15" hidden="false" customHeight="false" outlineLevel="0" collapsed="false">
      <c r="A787" s="14" t="s">
        <v>3807</v>
      </c>
      <c r="B787" s="14" t="s">
        <v>1425</v>
      </c>
      <c r="C787" s="14" t="s">
        <v>1374</v>
      </c>
      <c r="D787" s="28" t="s">
        <v>3808</v>
      </c>
      <c r="E787" s="40" t="s">
        <v>91</v>
      </c>
      <c r="F787" s="31" t="n">
        <f aca="false">WBS!R187</f>
        <v>1</v>
      </c>
      <c r="G787" s="14" t="str">
        <f aca="false">WBS!H187</f>
        <v>P3</v>
      </c>
      <c r="H787" s="14" t="str">
        <f aca="false">WBS!G187</f>
        <v>Should</v>
      </c>
      <c r="I787" s="6" t="s">
        <v>170</v>
      </c>
      <c r="J787" s="14"/>
      <c r="K787" s="6"/>
      <c r="L787" s="41" t="s">
        <v>2065</v>
      </c>
    </row>
    <row r="788" customFormat="false" ht="15" hidden="false" customHeight="false" outlineLevel="0" collapsed="false">
      <c r="A788" s="14" t="s">
        <v>3809</v>
      </c>
      <c r="B788" s="14" t="s">
        <v>1425</v>
      </c>
      <c r="C788" s="14" t="s">
        <v>1374</v>
      </c>
      <c r="D788" s="28" t="s">
        <v>3810</v>
      </c>
      <c r="E788" s="42" t="s">
        <v>2068</v>
      </c>
      <c r="F788" s="31" t="n">
        <f aca="false">WBS!P187</f>
        <v>3</v>
      </c>
      <c r="G788" s="14" t="str">
        <f aca="false">WBS!H187</f>
        <v>P3</v>
      </c>
      <c r="H788" s="14" t="str">
        <f aca="false">WBS!G187</f>
        <v>Should</v>
      </c>
      <c r="I788" s="6" t="s">
        <v>3807</v>
      </c>
      <c r="J788" s="14"/>
      <c r="K788" s="6"/>
      <c r="L788" s="41" t="s">
        <v>2065</v>
      </c>
    </row>
    <row r="789" customFormat="false" ht="15" hidden="false" customHeight="false" outlineLevel="0" collapsed="false">
      <c r="A789" s="14" t="s">
        <v>3811</v>
      </c>
      <c r="B789" s="14" t="s">
        <v>1425</v>
      </c>
      <c r="C789" s="14" t="s">
        <v>1374</v>
      </c>
      <c r="D789" s="28" t="s">
        <v>3812</v>
      </c>
      <c r="E789" s="22" t="s">
        <v>2071</v>
      </c>
      <c r="F789" s="31" t="n">
        <f aca="false">WBS!Q187</f>
        <v>5</v>
      </c>
      <c r="G789" s="14" t="str">
        <f aca="false">WBS!H187</f>
        <v>P3</v>
      </c>
      <c r="H789" s="14" t="str">
        <f aca="false">WBS!G187</f>
        <v>Should</v>
      </c>
      <c r="I789" s="6" t="s">
        <v>3807</v>
      </c>
      <c r="J789" s="14"/>
      <c r="K789" s="6"/>
      <c r="L789" s="41" t="s">
        <v>2065</v>
      </c>
    </row>
    <row r="790" customFormat="false" ht="15" hidden="false" customHeight="false" outlineLevel="0" collapsed="false">
      <c r="A790" s="14" t="s">
        <v>3813</v>
      </c>
      <c r="B790" s="14" t="s">
        <v>1425</v>
      </c>
      <c r="C790" s="14" t="s">
        <v>1374</v>
      </c>
      <c r="D790" s="28" t="s">
        <v>3814</v>
      </c>
      <c r="E790" s="43" t="s">
        <v>96</v>
      </c>
      <c r="F790" s="31" t="n">
        <f aca="false">WBS!T187</f>
        <v>2.8</v>
      </c>
      <c r="G790" s="14" t="str">
        <f aca="false">WBS!H187</f>
        <v>P3</v>
      </c>
      <c r="H790" s="14" t="str">
        <f aca="false">WBS!G187</f>
        <v>Should</v>
      </c>
      <c r="I790" s="6" t="s">
        <v>3815</v>
      </c>
      <c r="J790" s="14"/>
      <c r="K790" s="6"/>
      <c r="L790" s="41" t="s">
        <v>2065</v>
      </c>
    </row>
    <row r="791" customFormat="false" ht="15" hidden="false" customHeight="false" outlineLevel="0" collapsed="false">
      <c r="A791" s="14" t="s">
        <v>3816</v>
      </c>
      <c r="B791" s="14" t="s">
        <v>1431</v>
      </c>
      <c r="C791" s="14" t="s">
        <v>1374</v>
      </c>
      <c r="D791" s="28" t="s">
        <v>3817</v>
      </c>
      <c r="E791" s="40" t="s">
        <v>91</v>
      </c>
      <c r="F791" s="31" t="n">
        <f aca="false">WBS!R188</f>
        <v>1.2</v>
      </c>
      <c r="G791" s="14" t="str">
        <f aca="false">WBS!H188</f>
        <v>P3</v>
      </c>
      <c r="H791" s="14" t="str">
        <f aca="false">WBS!G188</f>
        <v>Should</v>
      </c>
      <c r="I791" s="6" t="s">
        <v>1437</v>
      </c>
      <c r="J791" s="14"/>
      <c r="K791" s="6"/>
      <c r="L791" s="41" t="s">
        <v>2065</v>
      </c>
    </row>
    <row r="792" customFormat="false" ht="15" hidden="false" customHeight="false" outlineLevel="0" collapsed="false">
      <c r="A792" s="14" t="s">
        <v>3818</v>
      </c>
      <c r="B792" s="14" t="s">
        <v>1431</v>
      </c>
      <c r="C792" s="14" t="s">
        <v>1374</v>
      </c>
      <c r="D792" s="28" t="s">
        <v>3819</v>
      </c>
      <c r="E792" s="37" t="s">
        <v>128</v>
      </c>
      <c r="F792" s="31" t="n">
        <f aca="false">WBS!S188</f>
        <v>2</v>
      </c>
      <c r="G792" s="14" t="str">
        <f aca="false">WBS!H188</f>
        <v>P3</v>
      </c>
      <c r="H792" s="14" t="str">
        <f aca="false">WBS!G188</f>
        <v>Should</v>
      </c>
      <c r="I792" s="6" t="s">
        <v>3816</v>
      </c>
      <c r="J792" s="14"/>
      <c r="K792" s="6"/>
      <c r="L792" s="41" t="s">
        <v>2065</v>
      </c>
    </row>
    <row r="793" customFormat="false" ht="15" hidden="false" customHeight="false" outlineLevel="0" collapsed="false">
      <c r="A793" s="14" t="s">
        <v>3820</v>
      </c>
      <c r="B793" s="14" t="s">
        <v>1431</v>
      </c>
      <c r="C793" s="14" t="s">
        <v>1374</v>
      </c>
      <c r="D793" s="28" t="s">
        <v>3821</v>
      </c>
      <c r="E793" s="42" t="s">
        <v>2068</v>
      </c>
      <c r="F793" s="31" t="n">
        <f aca="false">WBS!P188</f>
        <v>5</v>
      </c>
      <c r="G793" s="14" t="str">
        <f aca="false">WBS!H188</f>
        <v>P3</v>
      </c>
      <c r="H793" s="14" t="str">
        <f aca="false">WBS!G188</f>
        <v>Should</v>
      </c>
      <c r="I793" s="6" t="s">
        <v>3816</v>
      </c>
      <c r="J793" s="14"/>
      <c r="K793" s="6"/>
      <c r="L793" s="41" t="s">
        <v>2065</v>
      </c>
    </row>
    <row r="794" customFormat="false" ht="15" hidden="false" customHeight="false" outlineLevel="0" collapsed="false">
      <c r="A794" s="14" t="s">
        <v>3822</v>
      </c>
      <c r="B794" s="14" t="s">
        <v>1431</v>
      </c>
      <c r="C794" s="14" t="s">
        <v>1374</v>
      </c>
      <c r="D794" s="28" t="s">
        <v>3823</v>
      </c>
      <c r="E794" s="22" t="s">
        <v>2071</v>
      </c>
      <c r="F794" s="31" t="n">
        <f aca="false">WBS!Q188</f>
        <v>5</v>
      </c>
      <c r="G794" s="14" t="str">
        <f aca="false">WBS!H188</f>
        <v>P3</v>
      </c>
      <c r="H794" s="14" t="str">
        <f aca="false">WBS!G188</f>
        <v>Should</v>
      </c>
      <c r="I794" s="6" t="s">
        <v>3818</v>
      </c>
      <c r="J794" s="14"/>
      <c r="K794" s="6"/>
      <c r="L794" s="41" t="s">
        <v>2065</v>
      </c>
    </row>
    <row r="795" customFormat="false" ht="15" hidden="false" customHeight="false" outlineLevel="0" collapsed="false">
      <c r="A795" s="14" t="s">
        <v>3824</v>
      </c>
      <c r="B795" s="14" t="s">
        <v>1431</v>
      </c>
      <c r="C795" s="14" t="s">
        <v>1374</v>
      </c>
      <c r="D795" s="28" t="s">
        <v>3825</v>
      </c>
      <c r="E795" s="43" t="s">
        <v>96</v>
      </c>
      <c r="F795" s="31" t="n">
        <f aca="false">WBS!T188</f>
        <v>3.5</v>
      </c>
      <c r="G795" s="14" t="str">
        <f aca="false">WBS!H188</f>
        <v>P3</v>
      </c>
      <c r="H795" s="14" t="str">
        <f aca="false">WBS!G188</f>
        <v>Should</v>
      </c>
      <c r="I795" s="6" t="s">
        <v>3826</v>
      </c>
      <c r="J795" s="14"/>
      <c r="K795" s="6"/>
      <c r="L795" s="41" t="s">
        <v>2065</v>
      </c>
    </row>
    <row r="796" customFormat="false" ht="15" hidden="false" customHeight="false" outlineLevel="0" collapsed="false">
      <c r="A796" s="14" t="s">
        <v>3827</v>
      </c>
      <c r="B796" s="14" t="s">
        <v>1438</v>
      </c>
      <c r="C796" s="14" t="s">
        <v>1374</v>
      </c>
      <c r="D796" s="28" t="s">
        <v>3828</v>
      </c>
      <c r="E796" s="40" t="s">
        <v>91</v>
      </c>
      <c r="F796" s="31" t="n">
        <f aca="false">WBS!R189</f>
        <v>0.7</v>
      </c>
      <c r="G796" s="14" t="str">
        <f aca="false">WBS!H189</f>
        <v>P3</v>
      </c>
      <c r="H796" s="14" t="str">
        <f aca="false">WBS!G189</f>
        <v>Should</v>
      </c>
      <c r="I796" s="6" t="s">
        <v>256</v>
      </c>
      <c r="J796" s="14"/>
      <c r="K796" s="6"/>
      <c r="L796" s="41" t="s">
        <v>2065</v>
      </c>
    </row>
    <row r="797" customFormat="false" ht="15" hidden="false" customHeight="false" outlineLevel="0" collapsed="false">
      <c r="A797" s="14" t="s">
        <v>3829</v>
      </c>
      <c r="B797" s="14" t="s">
        <v>1438</v>
      </c>
      <c r="C797" s="14" t="s">
        <v>1374</v>
      </c>
      <c r="D797" s="28" t="s">
        <v>3830</v>
      </c>
      <c r="E797" s="42" t="s">
        <v>2068</v>
      </c>
      <c r="F797" s="31" t="n">
        <f aca="false">WBS!P189</f>
        <v>3</v>
      </c>
      <c r="G797" s="14" t="str">
        <f aca="false">WBS!H189</f>
        <v>P3</v>
      </c>
      <c r="H797" s="14" t="str">
        <f aca="false">WBS!G189</f>
        <v>Should</v>
      </c>
      <c r="I797" s="6" t="s">
        <v>3827</v>
      </c>
      <c r="J797" s="14"/>
      <c r="K797" s="6"/>
      <c r="L797" s="41" t="s">
        <v>2065</v>
      </c>
    </row>
    <row r="798" customFormat="false" ht="15" hidden="false" customHeight="false" outlineLevel="0" collapsed="false">
      <c r="A798" s="14" t="s">
        <v>3831</v>
      </c>
      <c r="B798" s="14" t="s">
        <v>1438</v>
      </c>
      <c r="C798" s="14" t="s">
        <v>1374</v>
      </c>
      <c r="D798" s="28" t="s">
        <v>3832</v>
      </c>
      <c r="E798" s="22" t="s">
        <v>2071</v>
      </c>
      <c r="F798" s="31" t="n">
        <f aca="false">WBS!Q189</f>
        <v>3</v>
      </c>
      <c r="G798" s="14" t="str">
        <f aca="false">WBS!H189</f>
        <v>P3</v>
      </c>
      <c r="H798" s="14" t="str">
        <f aca="false">WBS!G189</f>
        <v>Should</v>
      </c>
      <c r="I798" s="6" t="s">
        <v>3827</v>
      </c>
      <c r="J798" s="14"/>
      <c r="K798" s="6"/>
      <c r="L798" s="41" t="s">
        <v>2065</v>
      </c>
    </row>
    <row r="799" customFormat="false" ht="15" hidden="false" customHeight="false" outlineLevel="0" collapsed="false">
      <c r="A799" s="14" t="s">
        <v>3833</v>
      </c>
      <c r="B799" s="14" t="s">
        <v>1438</v>
      </c>
      <c r="C799" s="14" t="s">
        <v>1374</v>
      </c>
      <c r="D799" s="28" t="s">
        <v>3834</v>
      </c>
      <c r="E799" s="43" t="s">
        <v>96</v>
      </c>
      <c r="F799" s="31" t="n">
        <f aca="false">WBS!T189</f>
        <v>2.1</v>
      </c>
      <c r="G799" s="14" t="str">
        <f aca="false">WBS!H189</f>
        <v>P3</v>
      </c>
      <c r="H799" s="14" t="str">
        <f aca="false">WBS!G189</f>
        <v>Should</v>
      </c>
      <c r="I799" s="6" t="s">
        <v>3835</v>
      </c>
      <c r="J799" s="14"/>
      <c r="K799" s="6"/>
      <c r="L799" s="41" t="s">
        <v>2065</v>
      </c>
    </row>
    <row r="800" customFormat="false" ht="15" hidden="false" customHeight="false" outlineLevel="0" collapsed="false">
      <c r="A800" s="14" t="s">
        <v>3836</v>
      </c>
      <c r="B800" s="14" t="s">
        <v>1444</v>
      </c>
      <c r="C800" s="14" t="s">
        <v>1374</v>
      </c>
      <c r="D800" s="28" t="s">
        <v>3837</v>
      </c>
      <c r="E800" s="40" t="s">
        <v>91</v>
      </c>
      <c r="F800" s="31" t="n">
        <f aca="false">WBS!R190</f>
        <v>1</v>
      </c>
      <c r="G800" s="14" t="str">
        <f aca="false">WBS!H190</f>
        <v>P3</v>
      </c>
      <c r="H800" s="14" t="str">
        <f aca="false">WBS!G190</f>
        <v>Should</v>
      </c>
      <c r="I800" s="6" t="s">
        <v>777</v>
      </c>
      <c r="J800" s="14"/>
      <c r="K800" s="6"/>
      <c r="L800" s="41" t="s">
        <v>2065</v>
      </c>
    </row>
    <row r="801" customFormat="false" ht="15" hidden="false" customHeight="false" outlineLevel="0" collapsed="false">
      <c r="A801" s="14" t="s">
        <v>3838</v>
      </c>
      <c r="B801" s="14" t="s">
        <v>1444</v>
      </c>
      <c r="C801" s="14" t="s">
        <v>1374</v>
      </c>
      <c r="D801" s="28" t="s">
        <v>3839</v>
      </c>
      <c r="E801" s="42" t="s">
        <v>2068</v>
      </c>
      <c r="F801" s="31" t="n">
        <f aca="false">WBS!P190</f>
        <v>3</v>
      </c>
      <c r="G801" s="14" t="str">
        <f aca="false">WBS!H190</f>
        <v>P3</v>
      </c>
      <c r="H801" s="14" t="str">
        <f aca="false">WBS!G190</f>
        <v>Should</v>
      </c>
      <c r="I801" s="6" t="s">
        <v>3836</v>
      </c>
      <c r="J801" s="14"/>
      <c r="K801" s="6"/>
      <c r="L801" s="41" t="s">
        <v>2065</v>
      </c>
    </row>
    <row r="802" customFormat="false" ht="15" hidden="false" customHeight="false" outlineLevel="0" collapsed="false">
      <c r="A802" s="14" t="s">
        <v>3840</v>
      </c>
      <c r="B802" s="14" t="s">
        <v>1444</v>
      </c>
      <c r="C802" s="14" t="s">
        <v>1374</v>
      </c>
      <c r="D802" s="28" t="s">
        <v>3841</v>
      </c>
      <c r="E802" s="22" t="s">
        <v>2071</v>
      </c>
      <c r="F802" s="31" t="n">
        <f aca="false">WBS!Q190</f>
        <v>5</v>
      </c>
      <c r="G802" s="14" t="str">
        <f aca="false">WBS!H190</f>
        <v>P3</v>
      </c>
      <c r="H802" s="14" t="str">
        <f aca="false">WBS!G190</f>
        <v>Should</v>
      </c>
      <c r="I802" s="6" t="s">
        <v>3836</v>
      </c>
      <c r="J802" s="14"/>
      <c r="K802" s="6"/>
      <c r="L802" s="41" t="s">
        <v>2065</v>
      </c>
    </row>
    <row r="803" customFormat="false" ht="15" hidden="false" customHeight="false" outlineLevel="0" collapsed="false">
      <c r="A803" s="14" t="s">
        <v>3842</v>
      </c>
      <c r="B803" s="14" t="s">
        <v>1444</v>
      </c>
      <c r="C803" s="14" t="s">
        <v>1374</v>
      </c>
      <c r="D803" s="28" t="s">
        <v>3843</v>
      </c>
      <c r="E803" s="43" t="s">
        <v>96</v>
      </c>
      <c r="F803" s="31" t="n">
        <f aca="false">WBS!T190</f>
        <v>2.8</v>
      </c>
      <c r="G803" s="14" t="str">
        <f aca="false">WBS!H190</f>
        <v>P3</v>
      </c>
      <c r="H803" s="14" t="str">
        <f aca="false">WBS!G190</f>
        <v>Should</v>
      </c>
      <c r="I803" s="6" t="s">
        <v>3844</v>
      </c>
      <c r="J803" s="14"/>
      <c r="K803" s="6"/>
      <c r="L803" s="41" t="s">
        <v>2065</v>
      </c>
    </row>
    <row r="804" customFormat="false" ht="15" hidden="false" customHeight="false" outlineLevel="0" collapsed="false">
      <c r="A804" s="14" t="s">
        <v>3845</v>
      </c>
      <c r="B804" s="14" t="s">
        <v>1450</v>
      </c>
      <c r="C804" s="14" t="s">
        <v>1374</v>
      </c>
      <c r="D804" s="28" t="s">
        <v>3846</v>
      </c>
      <c r="E804" s="40" t="s">
        <v>91</v>
      </c>
      <c r="F804" s="31" t="n">
        <f aca="false">WBS!R191</f>
        <v>0.5</v>
      </c>
      <c r="G804" s="14" t="str">
        <f aca="false">WBS!H191</f>
        <v>P4</v>
      </c>
      <c r="H804" s="14" t="str">
        <f aca="false">WBS!G191</f>
        <v>Nice-to-have</v>
      </c>
      <c r="I804" s="6" t="s">
        <v>178</v>
      </c>
      <c r="J804" s="14"/>
      <c r="K804" s="6"/>
      <c r="L804" s="41" t="s">
        <v>2065</v>
      </c>
    </row>
    <row r="805" customFormat="false" ht="15" hidden="false" customHeight="false" outlineLevel="0" collapsed="false">
      <c r="A805" s="14" t="s">
        <v>3847</v>
      </c>
      <c r="B805" s="14" t="s">
        <v>1450</v>
      </c>
      <c r="C805" s="14" t="s">
        <v>1374</v>
      </c>
      <c r="D805" s="28" t="s">
        <v>3848</v>
      </c>
      <c r="E805" s="42" t="s">
        <v>2068</v>
      </c>
      <c r="F805" s="31" t="n">
        <f aca="false">WBS!P191</f>
        <v>1</v>
      </c>
      <c r="G805" s="14" t="str">
        <f aca="false">WBS!H191</f>
        <v>P4</v>
      </c>
      <c r="H805" s="14" t="str">
        <f aca="false">WBS!G191</f>
        <v>Nice-to-have</v>
      </c>
      <c r="I805" s="6" t="s">
        <v>3845</v>
      </c>
      <c r="J805" s="14"/>
      <c r="K805" s="6"/>
      <c r="L805" s="41" t="s">
        <v>2065</v>
      </c>
    </row>
    <row r="806" customFormat="false" ht="15" hidden="false" customHeight="false" outlineLevel="0" collapsed="false">
      <c r="A806" s="14" t="s">
        <v>3849</v>
      </c>
      <c r="B806" s="14" t="s">
        <v>1450</v>
      </c>
      <c r="C806" s="14" t="s">
        <v>1374</v>
      </c>
      <c r="D806" s="28" t="s">
        <v>3850</v>
      </c>
      <c r="E806" s="22" t="s">
        <v>2071</v>
      </c>
      <c r="F806" s="31" t="n">
        <f aca="false">WBS!Q191</f>
        <v>3</v>
      </c>
      <c r="G806" s="14" t="str">
        <f aca="false">WBS!H191</f>
        <v>P4</v>
      </c>
      <c r="H806" s="14" t="str">
        <f aca="false">WBS!G191</f>
        <v>Nice-to-have</v>
      </c>
      <c r="I806" s="6" t="s">
        <v>3845</v>
      </c>
      <c r="J806" s="14"/>
      <c r="K806" s="6"/>
      <c r="L806" s="41" t="s">
        <v>2065</v>
      </c>
    </row>
    <row r="807" customFormat="false" ht="15" hidden="false" customHeight="false" outlineLevel="0" collapsed="false">
      <c r="A807" s="14" t="s">
        <v>3851</v>
      </c>
      <c r="B807" s="14" t="s">
        <v>1450</v>
      </c>
      <c r="C807" s="14" t="s">
        <v>1374</v>
      </c>
      <c r="D807" s="28" t="s">
        <v>3852</v>
      </c>
      <c r="E807" s="43" t="s">
        <v>96</v>
      </c>
      <c r="F807" s="31" t="n">
        <f aca="false">WBS!T191</f>
        <v>1.4</v>
      </c>
      <c r="G807" s="14" t="str">
        <f aca="false">WBS!H191</f>
        <v>P4</v>
      </c>
      <c r="H807" s="14" t="str">
        <f aca="false">WBS!G191</f>
        <v>Nice-to-have</v>
      </c>
      <c r="I807" s="6" t="s">
        <v>3853</v>
      </c>
      <c r="J807" s="14"/>
      <c r="K807" s="6"/>
      <c r="L807" s="41" t="s">
        <v>2065</v>
      </c>
    </row>
    <row r="808" customFormat="false" ht="15" hidden="false" customHeight="false" outlineLevel="0" collapsed="false">
      <c r="A808" s="14" t="s">
        <v>3854</v>
      </c>
      <c r="B808" s="14" t="s">
        <v>1456</v>
      </c>
      <c r="C808" s="14" t="s">
        <v>1457</v>
      </c>
      <c r="D808" s="28" t="s">
        <v>3855</v>
      </c>
      <c r="E808" s="40" t="s">
        <v>91</v>
      </c>
      <c r="F808" s="31" t="n">
        <f aca="false">WBS!R192</f>
        <v>0.7</v>
      </c>
      <c r="G808" s="14" t="str">
        <f aca="false">WBS!H192</f>
        <v>P2</v>
      </c>
      <c r="H808" s="14" t="str">
        <f aca="false">WBS!G192</f>
        <v>Must</v>
      </c>
      <c r="I808" s="6" t="s">
        <v>178</v>
      </c>
      <c r="J808" s="14"/>
      <c r="K808" s="6"/>
      <c r="L808" s="41" t="s">
        <v>2065</v>
      </c>
    </row>
    <row r="809" customFormat="false" ht="15" hidden="false" customHeight="false" outlineLevel="0" collapsed="false">
      <c r="A809" s="14" t="s">
        <v>3856</v>
      </c>
      <c r="B809" s="14" t="s">
        <v>1456</v>
      </c>
      <c r="C809" s="14" t="s">
        <v>1457</v>
      </c>
      <c r="D809" s="28" t="s">
        <v>3857</v>
      </c>
      <c r="E809" s="42" t="s">
        <v>2068</v>
      </c>
      <c r="F809" s="31" t="n">
        <f aca="false">WBS!P192</f>
        <v>3</v>
      </c>
      <c r="G809" s="14" t="str">
        <f aca="false">WBS!H192</f>
        <v>P2</v>
      </c>
      <c r="H809" s="14" t="str">
        <f aca="false">WBS!G192</f>
        <v>Must</v>
      </c>
      <c r="I809" s="6" t="s">
        <v>3854</v>
      </c>
      <c r="J809" s="14"/>
      <c r="K809" s="6"/>
      <c r="L809" s="41" t="s">
        <v>2065</v>
      </c>
    </row>
    <row r="810" customFormat="false" ht="15" hidden="false" customHeight="false" outlineLevel="0" collapsed="false">
      <c r="A810" s="14" t="s">
        <v>3858</v>
      </c>
      <c r="B810" s="14" t="s">
        <v>1456</v>
      </c>
      <c r="C810" s="14" t="s">
        <v>1457</v>
      </c>
      <c r="D810" s="28" t="s">
        <v>3859</v>
      </c>
      <c r="E810" s="22" t="s">
        <v>2071</v>
      </c>
      <c r="F810" s="31" t="n">
        <f aca="false">WBS!Q192</f>
        <v>3</v>
      </c>
      <c r="G810" s="14" t="str">
        <f aca="false">WBS!H192</f>
        <v>P2</v>
      </c>
      <c r="H810" s="14" t="str">
        <f aca="false">WBS!G192</f>
        <v>Must</v>
      </c>
      <c r="I810" s="6" t="s">
        <v>3854</v>
      </c>
      <c r="J810" s="14"/>
      <c r="K810" s="6"/>
      <c r="L810" s="41" t="s">
        <v>2065</v>
      </c>
    </row>
    <row r="811" customFormat="false" ht="15" hidden="false" customHeight="false" outlineLevel="0" collapsed="false">
      <c r="A811" s="14" t="s">
        <v>3860</v>
      </c>
      <c r="B811" s="14" t="s">
        <v>1456</v>
      </c>
      <c r="C811" s="14" t="s">
        <v>1457</v>
      </c>
      <c r="D811" s="28" t="s">
        <v>3861</v>
      </c>
      <c r="E811" s="43" t="s">
        <v>96</v>
      </c>
      <c r="F811" s="31" t="n">
        <f aca="false">WBS!T192</f>
        <v>2.1</v>
      </c>
      <c r="G811" s="14" t="str">
        <f aca="false">WBS!H192</f>
        <v>P2</v>
      </c>
      <c r="H811" s="14" t="str">
        <f aca="false">WBS!G192</f>
        <v>Must</v>
      </c>
      <c r="I811" s="6" t="s">
        <v>3862</v>
      </c>
      <c r="J811" s="14"/>
      <c r="K811" s="6"/>
      <c r="L811" s="41" t="s">
        <v>2065</v>
      </c>
    </row>
    <row r="812" customFormat="false" ht="15" hidden="false" customHeight="false" outlineLevel="0" collapsed="false">
      <c r="A812" s="14" t="s">
        <v>3863</v>
      </c>
      <c r="B812" s="14" t="s">
        <v>1465</v>
      </c>
      <c r="C812" s="14" t="s">
        <v>1457</v>
      </c>
      <c r="D812" s="28" t="s">
        <v>3864</v>
      </c>
      <c r="E812" s="40" t="s">
        <v>91</v>
      </c>
      <c r="F812" s="31" t="n">
        <f aca="false">WBS!R193</f>
        <v>0.7</v>
      </c>
      <c r="G812" s="14" t="str">
        <f aca="false">WBS!H193</f>
        <v>P2</v>
      </c>
      <c r="H812" s="14" t="str">
        <f aca="false">WBS!G193</f>
        <v>Must</v>
      </c>
      <c r="I812" s="6" t="s">
        <v>1456</v>
      </c>
      <c r="J812" s="14"/>
      <c r="K812" s="6"/>
      <c r="L812" s="41" t="s">
        <v>2065</v>
      </c>
    </row>
    <row r="813" customFormat="false" ht="15" hidden="false" customHeight="false" outlineLevel="0" collapsed="false">
      <c r="A813" s="14" t="s">
        <v>3865</v>
      </c>
      <c r="B813" s="14" t="s">
        <v>1465</v>
      </c>
      <c r="C813" s="14" t="s">
        <v>1457</v>
      </c>
      <c r="D813" s="28" t="s">
        <v>3866</v>
      </c>
      <c r="E813" s="42" t="s">
        <v>2068</v>
      </c>
      <c r="F813" s="31" t="n">
        <f aca="false">WBS!P193</f>
        <v>3</v>
      </c>
      <c r="G813" s="14" t="str">
        <f aca="false">WBS!H193</f>
        <v>P2</v>
      </c>
      <c r="H813" s="14" t="str">
        <f aca="false">WBS!G193</f>
        <v>Must</v>
      </c>
      <c r="I813" s="6" t="s">
        <v>3863</v>
      </c>
      <c r="J813" s="14"/>
      <c r="K813" s="6"/>
      <c r="L813" s="41" t="s">
        <v>2065</v>
      </c>
    </row>
    <row r="814" customFormat="false" ht="15" hidden="false" customHeight="false" outlineLevel="0" collapsed="false">
      <c r="A814" s="14" t="s">
        <v>3867</v>
      </c>
      <c r="B814" s="14" t="s">
        <v>1465</v>
      </c>
      <c r="C814" s="14" t="s">
        <v>1457</v>
      </c>
      <c r="D814" s="28" t="s">
        <v>3868</v>
      </c>
      <c r="E814" s="22" t="s">
        <v>2071</v>
      </c>
      <c r="F814" s="31" t="n">
        <f aca="false">WBS!Q193</f>
        <v>3</v>
      </c>
      <c r="G814" s="14" t="str">
        <f aca="false">WBS!H193</f>
        <v>P2</v>
      </c>
      <c r="H814" s="14" t="str">
        <f aca="false">WBS!G193</f>
        <v>Must</v>
      </c>
      <c r="I814" s="6" t="s">
        <v>3863</v>
      </c>
      <c r="J814" s="14"/>
      <c r="K814" s="6"/>
      <c r="L814" s="41" t="s">
        <v>2065</v>
      </c>
    </row>
    <row r="815" customFormat="false" ht="15" hidden="false" customHeight="false" outlineLevel="0" collapsed="false">
      <c r="A815" s="14" t="s">
        <v>3869</v>
      </c>
      <c r="B815" s="14" t="s">
        <v>1465</v>
      </c>
      <c r="C815" s="14" t="s">
        <v>1457</v>
      </c>
      <c r="D815" s="28" t="s">
        <v>3870</v>
      </c>
      <c r="E815" s="43" t="s">
        <v>96</v>
      </c>
      <c r="F815" s="31" t="n">
        <f aca="false">WBS!T193</f>
        <v>2.1</v>
      </c>
      <c r="G815" s="14" t="str">
        <f aca="false">WBS!H193</f>
        <v>P2</v>
      </c>
      <c r="H815" s="14" t="str">
        <f aca="false">WBS!G193</f>
        <v>Must</v>
      </c>
      <c r="I815" s="6" t="s">
        <v>3871</v>
      </c>
      <c r="J815" s="14"/>
      <c r="K815" s="6"/>
      <c r="L815" s="41" t="s">
        <v>2065</v>
      </c>
    </row>
    <row r="816" customFormat="false" ht="15" hidden="false" customHeight="false" outlineLevel="0" collapsed="false">
      <c r="A816" s="14" t="s">
        <v>3872</v>
      </c>
      <c r="B816" s="14" t="s">
        <v>1472</v>
      </c>
      <c r="C816" s="14" t="s">
        <v>1457</v>
      </c>
      <c r="D816" s="28" t="s">
        <v>3873</v>
      </c>
      <c r="E816" s="40" t="s">
        <v>91</v>
      </c>
      <c r="F816" s="31" t="n">
        <f aca="false">WBS!R194</f>
        <v>0.7</v>
      </c>
      <c r="G816" s="14" t="str">
        <f aca="false">WBS!H194</f>
        <v>P2</v>
      </c>
      <c r="H816" s="14" t="str">
        <f aca="false">WBS!G194</f>
        <v>Must</v>
      </c>
      <c r="I816" s="6" t="s">
        <v>1479</v>
      </c>
      <c r="J816" s="14"/>
      <c r="K816" s="6"/>
      <c r="L816" s="41" t="s">
        <v>2065</v>
      </c>
    </row>
    <row r="817" customFormat="false" ht="15" hidden="false" customHeight="false" outlineLevel="0" collapsed="false">
      <c r="A817" s="14" t="s">
        <v>3874</v>
      </c>
      <c r="B817" s="14" t="s">
        <v>1472</v>
      </c>
      <c r="C817" s="14" t="s">
        <v>1457</v>
      </c>
      <c r="D817" s="28" t="s">
        <v>3875</v>
      </c>
      <c r="E817" s="42" t="s">
        <v>2068</v>
      </c>
      <c r="F817" s="31" t="n">
        <f aca="false">WBS!P194</f>
        <v>3</v>
      </c>
      <c r="G817" s="14" t="str">
        <f aca="false">WBS!H194</f>
        <v>P2</v>
      </c>
      <c r="H817" s="14" t="str">
        <f aca="false">WBS!G194</f>
        <v>Must</v>
      </c>
      <c r="I817" s="6" t="s">
        <v>3872</v>
      </c>
      <c r="J817" s="14"/>
      <c r="K817" s="6"/>
      <c r="L817" s="41" t="s">
        <v>2065</v>
      </c>
    </row>
    <row r="818" customFormat="false" ht="15" hidden="false" customHeight="false" outlineLevel="0" collapsed="false">
      <c r="A818" s="14" t="s">
        <v>3876</v>
      </c>
      <c r="B818" s="14" t="s">
        <v>1472</v>
      </c>
      <c r="C818" s="14" t="s">
        <v>1457</v>
      </c>
      <c r="D818" s="28" t="s">
        <v>3877</v>
      </c>
      <c r="E818" s="22" t="s">
        <v>2071</v>
      </c>
      <c r="F818" s="31" t="n">
        <f aca="false">WBS!Q194</f>
        <v>3</v>
      </c>
      <c r="G818" s="14" t="str">
        <f aca="false">WBS!H194</f>
        <v>P2</v>
      </c>
      <c r="H818" s="14" t="str">
        <f aca="false">WBS!G194</f>
        <v>Must</v>
      </c>
      <c r="I818" s="6" t="s">
        <v>3872</v>
      </c>
      <c r="J818" s="14"/>
      <c r="K818" s="6"/>
      <c r="L818" s="41" t="s">
        <v>2065</v>
      </c>
    </row>
    <row r="819" customFormat="false" ht="15" hidden="false" customHeight="false" outlineLevel="0" collapsed="false">
      <c r="A819" s="14" t="s">
        <v>3878</v>
      </c>
      <c r="B819" s="14" t="s">
        <v>1472</v>
      </c>
      <c r="C819" s="14" t="s">
        <v>1457</v>
      </c>
      <c r="D819" s="28" t="s">
        <v>3879</v>
      </c>
      <c r="E819" s="43" t="s">
        <v>96</v>
      </c>
      <c r="F819" s="31" t="n">
        <f aca="false">WBS!T194</f>
        <v>2.1</v>
      </c>
      <c r="G819" s="14" t="str">
        <f aca="false">WBS!H194</f>
        <v>P2</v>
      </c>
      <c r="H819" s="14" t="str">
        <f aca="false">WBS!G194</f>
        <v>Must</v>
      </c>
      <c r="I819" s="6" t="s">
        <v>3880</v>
      </c>
      <c r="J819" s="14"/>
      <c r="K819" s="6"/>
      <c r="L819" s="41" t="s">
        <v>2065</v>
      </c>
    </row>
    <row r="820" customFormat="false" ht="15" hidden="false" customHeight="false" outlineLevel="0" collapsed="false">
      <c r="A820" s="14" t="s">
        <v>3881</v>
      </c>
      <c r="B820" s="14" t="s">
        <v>1480</v>
      </c>
      <c r="C820" s="14" t="s">
        <v>1457</v>
      </c>
      <c r="D820" s="28" t="s">
        <v>3882</v>
      </c>
      <c r="E820" s="40" t="s">
        <v>91</v>
      </c>
      <c r="F820" s="31" t="n">
        <f aca="false">WBS!R195</f>
        <v>1</v>
      </c>
      <c r="G820" s="14" t="str">
        <f aca="false">WBS!H195</f>
        <v>P2</v>
      </c>
      <c r="H820" s="14" t="str">
        <f aca="false">WBS!G195</f>
        <v>Must</v>
      </c>
      <c r="I820" s="6" t="s">
        <v>819</v>
      </c>
      <c r="J820" s="14"/>
      <c r="K820" s="6"/>
      <c r="L820" s="41" t="s">
        <v>2065</v>
      </c>
    </row>
    <row r="821" customFormat="false" ht="15" hidden="false" customHeight="false" outlineLevel="0" collapsed="false">
      <c r="A821" s="14" t="s">
        <v>3883</v>
      </c>
      <c r="B821" s="14" t="s">
        <v>1480</v>
      </c>
      <c r="C821" s="14" t="s">
        <v>1457</v>
      </c>
      <c r="D821" s="28" t="s">
        <v>3884</v>
      </c>
      <c r="E821" s="42" t="s">
        <v>2068</v>
      </c>
      <c r="F821" s="31" t="n">
        <f aca="false">WBS!P195</f>
        <v>5</v>
      </c>
      <c r="G821" s="14" t="str">
        <f aca="false">WBS!H195</f>
        <v>P2</v>
      </c>
      <c r="H821" s="14" t="str">
        <f aca="false">WBS!G195</f>
        <v>Must</v>
      </c>
      <c r="I821" s="6" t="s">
        <v>3881</v>
      </c>
      <c r="J821" s="14"/>
      <c r="K821" s="6"/>
      <c r="L821" s="41" t="s">
        <v>2065</v>
      </c>
    </row>
    <row r="822" customFormat="false" ht="15" hidden="false" customHeight="false" outlineLevel="0" collapsed="false">
      <c r="A822" s="14" t="s">
        <v>3885</v>
      </c>
      <c r="B822" s="14" t="s">
        <v>1480</v>
      </c>
      <c r="C822" s="14" t="s">
        <v>1457</v>
      </c>
      <c r="D822" s="28" t="s">
        <v>3886</v>
      </c>
      <c r="E822" s="22" t="s">
        <v>2071</v>
      </c>
      <c r="F822" s="31" t="n">
        <f aca="false">WBS!Q195</f>
        <v>3</v>
      </c>
      <c r="G822" s="14" t="str">
        <f aca="false">WBS!H195</f>
        <v>P2</v>
      </c>
      <c r="H822" s="14" t="str">
        <f aca="false">WBS!G195</f>
        <v>Must</v>
      </c>
      <c r="I822" s="6" t="s">
        <v>3881</v>
      </c>
      <c r="J822" s="14"/>
      <c r="K822" s="6"/>
      <c r="L822" s="41" t="s">
        <v>2065</v>
      </c>
    </row>
    <row r="823" customFormat="false" ht="15" hidden="false" customHeight="false" outlineLevel="0" collapsed="false">
      <c r="A823" s="14" t="s">
        <v>3887</v>
      </c>
      <c r="B823" s="14" t="s">
        <v>1480</v>
      </c>
      <c r="C823" s="14" t="s">
        <v>1457</v>
      </c>
      <c r="D823" s="28" t="s">
        <v>3888</v>
      </c>
      <c r="E823" s="43" t="s">
        <v>96</v>
      </c>
      <c r="F823" s="31" t="n">
        <f aca="false">WBS!T195</f>
        <v>2.8</v>
      </c>
      <c r="G823" s="14" t="str">
        <f aca="false">WBS!H195</f>
        <v>P2</v>
      </c>
      <c r="H823" s="14" t="str">
        <f aca="false">WBS!G195</f>
        <v>Must</v>
      </c>
      <c r="I823" s="6" t="s">
        <v>3889</v>
      </c>
      <c r="J823" s="14"/>
      <c r="K823" s="6"/>
      <c r="L823" s="41" t="s">
        <v>2065</v>
      </c>
    </row>
    <row r="824" customFormat="false" ht="15" hidden="false" customHeight="false" outlineLevel="0" collapsed="false">
      <c r="A824" s="14" t="s">
        <v>3890</v>
      </c>
      <c r="B824" s="14" t="s">
        <v>1487</v>
      </c>
      <c r="C824" s="14" t="s">
        <v>1457</v>
      </c>
      <c r="D824" s="28" t="s">
        <v>3891</v>
      </c>
      <c r="E824" s="40" t="s">
        <v>91</v>
      </c>
      <c r="F824" s="31" t="n">
        <f aca="false">WBS!R196</f>
        <v>0.7</v>
      </c>
      <c r="G824" s="14" t="str">
        <f aca="false">WBS!H196</f>
        <v>P2</v>
      </c>
      <c r="H824" s="14" t="str">
        <f aca="false">WBS!G196</f>
        <v>Must</v>
      </c>
      <c r="I824" s="6" t="s">
        <v>1472</v>
      </c>
      <c r="J824" s="14"/>
      <c r="K824" s="6"/>
      <c r="L824" s="41" t="s">
        <v>2065</v>
      </c>
    </row>
    <row r="825" customFormat="false" ht="15" hidden="false" customHeight="false" outlineLevel="0" collapsed="false">
      <c r="A825" s="14" t="s">
        <v>3892</v>
      </c>
      <c r="B825" s="14" t="s">
        <v>1487</v>
      </c>
      <c r="C825" s="14" t="s">
        <v>1457</v>
      </c>
      <c r="D825" s="28" t="s">
        <v>3893</v>
      </c>
      <c r="E825" s="42" t="s">
        <v>2068</v>
      </c>
      <c r="F825" s="31" t="n">
        <f aca="false">WBS!P196</f>
        <v>3</v>
      </c>
      <c r="G825" s="14" t="str">
        <f aca="false">WBS!H196</f>
        <v>P2</v>
      </c>
      <c r="H825" s="14" t="str">
        <f aca="false">WBS!G196</f>
        <v>Must</v>
      </c>
      <c r="I825" s="6" t="s">
        <v>3890</v>
      </c>
      <c r="J825" s="14"/>
      <c r="K825" s="6"/>
      <c r="L825" s="41" t="s">
        <v>2065</v>
      </c>
    </row>
    <row r="826" customFormat="false" ht="15" hidden="false" customHeight="false" outlineLevel="0" collapsed="false">
      <c r="A826" s="14" t="s">
        <v>3894</v>
      </c>
      <c r="B826" s="14" t="s">
        <v>1487</v>
      </c>
      <c r="C826" s="14" t="s">
        <v>1457</v>
      </c>
      <c r="D826" s="28" t="s">
        <v>3895</v>
      </c>
      <c r="E826" s="22" t="s">
        <v>2071</v>
      </c>
      <c r="F826" s="31" t="n">
        <f aca="false">WBS!Q196</f>
        <v>3</v>
      </c>
      <c r="G826" s="14" t="str">
        <f aca="false">WBS!H196</f>
        <v>P2</v>
      </c>
      <c r="H826" s="14" t="str">
        <f aca="false">WBS!G196</f>
        <v>Must</v>
      </c>
      <c r="I826" s="6" t="s">
        <v>3890</v>
      </c>
      <c r="J826" s="14"/>
      <c r="K826" s="6"/>
      <c r="L826" s="41" t="s">
        <v>2065</v>
      </c>
    </row>
    <row r="827" customFormat="false" ht="15" hidden="false" customHeight="false" outlineLevel="0" collapsed="false">
      <c r="A827" s="14" t="s">
        <v>3896</v>
      </c>
      <c r="B827" s="14" t="s">
        <v>1487</v>
      </c>
      <c r="C827" s="14" t="s">
        <v>1457</v>
      </c>
      <c r="D827" s="28" t="s">
        <v>3897</v>
      </c>
      <c r="E827" s="43" t="s">
        <v>96</v>
      </c>
      <c r="F827" s="31" t="n">
        <f aca="false">WBS!T196</f>
        <v>2.1</v>
      </c>
      <c r="G827" s="14" t="str">
        <f aca="false">WBS!H196</f>
        <v>P2</v>
      </c>
      <c r="H827" s="14" t="str">
        <f aca="false">WBS!G196</f>
        <v>Must</v>
      </c>
      <c r="I827" s="6" t="s">
        <v>3898</v>
      </c>
      <c r="J827" s="14"/>
      <c r="K827" s="6"/>
      <c r="L827" s="41" t="s">
        <v>2065</v>
      </c>
    </row>
    <row r="828" customFormat="false" ht="15" hidden="false" customHeight="false" outlineLevel="0" collapsed="false">
      <c r="A828" s="14" t="s">
        <v>3899</v>
      </c>
      <c r="B828" s="14" t="s">
        <v>1494</v>
      </c>
      <c r="C828" s="14" t="s">
        <v>1457</v>
      </c>
      <c r="D828" s="28" t="s">
        <v>3900</v>
      </c>
      <c r="E828" s="40" t="s">
        <v>91</v>
      </c>
      <c r="F828" s="31" t="n">
        <f aca="false">WBS!R197</f>
        <v>1.2</v>
      </c>
      <c r="G828" s="14" t="str">
        <f aca="false">WBS!H197</f>
        <v>P2</v>
      </c>
      <c r="H828" s="14" t="str">
        <f aca="false">WBS!G197</f>
        <v>Must</v>
      </c>
      <c r="I828" s="6" t="s">
        <v>1501</v>
      </c>
      <c r="J828" s="14"/>
      <c r="K828" s="6"/>
      <c r="L828" s="41" t="s">
        <v>2065</v>
      </c>
    </row>
    <row r="829" customFormat="false" ht="15" hidden="false" customHeight="false" outlineLevel="0" collapsed="false">
      <c r="A829" s="14" t="s">
        <v>3901</v>
      </c>
      <c r="B829" s="14" t="s">
        <v>1494</v>
      </c>
      <c r="C829" s="14" t="s">
        <v>1457</v>
      </c>
      <c r="D829" s="28" t="s">
        <v>3902</v>
      </c>
      <c r="E829" s="37" t="s">
        <v>128</v>
      </c>
      <c r="F829" s="31" t="n">
        <f aca="false">WBS!S197</f>
        <v>2</v>
      </c>
      <c r="G829" s="14" t="str">
        <f aca="false">WBS!H197</f>
        <v>P2</v>
      </c>
      <c r="H829" s="14" t="str">
        <f aca="false">WBS!G197</f>
        <v>Must</v>
      </c>
      <c r="I829" s="6" t="s">
        <v>3899</v>
      </c>
      <c r="J829" s="14"/>
      <c r="K829" s="6"/>
      <c r="L829" s="41" t="s">
        <v>2065</v>
      </c>
    </row>
    <row r="830" customFormat="false" ht="15" hidden="false" customHeight="false" outlineLevel="0" collapsed="false">
      <c r="A830" s="14" t="s">
        <v>3903</v>
      </c>
      <c r="B830" s="14" t="s">
        <v>1494</v>
      </c>
      <c r="C830" s="14" t="s">
        <v>1457</v>
      </c>
      <c r="D830" s="28" t="s">
        <v>3904</v>
      </c>
      <c r="E830" s="42" t="s">
        <v>2068</v>
      </c>
      <c r="F830" s="31" t="n">
        <f aca="false">WBS!P197</f>
        <v>5</v>
      </c>
      <c r="G830" s="14" t="str">
        <f aca="false">WBS!H197</f>
        <v>P2</v>
      </c>
      <c r="H830" s="14" t="str">
        <f aca="false">WBS!G197</f>
        <v>Must</v>
      </c>
      <c r="I830" s="6" t="s">
        <v>3899</v>
      </c>
      <c r="J830" s="14"/>
      <c r="K830" s="6"/>
      <c r="L830" s="41" t="s">
        <v>2065</v>
      </c>
    </row>
    <row r="831" customFormat="false" ht="15" hidden="false" customHeight="false" outlineLevel="0" collapsed="false">
      <c r="A831" s="14" t="s">
        <v>3905</v>
      </c>
      <c r="B831" s="14" t="s">
        <v>1494</v>
      </c>
      <c r="C831" s="14" t="s">
        <v>1457</v>
      </c>
      <c r="D831" s="28" t="s">
        <v>3906</v>
      </c>
      <c r="E831" s="22" t="s">
        <v>2071</v>
      </c>
      <c r="F831" s="31" t="n">
        <f aca="false">WBS!Q197</f>
        <v>5</v>
      </c>
      <c r="G831" s="14" t="str">
        <f aca="false">WBS!H197</f>
        <v>P2</v>
      </c>
      <c r="H831" s="14" t="str">
        <f aca="false">WBS!G197</f>
        <v>Must</v>
      </c>
      <c r="I831" s="6" t="s">
        <v>3901</v>
      </c>
      <c r="J831" s="14"/>
      <c r="K831" s="6"/>
      <c r="L831" s="41" t="s">
        <v>2065</v>
      </c>
    </row>
    <row r="832" customFormat="false" ht="15" hidden="false" customHeight="false" outlineLevel="0" collapsed="false">
      <c r="A832" s="14" t="s">
        <v>3907</v>
      </c>
      <c r="B832" s="14" t="s">
        <v>1494</v>
      </c>
      <c r="C832" s="14" t="s">
        <v>1457</v>
      </c>
      <c r="D832" s="28" t="s">
        <v>3908</v>
      </c>
      <c r="E832" s="43" t="s">
        <v>96</v>
      </c>
      <c r="F832" s="31" t="n">
        <f aca="false">WBS!T197</f>
        <v>3.5</v>
      </c>
      <c r="G832" s="14" t="str">
        <f aca="false">WBS!H197</f>
        <v>P2</v>
      </c>
      <c r="H832" s="14" t="str">
        <f aca="false">WBS!G197</f>
        <v>Must</v>
      </c>
      <c r="I832" s="6" t="s">
        <v>3909</v>
      </c>
      <c r="J832" s="14"/>
      <c r="K832" s="6"/>
      <c r="L832" s="41" t="s">
        <v>2065</v>
      </c>
    </row>
    <row r="833" customFormat="false" ht="15" hidden="false" customHeight="false" outlineLevel="0" collapsed="false">
      <c r="A833" s="14" t="s">
        <v>3910</v>
      </c>
      <c r="B833" s="14" t="s">
        <v>1502</v>
      </c>
      <c r="C833" s="14" t="s">
        <v>1457</v>
      </c>
      <c r="D833" s="28" t="s">
        <v>3911</v>
      </c>
      <c r="E833" s="40" t="s">
        <v>91</v>
      </c>
      <c r="F833" s="31" t="n">
        <f aca="false">WBS!R198</f>
        <v>1.2</v>
      </c>
      <c r="G833" s="14" t="str">
        <f aca="false">WBS!H198</f>
        <v>P2</v>
      </c>
      <c r="H833" s="14" t="str">
        <f aca="false">WBS!G198</f>
        <v>Must</v>
      </c>
      <c r="I833" s="6" t="s">
        <v>1494</v>
      </c>
      <c r="J833" s="14"/>
      <c r="K833" s="6"/>
      <c r="L833" s="41" t="s">
        <v>2065</v>
      </c>
    </row>
    <row r="834" customFormat="false" ht="15" hidden="false" customHeight="false" outlineLevel="0" collapsed="false">
      <c r="A834" s="14" t="s">
        <v>3912</v>
      </c>
      <c r="B834" s="14" t="s">
        <v>1502</v>
      </c>
      <c r="C834" s="14" t="s">
        <v>1457</v>
      </c>
      <c r="D834" s="28" t="s">
        <v>3913</v>
      </c>
      <c r="E834" s="42" t="s">
        <v>2068</v>
      </c>
      <c r="F834" s="31" t="n">
        <f aca="false">WBS!P198</f>
        <v>5</v>
      </c>
      <c r="G834" s="14" t="str">
        <f aca="false">WBS!H198</f>
        <v>P2</v>
      </c>
      <c r="H834" s="14" t="str">
        <f aca="false">WBS!G198</f>
        <v>Must</v>
      </c>
      <c r="I834" s="6" t="s">
        <v>3910</v>
      </c>
      <c r="J834" s="14"/>
      <c r="K834" s="6"/>
      <c r="L834" s="41" t="s">
        <v>2065</v>
      </c>
    </row>
    <row r="835" customFormat="false" ht="15" hidden="false" customHeight="false" outlineLevel="0" collapsed="false">
      <c r="A835" s="14" t="s">
        <v>3914</v>
      </c>
      <c r="B835" s="14" t="s">
        <v>1502</v>
      </c>
      <c r="C835" s="14" t="s">
        <v>1457</v>
      </c>
      <c r="D835" s="28" t="s">
        <v>3915</v>
      </c>
      <c r="E835" s="22" t="s">
        <v>2071</v>
      </c>
      <c r="F835" s="31" t="n">
        <f aca="false">WBS!Q198</f>
        <v>5</v>
      </c>
      <c r="G835" s="14" t="str">
        <f aca="false">WBS!H198</f>
        <v>P2</v>
      </c>
      <c r="H835" s="14" t="str">
        <f aca="false">WBS!G198</f>
        <v>Must</v>
      </c>
      <c r="I835" s="6" t="s">
        <v>3910</v>
      </c>
      <c r="J835" s="14"/>
      <c r="K835" s="6"/>
      <c r="L835" s="41" t="s">
        <v>2065</v>
      </c>
    </row>
    <row r="836" customFormat="false" ht="15" hidden="false" customHeight="false" outlineLevel="0" collapsed="false">
      <c r="A836" s="14" t="s">
        <v>3916</v>
      </c>
      <c r="B836" s="14" t="s">
        <v>1502</v>
      </c>
      <c r="C836" s="14" t="s">
        <v>1457</v>
      </c>
      <c r="D836" s="28" t="s">
        <v>3917</v>
      </c>
      <c r="E836" s="43" t="s">
        <v>96</v>
      </c>
      <c r="F836" s="31" t="n">
        <f aca="false">WBS!T198</f>
        <v>3.5</v>
      </c>
      <c r="G836" s="14" t="str">
        <f aca="false">WBS!H198</f>
        <v>P2</v>
      </c>
      <c r="H836" s="14" t="str">
        <f aca="false">WBS!G198</f>
        <v>Must</v>
      </c>
      <c r="I836" s="6" t="s">
        <v>3918</v>
      </c>
      <c r="J836" s="14"/>
      <c r="K836" s="6"/>
      <c r="L836" s="41" t="s">
        <v>2065</v>
      </c>
    </row>
    <row r="837" customFormat="false" ht="15" hidden="false" customHeight="false" outlineLevel="0" collapsed="false">
      <c r="A837" s="14" t="s">
        <v>3919</v>
      </c>
      <c r="B837" s="14" t="s">
        <v>1509</v>
      </c>
      <c r="C837" s="14" t="s">
        <v>1457</v>
      </c>
      <c r="D837" s="28" t="s">
        <v>3920</v>
      </c>
      <c r="E837" s="40" t="s">
        <v>91</v>
      </c>
      <c r="F837" s="31" t="n">
        <f aca="false">WBS!R199</f>
        <v>1.2</v>
      </c>
      <c r="G837" s="14" t="str">
        <f aca="false">WBS!H199</f>
        <v>P2</v>
      </c>
      <c r="H837" s="14" t="str">
        <f aca="false">WBS!G199</f>
        <v>Must</v>
      </c>
      <c r="I837" s="6" t="s">
        <v>1515</v>
      </c>
      <c r="J837" s="14"/>
      <c r="K837" s="6"/>
      <c r="L837" s="41" t="s">
        <v>2065</v>
      </c>
    </row>
    <row r="838" customFormat="false" ht="15" hidden="false" customHeight="false" outlineLevel="0" collapsed="false">
      <c r="A838" s="14" t="s">
        <v>3921</v>
      </c>
      <c r="B838" s="14" t="s">
        <v>1509</v>
      </c>
      <c r="C838" s="14" t="s">
        <v>1457</v>
      </c>
      <c r="D838" s="28" t="s">
        <v>3922</v>
      </c>
      <c r="E838" s="37" t="s">
        <v>128</v>
      </c>
      <c r="F838" s="31" t="n">
        <f aca="false">WBS!S199</f>
        <v>2</v>
      </c>
      <c r="G838" s="14" t="str">
        <f aca="false">WBS!H199</f>
        <v>P2</v>
      </c>
      <c r="H838" s="14" t="str">
        <f aca="false">WBS!G199</f>
        <v>Must</v>
      </c>
      <c r="I838" s="6" t="s">
        <v>3919</v>
      </c>
      <c r="J838" s="14"/>
      <c r="K838" s="6"/>
      <c r="L838" s="41" t="s">
        <v>2065</v>
      </c>
    </row>
    <row r="839" customFormat="false" ht="15" hidden="false" customHeight="false" outlineLevel="0" collapsed="false">
      <c r="A839" s="14" t="s">
        <v>3923</v>
      </c>
      <c r="B839" s="14" t="s">
        <v>1509</v>
      </c>
      <c r="C839" s="14" t="s">
        <v>1457</v>
      </c>
      <c r="D839" s="28" t="s">
        <v>3924</v>
      </c>
      <c r="E839" s="42" t="s">
        <v>2068</v>
      </c>
      <c r="F839" s="31" t="n">
        <f aca="false">WBS!P199</f>
        <v>5</v>
      </c>
      <c r="G839" s="14" t="str">
        <f aca="false">WBS!H199</f>
        <v>P2</v>
      </c>
      <c r="H839" s="14" t="str">
        <f aca="false">WBS!G199</f>
        <v>Must</v>
      </c>
      <c r="I839" s="6" t="s">
        <v>3919</v>
      </c>
      <c r="J839" s="14"/>
      <c r="K839" s="6"/>
      <c r="L839" s="41" t="s">
        <v>2065</v>
      </c>
    </row>
    <row r="840" customFormat="false" ht="15" hidden="false" customHeight="false" outlineLevel="0" collapsed="false">
      <c r="A840" s="14" t="s">
        <v>3925</v>
      </c>
      <c r="B840" s="14" t="s">
        <v>1509</v>
      </c>
      <c r="C840" s="14" t="s">
        <v>1457</v>
      </c>
      <c r="D840" s="28" t="s">
        <v>3926</v>
      </c>
      <c r="E840" s="22" t="s">
        <v>2071</v>
      </c>
      <c r="F840" s="31" t="n">
        <f aca="false">WBS!Q199</f>
        <v>5</v>
      </c>
      <c r="G840" s="14" t="str">
        <f aca="false">WBS!H199</f>
        <v>P2</v>
      </c>
      <c r="H840" s="14" t="str">
        <f aca="false">WBS!G199</f>
        <v>Must</v>
      </c>
      <c r="I840" s="6" t="s">
        <v>3921</v>
      </c>
      <c r="J840" s="14"/>
      <c r="K840" s="6"/>
      <c r="L840" s="41" t="s">
        <v>2065</v>
      </c>
    </row>
    <row r="841" customFormat="false" ht="15" hidden="false" customHeight="false" outlineLevel="0" collapsed="false">
      <c r="A841" s="14" t="s">
        <v>3927</v>
      </c>
      <c r="B841" s="14" t="s">
        <v>1509</v>
      </c>
      <c r="C841" s="14" t="s">
        <v>1457</v>
      </c>
      <c r="D841" s="28" t="s">
        <v>3928</v>
      </c>
      <c r="E841" s="43" t="s">
        <v>96</v>
      </c>
      <c r="F841" s="31" t="n">
        <f aca="false">WBS!T199</f>
        <v>3.5</v>
      </c>
      <c r="G841" s="14" t="str">
        <f aca="false">WBS!H199</f>
        <v>P2</v>
      </c>
      <c r="H841" s="14" t="str">
        <f aca="false">WBS!G199</f>
        <v>Must</v>
      </c>
      <c r="I841" s="6" t="s">
        <v>3929</v>
      </c>
      <c r="J841" s="14"/>
      <c r="K841" s="6"/>
      <c r="L841" s="41" t="s">
        <v>2065</v>
      </c>
    </row>
    <row r="842" customFormat="false" ht="15" hidden="false" customHeight="false" outlineLevel="0" collapsed="false">
      <c r="A842" s="14" t="s">
        <v>3930</v>
      </c>
      <c r="B842" s="14" t="s">
        <v>1516</v>
      </c>
      <c r="C842" s="14" t="s">
        <v>1457</v>
      </c>
      <c r="D842" s="28" t="s">
        <v>3931</v>
      </c>
      <c r="E842" s="40" t="s">
        <v>91</v>
      </c>
      <c r="F842" s="31" t="n">
        <f aca="false">WBS!R200</f>
        <v>0.7</v>
      </c>
      <c r="G842" s="14" t="str">
        <f aca="false">WBS!H200</f>
        <v>P2</v>
      </c>
      <c r="H842" s="14" t="str">
        <f aca="false">WBS!G200</f>
        <v>Must</v>
      </c>
      <c r="I842" s="6" t="s">
        <v>192</v>
      </c>
      <c r="J842" s="14"/>
      <c r="K842" s="6"/>
      <c r="L842" s="41" t="s">
        <v>2065</v>
      </c>
    </row>
    <row r="843" customFormat="false" ht="15" hidden="false" customHeight="false" outlineLevel="0" collapsed="false">
      <c r="A843" s="14" t="s">
        <v>3932</v>
      </c>
      <c r="B843" s="14" t="s">
        <v>1516</v>
      </c>
      <c r="C843" s="14" t="s">
        <v>1457</v>
      </c>
      <c r="D843" s="28" t="s">
        <v>3933</v>
      </c>
      <c r="E843" s="42" t="s">
        <v>2068</v>
      </c>
      <c r="F843" s="31" t="n">
        <f aca="false">WBS!P200</f>
        <v>3</v>
      </c>
      <c r="G843" s="14" t="str">
        <f aca="false">WBS!H200</f>
        <v>P2</v>
      </c>
      <c r="H843" s="14" t="str">
        <f aca="false">WBS!G200</f>
        <v>Must</v>
      </c>
      <c r="I843" s="6" t="s">
        <v>3930</v>
      </c>
      <c r="J843" s="14"/>
      <c r="K843" s="6"/>
      <c r="L843" s="41" t="s">
        <v>2065</v>
      </c>
    </row>
    <row r="844" customFormat="false" ht="15" hidden="false" customHeight="false" outlineLevel="0" collapsed="false">
      <c r="A844" s="14" t="s">
        <v>3934</v>
      </c>
      <c r="B844" s="14" t="s">
        <v>1516</v>
      </c>
      <c r="C844" s="14" t="s">
        <v>1457</v>
      </c>
      <c r="D844" s="28" t="s">
        <v>3935</v>
      </c>
      <c r="E844" s="22" t="s">
        <v>2071</v>
      </c>
      <c r="F844" s="31" t="n">
        <f aca="false">WBS!Q200</f>
        <v>3</v>
      </c>
      <c r="G844" s="14" t="str">
        <f aca="false">WBS!H200</f>
        <v>P2</v>
      </c>
      <c r="H844" s="14" t="str">
        <f aca="false">WBS!G200</f>
        <v>Must</v>
      </c>
      <c r="I844" s="6" t="s">
        <v>3930</v>
      </c>
      <c r="J844" s="14"/>
      <c r="K844" s="6"/>
      <c r="L844" s="41" t="s">
        <v>2065</v>
      </c>
    </row>
    <row r="845" customFormat="false" ht="15" hidden="false" customHeight="false" outlineLevel="0" collapsed="false">
      <c r="A845" s="14" t="s">
        <v>3936</v>
      </c>
      <c r="B845" s="14" t="s">
        <v>1516</v>
      </c>
      <c r="C845" s="14" t="s">
        <v>1457</v>
      </c>
      <c r="D845" s="28" t="s">
        <v>3937</v>
      </c>
      <c r="E845" s="43" t="s">
        <v>96</v>
      </c>
      <c r="F845" s="31" t="n">
        <f aca="false">WBS!T200</f>
        <v>2.1</v>
      </c>
      <c r="G845" s="14" t="str">
        <f aca="false">WBS!H200</f>
        <v>P2</v>
      </c>
      <c r="H845" s="14" t="str">
        <f aca="false">WBS!G200</f>
        <v>Must</v>
      </c>
      <c r="I845" s="6" t="s">
        <v>3938</v>
      </c>
      <c r="J845" s="14"/>
      <c r="K845" s="6"/>
      <c r="L845" s="41" t="s">
        <v>2065</v>
      </c>
    </row>
    <row r="846" customFormat="false" ht="15" hidden="false" customHeight="false" outlineLevel="0" collapsed="false">
      <c r="A846" s="14" t="s">
        <v>3939</v>
      </c>
      <c r="B846" s="14" t="s">
        <v>1523</v>
      </c>
      <c r="C846" s="14" t="s">
        <v>1457</v>
      </c>
      <c r="D846" s="28" t="s">
        <v>3940</v>
      </c>
      <c r="E846" s="40" t="s">
        <v>91</v>
      </c>
      <c r="F846" s="31" t="n">
        <f aca="false">WBS!R201</f>
        <v>1</v>
      </c>
      <c r="G846" s="14" t="str">
        <f aca="false">WBS!H201</f>
        <v>P2</v>
      </c>
      <c r="H846" s="14" t="str">
        <f aca="false">WBS!G201</f>
        <v>Must</v>
      </c>
      <c r="I846" s="6" t="s">
        <v>1456</v>
      </c>
      <c r="J846" s="14"/>
      <c r="K846" s="6"/>
      <c r="L846" s="41" t="s">
        <v>2065</v>
      </c>
    </row>
    <row r="847" customFormat="false" ht="15" hidden="false" customHeight="false" outlineLevel="0" collapsed="false">
      <c r="A847" s="14" t="s">
        <v>3941</v>
      </c>
      <c r="B847" s="14" t="s">
        <v>1523</v>
      </c>
      <c r="C847" s="14" t="s">
        <v>1457</v>
      </c>
      <c r="D847" s="28" t="s">
        <v>3942</v>
      </c>
      <c r="E847" s="37" t="s">
        <v>128</v>
      </c>
      <c r="F847" s="31" t="n">
        <f aca="false">WBS!S201</f>
        <v>2</v>
      </c>
      <c r="G847" s="14" t="str">
        <f aca="false">WBS!H201</f>
        <v>P2</v>
      </c>
      <c r="H847" s="14" t="str">
        <f aca="false">WBS!G201</f>
        <v>Must</v>
      </c>
      <c r="I847" s="6" t="s">
        <v>3939</v>
      </c>
      <c r="J847" s="14"/>
      <c r="K847" s="6"/>
      <c r="L847" s="41" t="s">
        <v>2065</v>
      </c>
    </row>
    <row r="848" customFormat="false" ht="15" hidden="false" customHeight="false" outlineLevel="0" collapsed="false">
      <c r="A848" s="14" t="s">
        <v>3943</v>
      </c>
      <c r="B848" s="14" t="s">
        <v>1523</v>
      </c>
      <c r="C848" s="14" t="s">
        <v>1457</v>
      </c>
      <c r="D848" s="28" t="s">
        <v>3944</v>
      </c>
      <c r="E848" s="42" t="s">
        <v>2068</v>
      </c>
      <c r="F848" s="31" t="n">
        <f aca="false">WBS!P201</f>
        <v>3</v>
      </c>
      <c r="G848" s="14" t="str">
        <f aca="false">WBS!H201</f>
        <v>P2</v>
      </c>
      <c r="H848" s="14" t="str">
        <f aca="false">WBS!G201</f>
        <v>Must</v>
      </c>
      <c r="I848" s="6" t="s">
        <v>3939</v>
      </c>
      <c r="J848" s="14"/>
      <c r="K848" s="6"/>
      <c r="L848" s="41" t="s">
        <v>2065</v>
      </c>
    </row>
    <row r="849" customFormat="false" ht="15" hidden="false" customHeight="false" outlineLevel="0" collapsed="false">
      <c r="A849" s="14" t="s">
        <v>3945</v>
      </c>
      <c r="B849" s="14" t="s">
        <v>1523</v>
      </c>
      <c r="C849" s="14" t="s">
        <v>1457</v>
      </c>
      <c r="D849" s="28" t="s">
        <v>3946</v>
      </c>
      <c r="E849" s="22" t="s">
        <v>2071</v>
      </c>
      <c r="F849" s="31" t="n">
        <f aca="false">WBS!Q201</f>
        <v>5</v>
      </c>
      <c r="G849" s="14" t="str">
        <f aca="false">WBS!H201</f>
        <v>P2</v>
      </c>
      <c r="H849" s="14" t="str">
        <f aca="false">WBS!G201</f>
        <v>Must</v>
      </c>
      <c r="I849" s="6" t="s">
        <v>3941</v>
      </c>
      <c r="J849" s="14"/>
      <c r="K849" s="6"/>
      <c r="L849" s="41" t="s">
        <v>2065</v>
      </c>
    </row>
    <row r="850" customFormat="false" ht="15" hidden="false" customHeight="false" outlineLevel="0" collapsed="false">
      <c r="A850" s="14" t="s">
        <v>3947</v>
      </c>
      <c r="B850" s="14" t="s">
        <v>1523</v>
      </c>
      <c r="C850" s="14" t="s">
        <v>1457</v>
      </c>
      <c r="D850" s="28" t="s">
        <v>3948</v>
      </c>
      <c r="E850" s="43" t="s">
        <v>96</v>
      </c>
      <c r="F850" s="31" t="n">
        <f aca="false">WBS!T201</f>
        <v>2.8</v>
      </c>
      <c r="G850" s="14" t="str">
        <f aca="false">WBS!H201</f>
        <v>P2</v>
      </c>
      <c r="H850" s="14" t="str">
        <f aca="false">WBS!G201</f>
        <v>Must</v>
      </c>
      <c r="I850" s="6" t="s">
        <v>3949</v>
      </c>
      <c r="J850" s="14"/>
      <c r="K850" s="6"/>
      <c r="L850" s="41" t="s">
        <v>2065</v>
      </c>
    </row>
    <row r="851" customFormat="false" ht="15" hidden="false" customHeight="false" outlineLevel="0" collapsed="false">
      <c r="A851" s="14" t="s">
        <v>3950</v>
      </c>
      <c r="B851" s="14" t="s">
        <v>1529</v>
      </c>
      <c r="C851" s="14" t="s">
        <v>1457</v>
      </c>
      <c r="D851" s="28" t="s">
        <v>3951</v>
      </c>
      <c r="E851" s="40" t="s">
        <v>91</v>
      </c>
      <c r="F851" s="31" t="n">
        <f aca="false">WBS!R202</f>
        <v>0.5</v>
      </c>
      <c r="G851" s="14" t="str">
        <f aca="false">WBS!H202</f>
        <v>P2</v>
      </c>
      <c r="H851" s="14" t="str">
        <f aca="false">WBS!G202</f>
        <v>Must</v>
      </c>
      <c r="I851" s="6" t="s">
        <v>1535</v>
      </c>
      <c r="J851" s="14"/>
      <c r="K851" s="6"/>
      <c r="L851" s="41" t="s">
        <v>2065</v>
      </c>
    </row>
    <row r="852" customFormat="false" ht="15" hidden="false" customHeight="false" outlineLevel="0" collapsed="false">
      <c r="A852" s="14" t="s">
        <v>3952</v>
      </c>
      <c r="B852" s="14" t="s">
        <v>1529</v>
      </c>
      <c r="C852" s="14" t="s">
        <v>1457</v>
      </c>
      <c r="D852" s="28" t="s">
        <v>3953</v>
      </c>
      <c r="E852" s="42" t="s">
        <v>2068</v>
      </c>
      <c r="F852" s="31" t="n">
        <f aca="false">WBS!P202</f>
        <v>1</v>
      </c>
      <c r="G852" s="14" t="str">
        <f aca="false">WBS!H202</f>
        <v>P2</v>
      </c>
      <c r="H852" s="14" t="str">
        <f aca="false">WBS!G202</f>
        <v>Must</v>
      </c>
      <c r="I852" s="6" t="s">
        <v>3950</v>
      </c>
      <c r="J852" s="14"/>
      <c r="K852" s="6"/>
      <c r="L852" s="41" t="s">
        <v>2065</v>
      </c>
    </row>
    <row r="853" customFormat="false" ht="15" hidden="false" customHeight="false" outlineLevel="0" collapsed="false">
      <c r="A853" s="14" t="s">
        <v>3954</v>
      </c>
      <c r="B853" s="14" t="s">
        <v>1529</v>
      </c>
      <c r="C853" s="14" t="s">
        <v>1457</v>
      </c>
      <c r="D853" s="28" t="s">
        <v>3955</v>
      </c>
      <c r="E853" s="22" t="s">
        <v>2071</v>
      </c>
      <c r="F853" s="31" t="n">
        <f aca="false">WBS!Q202</f>
        <v>3</v>
      </c>
      <c r="G853" s="14" t="str">
        <f aca="false">WBS!H202</f>
        <v>P2</v>
      </c>
      <c r="H853" s="14" t="str">
        <f aca="false">WBS!G202</f>
        <v>Must</v>
      </c>
      <c r="I853" s="6" t="s">
        <v>3950</v>
      </c>
      <c r="J853" s="14"/>
      <c r="K853" s="6"/>
      <c r="L853" s="41" t="s">
        <v>2065</v>
      </c>
    </row>
    <row r="854" customFormat="false" ht="15" hidden="false" customHeight="false" outlineLevel="0" collapsed="false">
      <c r="A854" s="14" t="s">
        <v>3956</v>
      </c>
      <c r="B854" s="14" t="s">
        <v>1529</v>
      </c>
      <c r="C854" s="14" t="s">
        <v>1457</v>
      </c>
      <c r="D854" s="28" t="s">
        <v>3957</v>
      </c>
      <c r="E854" s="43" t="s">
        <v>96</v>
      </c>
      <c r="F854" s="31" t="n">
        <f aca="false">WBS!T202</f>
        <v>1.4</v>
      </c>
      <c r="G854" s="14" t="str">
        <f aca="false">WBS!H202</f>
        <v>P2</v>
      </c>
      <c r="H854" s="14" t="str">
        <f aca="false">WBS!G202</f>
        <v>Must</v>
      </c>
      <c r="I854" s="6" t="s">
        <v>3958</v>
      </c>
      <c r="J854" s="14"/>
      <c r="K854" s="6"/>
      <c r="L854" s="41" t="s">
        <v>2065</v>
      </c>
    </row>
    <row r="855" customFormat="false" ht="15" hidden="false" customHeight="false" outlineLevel="0" collapsed="false">
      <c r="A855" s="14" t="s">
        <v>3959</v>
      </c>
      <c r="B855" s="14" t="s">
        <v>1536</v>
      </c>
      <c r="C855" s="14" t="s">
        <v>1457</v>
      </c>
      <c r="D855" s="28" t="s">
        <v>3960</v>
      </c>
      <c r="E855" s="40" t="s">
        <v>91</v>
      </c>
      <c r="F855" s="31" t="n">
        <f aca="false">WBS!R203</f>
        <v>0.5</v>
      </c>
      <c r="G855" s="14" t="str">
        <f aca="false">WBS!H203</f>
        <v>P2</v>
      </c>
      <c r="H855" s="14" t="str">
        <f aca="false">WBS!G203</f>
        <v>Must</v>
      </c>
      <c r="I855" s="6" t="s">
        <v>241</v>
      </c>
      <c r="J855" s="14"/>
      <c r="K855" s="6"/>
      <c r="L855" s="41" t="s">
        <v>2065</v>
      </c>
    </row>
    <row r="856" customFormat="false" ht="15" hidden="false" customHeight="false" outlineLevel="0" collapsed="false">
      <c r="A856" s="14" t="s">
        <v>3961</v>
      </c>
      <c r="B856" s="14" t="s">
        <v>1536</v>
      </c>
      <c r="C856" s="14" t="s">
        <v>1457</v>
      </c>
      <c r="D856" s="28" t="s">
        <v>3962</v>
      </c>
      <c r="E856" s="42" t="s">
        <v>2068</v>
      </c>
      <c r="F856" s="31" t="n">
        <f aca="false">WBS!P203</f>
        <v>3</v>
      </c>
      <c r="G856" s="14" t="str">
        <f aca="false">WBS!H203</f>
        <v>P2</v>
      </c>
      <c r="H856" s="14" t="str">
        <f aca="false">WBS!G203</f>
        <v>Must</v>
      </c>
      <c r="I856" s="6" t="s">
        <v>3959</v>
      </c>
      <c r="J856" s="14"/>
      <c r="K856" s="6"/>
      <c r="L856" s="41" t="s">
        <v>2065</v>
      </c>
    </row>
    <row r="857" customFormat="false" ht="15" hidden="false" customHeight="false" outlineLevel="0" collapsed="false">
      <c r="A857" s="14" t="s">
        <v>3963</v>
      </c>
      <c r="B857" s="14" t="s">
        <v>1536</v>
      </c>
      <c r="C857" s="14" t="s">
        <v>1457</v>
      </c>
      <c r="D857" s="28" t="s">
        <v>3964</v>
      </c>
      <c r="E857" s="22" t="s">
        <v>2071</v>
      </c>
      <c r="F857" s="31" t="n">
        <f aca="false">WBS!Q203</f>
        <v>1</v>
      </c>
      <c r="G857" s="14" t="str">
        <f aca="false">WBS!H203</f>
        <v>P2</v>
      </c>
      <c r="H857" s="14" t="str">
        <f aca="false">WBS!G203</f>
        <v>Must</v>
      </c>
      <c r="I857" s="6" t="s">
        <v>3959</v>
      </c>
      <c r="J857" s="14"/>
      <c r="K857" s="6"/>
      <c r="L857" s="41" t="s">
        <v>2065</v>
      </c>
    </row>
    <row r="858" customFormat="false" ht="15" hidden="false" customHeight="false" outlineLevel="0" collapsed="false">
      <c r="A858" s="14" t="s">
        <v>3965</v>
      </c>
      <c r="B858" s="14" t="s">
        <v>1536</v>
      </c>
      <c r="C858" s="14" t="s">
        <v>1457</v>
      </c>
      <c r="D858" s="28" t="s">
        <v>3966</v>
      </c>
      <c r="E858" s="43" t="s">
        <v>96</v>
      </c>
      <c r="F858" s="31" t="n">
        <f aca="false">WBS!T203</f>
        <v>1.4</v>
      </c>
      <c r="G858" s="14" t="str">
        <f aca="false">WBS!H203</f>
        <v>P2</v>
      </c>
      <c r="H858" s="14" t="str">
        <f aca="false">WBS!G203</f>
        <v>Must</v>
      </c>
      <c r="I858" s="6" t="s">
        <v>3967</v>
      </c>
      <c r="J858" s="14"/>
      <c r="K858" s="6"/>
      <c r="L858" s="41" t="s">
        <v>2065</v>
      </c>
    </row>
    <row r="859" customFormat="false" ht="15" hidden="false" customHeight="false" outlineLevel="0" collapsed="false">
      <c r="A859" s="14" t="s">
        <v>3968</v>
      </c>
      <c r="B859" s="14" t="s">
        <v>1542</v>
      </c>
      <c r="C859" s="14" t="s">
        <v>1457</v>
      </c>
      <c r="D859" s="28" t="s">
        <v>3969</v>
      </c>
      <c r="E859" s="40" t="s">
        <v>91</v>
      </c>
      <c r="F859" s="31" t="n">
        <f aca="false">WBS!R204</f>
        <v>0.5</v>
      </c>
      <c r="G859" s="14" t="str">
        <f aca="false">WBS!H204</f>
        <v>P3</v>
      </c>
      <c r="H859" s="14" t="str">
        <f aca="false">WBS!G204</f>
        <v>Should</v>
      </c>
      <c r="I859" s="6" t="s">
        <v>1548</v>
      </c>
      <c r="J859" s="14"/>
      <c r="K859" s="6"/>
      <c r="L859" s="41" t="s">
        <v>2065</v>
      </c>
    </row>
    <row r="860" customFormat="false" ht="15" hidden="false" customHeight="false" outlineLevel="0" collapsed="false">
      <c r="A860" s="14" t="s">
        <v>3970</v>
      </c>
      <c r="B860" s="14" t="s">
        <v>1542</v>
      </c>
      <c r="C860" s="14" t="s">
        <v>1457</v>
      </c>
      <c r="D860" s="28" t="s">
        <v>3971</v>
      </c>
      <c r="E860" s="42" t="s">
        <v>2068</v>
      </c>
      <c r="F860" s="31" t="n">
        <f aca="false">WBS!P204</f>
        <v>3</v>
      </c>
      <c r="G860" s="14" t="str">
        <f aca="false">WBS!H204</f>
        <v>P3</v>
      </c>
      <c r="H860" s="14" t="str">
        <f aca="false">WBS!G204</f>
        <v>Should</v>
      </c>
      <c r="I860" s="6" t="s">
        <v>3968</v>
      </c>
      <c r="J860" s="14"/>
      <c r="K860" s="6"/>
      <c r="L860" s="41" t="s">
        <v>2065</v>
      </c>
    </row>
    <row r="861" customFormat="false" ht="15" hidden="false" customHeight="false" outlineLevel="0" collapsed="false">
      <c r="A861" s="14" t="s">
        <v>3972</v>
      </c>
      <c r="B861" s="14" t="s">
        <v>1542</v>
      </c>
      <c r="C861" s="14" t="s">
        <v>1457</v>
      </c>
      <c r="D861" s="28" t="s">
        <v>3973</v>
      </c>
      <c r="E861" s="22" t="s">
        <v>2071</v>
      </c>
      <c r="F861" s="31" t="n">
        <f aca="false">WBS!Q204</f>
        <v>1</v>
      </c>
      <c r="G861" s="14" t="str">
        <f aca="false">WBS!H204</f>
        <v>P3</v>
      </c>
      <c r="H861" s="14" t="str">
        <f aca="false">WBS!G204</f>
        <v>Should</v>
      </c>
      <c r="I861" s="6" t="s">
        <v>3968</v>
      </c>
      <c r="J861" s="14"/>
      <c r="K861" s="6"/>
      <c r="L861" s="41" t="s">
        <v>2065</v>
      </c>
    </row>
    <row r="862" customFormat="false" ht="15" hidden="false" customHeight="false" outlineLevel="0" collapsed="false">
      <c r="A862" s="14" t="s">
        <v>3974</v>
      </c>
      <c r="B862" s="14" t="s">
        <v>1542</v>
      </c>
      <c r="C862" s="14" t="s">
        <v>1457</v>
      </c>
      <c r="D862" s="28" t="s">
        <v>3975</v>
      </c>
      <c r="E862" s="43" t="s">
        <v>96</v>
      </c>
      <c r="F862" s="31" t="n">
        <f aca="false">WBS!T204</f>
        <v>1.4</v>
      </c>
      <c r="G862" s="14" t="str">
        <f aca="false">WBS!H204</f>
        <v>P3</v>
      </c>
      <c r="H862" s="14" t="str">
        <f aca="false">WBS!G204</f>
        <v>Should</v>
      </c>
      <c r="I862" s="6" t="s">
        <v>3976</v>
      </c>
      <c r="J862" s="14"/>
      <c r="K862" s="6"/>
      <c r="L862" s="41" t="s">
        <v>2065</v>
      </c>
    </row>
    <row r="863" customFormat="false" ht="15" hidden="false" customHeight="false" outlineLevel="0" collapsed="false">
      <c r="A863" s="14" t="s">
        <v>3977</v>
      </c>
      <c r="B863" s="14" t="s">
        <v>1549</v>
      </c>
      <c r="C863" s="14" t="s">
        <v>1457</v>
      </c>
      <c r="D863" s="28" t="s">
        <v>3978</v>
      </c>
      <c r="E863" s="40" t="s">
        <v>91</v>
      </c>
      <c r="F863" s="31" t="n">
        <f aca="false">WBS!R205</f>
        <v>0.7</v>
      </c>
      <c r="G863" s="14" t="str">
        <f aca="false">WBS!H205</f>
        <v>P3</v>
      </c>
      <c r="H863" s="14" t="str">
        <f aca="false">WBS!G205</f>
        <v>Should</v>
      </c>
      <c r="I863" s="6" t="s">
        <v>1472</v>
      </c>
      <c r="J863" s="14"/>
      <c r="K863" s="6"/>
      <c r="L863" s="41" t="s">
        <v>2065</v>
      </c>
    </row>
    <row r="864" customFormat="false" ht="15" hidden="false" customHeight="false" outlineLevel="0" collapsed="false">
      <c r="A864" s="14" t="s">
        <v>3979</v>
      </c>
      <c r="B864" s="14" t="s">
        <v>1549</v>
      </c>
      <c r="C864" s="14" t="s">
        <v>1457</v>
      </c>
      <c r="D864" s="28" t="s">
        <v>3980</v>
      </c>
      <c r="E864" s="42" t="s">
        <v>2068</v>
      </c>
      <c r="F864" s="31" t="n">
        <f aca="false">WBS!P205</f>
        <v>3</v>
      </c>
      <c r="G864" s="14" t="str">
        <f aca="false">WBS!H205</f>
        <v>P3</v>
      </c>
      <c r="H864" s="14" t="str">
        <f aca="false">WBS!G205</f>
        <v>Should</v>
      </c>
      <c r="I864" s="6" t="s">
        <v>3977</v>
      </c>
      <c r="J864" s="14"/>
      <c r="K864" s="6"/>
      <c r="L864" s="41" t="s">
        <v>2065</v>
      </c>
    </row>
    <row r="865" customFormat="false" ht="15" hidden="false" customHeight="false" outlineLevel="0" collapsed="false">
      <c r="A865" s="14" t="s">
        <v>3981</v>
      </c>
      <c r="B865" s="14" t="s">
        <v>1549</v>
      </c>
      <c r="C865" s="14" t="s">
        <v>1457</v>
      </c>
      <c r="D865" s="28" t="s">
        <v>3982</v>
      </c>
      <c r="E865" s="22" t="s">
        <v>2071</v>
      </c>
      <c r="F865" s="31" t="n">
        <f aca="false">WBS!Q205</f>
        <v>3</v>
      </c>
      <c r="G865" s="14" t="str">
        <f aca="false">WBS!H205</f>
        <v>P3</v>
      </c>
      <c r="H865" s="14" t="str">
        <f aca="false">WBS!G205</f>
        <v>Should</v>
      </c>
      <c r="I865" s="6" t="s">
        <v>3977</v>
      </c>
      <c r="J865" s="14"/>
      <c r="K865" s="6"/>
      <c r="L865" s="41" t="s">
        <v>2065</v>
      </c>
    </row>
    <row r="866" customFormat="false" ht="15" hidden="false" customHeight="false" outlineLevel="0" collapsed="false">
      <c r="A866" s="14" t="s">
        <v>3983</v>
      </c>
      <c r="B866" s="14" t="s">
        <v>1549</v>
      </c>
      <c r="C866" s="14" t="s">
        <v>1457</v>
      </c>
      <c r="D866" s="28" t="s">
        <v>3984</v>
      </c>
      <c r="E866" s="43" t="s">
        <v>96</v>
      </c>
      <c r="F866" s="31" t="n">
        <f aca="false">WBS!T205</f>
        <v>2.1</v>
      </c>
      <c r="G866" s="14" t="str">
        <f aca="false">WBS!H205</f>
        <v>P3</v>
      </c>
      <c r="H866" s="14" t="str">
        <f aca="false">WBS!G205</f>
        <v>Should</v>
      </c>
      <c r="I866" s="6" t="s">
        <v>3985</v>
      </c>
      <c r="J866" s="14"/>
      <c r="K866" s="6"/>
      <c r="L866" s="41" t="s">
        <v>2065</v>
      </c>
    </row>
    <row r="867" customFormat="false" ht="15" hidden="false" customHeight="false" outlineLevel="0" collapsed="false">
      <c r="A867" s="14" t="s">
        <v>3986</v>
      </c>
      <c r="B867" s="14" t="s">
        <v>1555</v>
      </c>
      <c r="C867" s="14" t="s">
        <v>1457</v>
      </c>
      <c r="D867" s="28" t="s">
        <v>3987</v>
      </c>
      <c r="E867" s="40" t="s">
        <v>91</v>
      </c>
      <c r="F867" s="31" t="n">
        <f aca="false">WBS!R206</f>
        <v>0.5</v>
      </c>
      <c r="G867" s="14" t="str">
        <f aca="false">WBS!H206</f>
        <v>P3</v>
      </c>
      <c r="H867" s="14" t="str">
        <f aca="false">WBS!G206</f>
        <v>Should</v>
      </c>
      <c r="I867" s="6" t="s">
        <v>210</v>
      </c>
      <c r="J867" s="14"/>
      <c r="K867" s="6"/>
      <c r="L867" s="41" t="s">
        <v>2065</v>
      </c>
    </row>
    <row r="868" customFormat="false" ht="15" hidden="false" customHeight="false" outlineLevel="0" collapsed="false">
      <c r="A868" s="14" t="s">
        <v>3988</v>
      </c>
      <c r="B868" s="14" t="s">
        <v>1555</v>
      </c>
      <c r="C868" s="14" t="s">
        <v>1457</v>
      </c>
      <c r="D868" s="28" t="s">
        <v>3989</v>
      </c>
      <c r="E868" s="42" t="s">
        <v>2068</v>
      </c>
      <c r="F868" s="31" t="n">
        <f aca="false">WBS!P206</f>
        <v>3</v>
      </c>
      <c r="G868" s="14" t="str">
        <f aca="false">WBS!H206</f>
        <v>P3</v>
      </c>
      <c r="H868" s="14" t="str">
        <f aca="false">WBS!G206</f>
        <v>Should</v>
      </c>
      <c r="I868" s="6" t="s">
        <v>3986</v>
      </c>
      <c r="J868" s="14"/>
      <c r="K868" s="6"/>
      <c r="L868" s="41" t="s">
        <v>2065</v>
      </c>
    </row>
    <row r="869" customFormat="false" ht="15" hidden="false" customHeight="false" outlineLevel="0" collapsed="false">
      <c r="A869" s="14" t="s">
        <v>3990</v>
      </c>
      <c r="B869" s="14" t="s">
        <v>1555</v>
      </c>
      <c r="C869" s="14" t="s">
        <v>1457</v>
      </c>
      <c r="D869" s="28" t="s">
        <v>3991</v>
      </c>
      <c r="E869" s="22" t="s">
        <v>2071</v>
      </c>
      <c r="F869" s="31" t="n">
        <f aca="false">WBS!Q206</f>
        <v>1</v>
      </c>
      <c r="G869" s="14" t="str">
        <f aca="false">WBS!H206</f>
        <v>P3</v>
      </c>
      <c r="H869" s="14" t="str">
        <f aca="false">WBS!G206</f>
        <v>Should</v>
      </c>
      <c r="I869" s="6" t="s">
        <v>3986</v>
      </c>
      <c r="J869" s="14"/>
      <c r="K869" s="6"/>
      <c r="L869" s="41" t="s">
        <v>2065</v>
      </c>
    </row>
    <row r="870" customFormat="false" ht="15" hidden="false" customHeight="false" outlineLevel="0" collapsed="false">
      <c r="A870" s="14" t="s">
        <v>3992</v>
      </c>
      <c r="B870" s="14" t="s">
        <v>1555</v>
      </c>
      <c r="C870" s="14" t="s">
        <v>1457</v>
      </c>
      <c r="D870" s="28" t="s">
        <v>3993</v>
      </c>
      <c r="E870" s="43" t="s">
        <v>96</v>
      </c>
      <c r="F870" s="31" t="n">
        <f aca="false">WBS!T206</f>
        <v>1.4</v>
      </c>
      <c r="G870" s="14" t="str">
        <f aca="false">WBS!H206</f>
        <v>P3</v>
      </c>
      <c r="H870" s="14" t="str">
        <f aca="false">WBS!G206</f>
        <v>Should</v>
      </c>
      <c r="I870" s="6" t="s">
        <v>3994</v>
      </c>
      <c r="J870" s="14"/>
      <c r="K870" s="6"/>
      <c r="L870" s="41" t="s">
        <v>2065</v>
      </c>
    </row>
    <row r="871" customFormat="false" ht="15" hidden="false" customHeight="false" outlineLevel="0" collapsed="false">
      <c r="A871" s="14" t="s">
        <v>3995</v>
      </c>
      <c r="B871" s="14" t="s">
        <v>1562</v>
      </c>
      <c r="C871" s="14" t="s">
        <v>1457</v>
      </c>
      <c r="D871" s="28" t="s">
        <v>3996</v>
      </c>
      <c r="E871" s="40" t="s">
        <v>91</v>
      </c>
      <c r="F871" s="31" t="n">
        <f aca="false">WBS!R207</f>
        <v>0.7</v>
      </c>
      <c r="G871" s="14" t="str">
        <f aca="false">WBS!H207</f>
        <v>P3</v>
      </c>
      <c r="H871" s="14" t="str">
        <f aca="false">WBS!G207</f>
        <v>Should</v>
      </c>
      <c r="I871" s="6" t="s">
        <v>1472</v>
      </c>
      <c r="J871" s="14"/>
      <c r="K871" s="6"/>
      <c r="L871" s="41" t="s">
        <v>2065</v>
      </c>
    </row>
    <row r="872" customFormat="false" ht="15" hidden="false" customHeight="false" outlineLevel="0" collapsed="false">
      <c r="A872" s="14" t="s">
        <v>3997</v>
      </c>
      <c r="B872" s="14" t="s">
        <v>1562</v>
      </c>
      <c r="C872" s="14" t="s">
        <v>1457</v>
      </c>
      <c r="D872" s="28" t="s">
        <v>3998</v>
      </c>
      <c r="E872" s="42" t="s">
        <v>2068</v>
      </c>
      <c r="F872" s="31" t="n">
        <f aca="false">WBS!P207</f>
        <v>3</v>
      </c>
      <c r="G872" s="14" t="str">
        <f aca="false">WBS!H207</f>
        <v>P3</v>
      </c>
      <c r="H872" s="14" t="str">
        <f aca="false">WBS!G207</f>
        <v>Should</v>
      </c>
      <c r="I872" s="6" t="s">
        <v>3995</v>
      </c>
      <c r="J872" s="14"/>
      <c r="K872" s="6"/>
      <c r="L872" s="41" t="s">
        <v>2065</v>
      </c>
    </row>
    <row r="873" customFormat="false" ht="15" hidden="false" customHeight="false" outlineLevel="0" collapsed="false">
      <c r="A873" s="14" t="s">
        <v>3999</v>
      </c>
      <c r="B873" s="14" t="s">
        <v>1562</v>
      </c>
      <c r="C873" s="14" t="s">
        <v>1457</v>
      </c>
      <c r="D873" s="28" t="s">
        <v>4000</v>
      </c>
      <c r="E873" s="22" t="s">
        <v>2071</v>
      </c>
      <c r="F873" s="31" t="n">
        <f aca="false">WBS!Q207</f>
        <v>3</v>
      </c>
      <c r="G873" s="14" t="str">
        <f aca="false">WBS!H207</f>
        <v>P3</v>
      </c>
      <c r="H873" s="14" t="str">
        <f aca="false">WBS!G207</f>
        <v>Should</v>
      </c>
      <c r="I873" s="6" t="s">
        <v>3995</v>
      </c>
      <c r="J873" s="14"/>
      <c r="K873" s="6"/>
      <c r="L873" s="41" t="s">
        <v>2065</v>
      </c>
    </row>
    <row r="874" customFormat="false" ht="15" hidden="false" customHeight="false" outlineLevel="0" collapsed="false">
      <c r="A874" s="14" t="s">
        <v>4001</v>
      </c>
      <c r="B874" s="14" t="s">
        <v>1562</v>
      </c>
      <c r="C874" s="14" t="s">
        <v>1457</v>
      </c>
      <c r="D874" s="28" t="s">
        <v>4002</v>
      </c>
      <c r="E874" s="43" t="s">
        <v>96</v>
      </c>
      <c r="F874" s="31" t="n">
        <f aca="false">WBS!T207</f>
        <v>2.1</v>
      </c>
      <c r="G874" s="14" t="str">
        <f aca="false">WBS!H207</f>
        <v>P3</v>
      </c>
      <c r="H874" s="14" t="str">
        <f aca="false">WBS!G207</f>
        <v>Should</v>
      </c>
      <c r="I874" s="6" t="s">
        <v>4003</v>
      </c>
      <c r="J874" s="14"/>
      <c r="K874" s="6"/>
      <c r="L874" s="41" t="s">
        <v>2065</v>
      </c>
    </row>
    <row r="875" customFormat="false" ht="15" hidden="false" customHeight="false" outlineLevel="0" collapsed="false">
      <c r="A875" s="14" t="s">
        <v>4004</v>
      </c>
      <c r="B875" s="14" t="s">
        <v>1569</v>
      </c>
      <c r="C875" s="14" t="s">
        <v>1457</v>
      </c>
      <c r="D875" s="28" t="s">
        <v>4005</v>
      </c>
      <c r="E875" s="40" t="s">
        <v>91</v>
      </c>
      <c r="F875" s="31" t="n">
        <f aca="false">WBS!R208</f>
        <v>0.7</v>
      </c>
      <c r="G875" s="14" t="str">
        <f aca="false">WBS!H208</f>
        <v>P4</v>
      </c>
      <c r="H875" s="14" t="str">
        <f aca="false">WBS!G208</f>
        <v>Nice-to-have</v>
      </c>
      <c r="I875" s="6" t="s">
        <v>1576</v>
      </c>
      <c r="J875" s="14"/>
      <c r="K875" s="6"/>
      <c r="L875" s="41" t="s">
        <v>2065</v>
      </c>
    </row>
    <row r="876" customFormat="false" ht="15" hidden="false" customHeight="false" outlineLevel="0" collapsed="false">
      <c r="A876" s="14" t="s">
        <v>4006</v>
      </c>
      <c r="B876" s="14" t="s">
        <v>1569</v>
      </c>
      <c r="C876" s="14" t="s">
        <v>1457</v>
      </c>
      <c r="D876" s="28" t="s">
        <v>4007</v>
      </c>
      <c r="E876" s="42" t="s">
        <v>2068</v>
      </c>
      <c r="F876" s="31" t="n">
        <f aca="false">WBS!P208</f>
        <v>3</v>
      </c>
      <c r="G876" s="14" t="str">
        <f aca="false">WBS!H208</f>
        <v>P4</v>
      </c>
      <c r="H876" s="14" t="str">
        <f aca="false">WBS!G208</f>
        <v>Nice-to-have</v>
      </c>
      <c r="I876" s="6" t="s">
        <v>4004</v>
      </c>
      <c r="J876" s="14"/>
      <c r="K876" s="6"/>
      <c r="L876" s="41" t="s">
        <v>2065</v>
      </c>
    </row>
    <row r="877" customFormat="false" ht="15" hidden="false" customHeight="false" outlineLevel="0" collapsed="false">
      <c r="A877" s="14" t="s">
        <v>4008</v>
      </c>
      <c r="B877" s="14" t="s">
        <v>1569</v>
      </c>
      <c r="C877" s="14" t="s">
        <v>1457</v>
      </c>
      <c r="D877" s="28" t="s">
        <v>4009</v>
      </c>
      <c r="E877" s="22" t="s">
        <v>2071</v>
      </c>
      <c r="F877" s="31" t="n">
        <f aca="false">WBS!Q208</f>
        <v>3</v>
      </c>
      <c r="G877" s="14" t="str">
        <f aca="false">WBS!H208</f>
        <v>P4</v>
      </c>
      <c r="H877" s="14" t="str">
        <f aca="false">WBS!G208</f>
        <v>Nice-to-have</v>
      </c>
      <c r="I877" s="6" t="s">
        <v>4004</v>
      </c>
      <c r="J877" s="14"/>
      <c r="K877" s="6"/>
      <c r="L877" s="41" t="s">
        <v>2065</v>
      </c>
    </row>
    <row r="878" customFormat="false" ht="15" hidden="false" customHeight="false" outlineLevel="0" collapsed="false">
      <c r="A878" s="14" t="s">
        <v>4010</v>
      </c>
      <c r="B878" s="14" t="s">
        <v>1569</v>
      </c>
      <c r="C878" s="14" t="s">
        <v>1457</v>
      </c>
      <c r="D878" s="28" t="s">
        <v>4011</v>
      </c>
      <c r="E878" s="43" t="s">
        <v>96</v>
      </c>
      <c r="F878" s="31" t="n">
        <f aca="false">WBS!T208</f>
        <v>2.1</v>
      </c>
      <c r="G878" s="14" t="str">
        <f aca="false">WBS!H208</f>
        <v>P4</v>
      </c>
      <c r="H878" s="14" t="str">
        <f aca="false">WBS!G208</f>
        <v>Nice-to-have</v>
      </c>
      <c r="I878" s="6" t="s">
        <v>4012</v>
      </c>
      <c r="J878" s="14"/>
      <c r="K878" s="6"/>
      <c r="L878" s="41" t="s">
        <v>2065</v>
      </c>
    </row>
    <row r="879" customFormat="false" ht="15" hidden="false" customHeight="false" outlineLevel="0" collapsed="false">
      <c r="A879" s="14" t="s">
        <v>4013</v>
      </c>
      <c r="B879" s="14" t="s">
        <v>1577</v>
      </c>
      <c r="C879" s="14" t="s">
        <v>1457</v>
      </c>
      <c r="D879" s="28" t="s">
        <v>4014</v>
      </c>
      <c r="E879" s="40" t="s">
        <v>91</v>
      </c>
      <c r="F879" s="31" t="n">
        <f aca="false">WBS!R209</f>
        <v>1</v>
      </c>
      <c r="G879" s="14" t="str">
        <f aca="false">WBS!H209</f>
        <v>P4</v>
      </c>
      <c r="H879" s="14" t="str">
        <f aca="false">WBS!G209</f>
        <v>Nice-to-have</v>
      </c>
      <c r="I879" s="6" t="s">
        <v>284</v>
      </c>
      <c r="J879" s="14"/>
      <c r="K879" s="6"/>
      <c r="L879" s="41" t="s">
        <v>2065</v>
      </c>
    </row>
    <row r="880" customFormat="false" ht="15" hidden="false" customHeight="false" outlineLevel="0" collapsed="false">
      <c r="A880" s="14" t="s">
        <v>4015</v>
      </c>
      <c r="B880" s="14" t="s">
        <v>1577</v>
      </c>
      <c r="C880" s="14" t="s">
        <v>1457</v>
      </c>
      <c r="D880" s="28" t="s">
        <v>4016</v>
      </c>
      <c r="E880" s="42" t="s">
        <v>2068</v>
      </c>
      <c r="F880" s="31" t="n">
        <f aca="false">WBS!P209</f>
        <v>5</v>
      </c>
      <c r="G880" s="14" t="str">
        <f aca="false">WBS!H209</f>
        <v>P4</v>
      </c>
      <c r="H880" s="14" t="str">
        <f aca="false">WBS!G209</f>
        <v>Nice-to-have</v>
      </c>
      <c r="I880" s="6" t="s">
        <v>4013</v>
      </c>
      <c r="J880" s="14"/>
      <c r="K880" s="6"/>
      <c r="L880" s="41" t="s">
        <v>2065</v>
      </c>
    </row>
    <row r="881" customFormat="false" ht="15" hidden="false" customHeight="false" outlineLevel="0" collapsed="false">
      <c r="A881" s="14" t="s">
        <v>4017</v>
      </c>
      <c r="B881" s="14" t="s">
        <v>1577</v>
      </c>
      <c r="C881" s="14" t="s">
        <v>1457</v>
      </c>
      <c r="D881" s="28" t="s">
        <v>4018</v>
      </c>
      <c r="E881" s="22" t="s">
        <v>2071</v>
      </c>
      <c r="F881" s="31" t="n">
        <f aca="false">WBS!Q209</f>
        <v>3</v>
      </c>
      <c r="G881" s="14" t="str">
        <f aca="false">WBS!H209</f>
        <v>P4</v>
      </c>
      <c r="H881" s="14" t="str">
        <f aca="false">WBS!G209</f>
        <v>Nice-to-have</v>
      </c>
      <c r="I881" s="6" t="s">
        <v>4013</v>
      </c>
      <c r="J881" s="14"/>
      <c r="K881" s="6"/>
      <c r="L881" s="41" t="s">
        <v>2065</v>
      </c>
    </row>
    <row r="882" customFormat="false" ht="15" hidden="false" customHeight="false" outlineLevel="0" collapsed="false">
      <c r="A882" s="14" t="s">
        <v>4019</v>
      </c>
      <c r="B882" s="14" t="s">
        <v>1577</v>
      </c>
      <c r="C882" s="14" t="s">
        <v>1457</v>
      </c>
      <c r="D882" s="28" t="s">
        <v>4020</v>
      </c>
      <c r="E882" s="43" t="s">
        <v>96</v>
      </c>
      <c r="F882" s="31" t="n">
        <f aca="false">WBS!T209</f>
        <v>2.8</v>
      </c>
      <c r="G882" s="14" t="str">
        <f aca="false">WBS!H209</f>
        <v>P4</v>
      </c>
      <c r="H882" s="14" t="str">
        <f aca="false">WBS!G209</f>
        <v>Nice-to-have</v>
      </c>
      <c r="I882" s="6" t="s">
        <v>4021</v>
      </c>
      <c r="J882" s="14"/>
      <c r="K882" s="6"/>
      <c r="L882" s="41" t="s">
        <v>2065</v>
      </c>
    </row>
    <row r="883" customFormat="false" ht="15" hidden="false" customHeight="false" outlineLevel="0" collapsed="false">
      <c r="A883" s="14" t="s">
        <v>4022</v>
      </c>
      <c r="B883" s="14" t="s">
        <v>1583</v>
      </c>
      <c r="C883" s="14" t="s">
        <v>1584</v>
      </c>
      <c r="D883" s="28" t="s">
        <v>4023</v>
      </c>
      <c r="E883" s="40" t="s">
        <v>91</v>
      </c>
      <c r="F883" s="31" t="n">
        <f aca="false">WBS!R210</f>
        <v>1</v>
      </c>
      <c r="G883" s="14" t="str">
        <f aca="false">WBS!H210</f>
        <v>P2</v>
      </c>
      <c r="H883" s="14" t="str">
        <f aca="false">WBS!G210</f>
        <v>Must</v>
      </c>
      <c r="I883" s="6" t="s">
        <v>1592</v>
      </c>
      <c r="J883" s="14"/>
      <c r="K883" s="6"/>
      <c r="L883" s="41" t="s">
        <v>2065</v>
      </c>
    </row>
    <row r="884" customFormat="false" ht="22.35" hidden="false" customHeight="false" outlineLevel="0" collapsed="false">
      <c r="A884" s="14" t="s">
        <v>4024</v>
      </c>
      <c r="B884" s="14" t="s">
        <v>1583</v>
      </c>
      <c r="C884" s="14" t="s">
        <v>1584</v>
      </c>
      <c r="D884" s="28" t="s">
        <v>4025</v>
      </c>
      <c r="E884" s="42" t="s">
        <v>2068</v>
      </c>
      <c r="F884" s="31" t="n">
        <f aca="false">WBS!P210</f>
        <v>5</v>
      </c>
      <c r="G884" s="14" t="str">
        <f aca="false">WBS!H210</f>
        <v>P2</v>
      </c>
      <c r="H884" s="14" t="str">
        <f aca="false">WBS!G210</f>
        <v>Must</v>
      </c>
      <c r="I884" s="6" t="s">
        <v>4022</v>
      </c>
      <c r="J884" s="14"/>
      <c r="K884" s="6"/>
      <c r="L884" s="41" t="s">
        <v>2065</v>
      </c>
    </row>
    <row r="885" customFormat="false" ht="15" hidden="false" customHeight="false" outlineLevel="0" collapsed="false">
      <c r="A885" s="14" t="s">
        <v>4026</v>
      </c>
      <c r="B885" s="14" t="s">
        <v>1583</v>
      </c>
      <c r="C885" s="14" t="s">
        <v>1584</v>
      </c>
      <c r="D885" s="28" t="s">
        <v>4027</v>
      </c>
      <c r="E885" s="22" t="s">
        <v>2071</v>
      </c>
      <c r="F885" s="31" t="n">
        <f aca="false">WBS!Q210</f>
        <v>3</v>
      </c>
      <c r="G885" s="14" t="str">
        <f aca="false">WBS!H210</f>
        <v>P2</v>
      </c>
      <c r="H885" s="14" t="str">
        <f aca="false">WBS!G210</f>
        <v>Must</v>
      </c>
      <c r="I885" s="6" t="s">
        <v>4022</v>
      </c>
      <c r="J885" s="14"/>
      <c r="K885" s="6"/>
      <c r="L885" s="41" t="s">
        <v>2065</v>
      </c>
    </row>
    <row r="886" customFormat="false" ht="15" hidden="false" customHeight="false" outlineLevel="0" collapsed="false">
      <c r="A886" s="14" t="s">
        <v>4028</v>
      </c>
      <c r="B886" s="14" t="s">
        <v>1583</v>
      </c>
      <c r="C886" s="14" t="s">
        <v>1584</v>
      </c>
      <c r="D886" s="28" t="s">
        <v>4029</v>
      </c>
      <c r="E886" s="43" t="s">
        <v>96</v>
      </c>
      <c r="F886" s="31" t="n">
        <f aca="false">WBS!T210</f>
        <v>2.8</v>
      </c>
      <c r="G886" s="14" t="str">
        <f aca="false">WBS!H210</f>
        <v>P2</v>
      </c>
      <c r="H886" s="14" t="str">
        <f aca="false">WBS!G210</f>
        <v>Must</v>
      </c>
      <c r="I886" s="6" t="s">
        <v>4030</v>
      </c>
      <c r="J886" s="14"/>
      <c r="K886" s="6"/>
      <c r="L886" s="41" t="s">
        <v>2065</v>
      </c>
    </row>
    <row r="887" customFormat="false" ht="15" hidden="false" customHeight="false" outlineLevel="0" collapsed="false">
      <c r="A887" s="14" t="s">
        <v>4031</v>
      </c>
      <c r="B887" s="14" t="s">
        <v>1501</v>
      </c>
      <c r="C887" s="14" t="s">
        <v>1584</v>
      </c>
      <c r="D887" s="28" t="s">
        <v>4032</v>
      </c>
      <c r="E887" s="40" t="s">
        <v>91</v>
      </c>
      <c r="F887" s="31" t="n">
        <f aca="false">WBS!R211</f>
        <v>1.2</v>
      </c>
      <c r="G887" s="14" t="str">
        <f aca="false">WBS!H211</f>
        <v>P2</v>
      </c>
      <c r="H887" s="14" t="str">
        <f aca="false">WBS!G211</f>
        <v>Must</v>
      </c>
      <c r="I887" s="6" t="s">
        <v>137</v>
      </c>
      <c r="J887" s="14"/>
      <c r="K887" s="6"/>
      <c r="L887" s="41" t="s">
        <v>2065</v>
      </c>
    </row>
    <row r="888" customFormat="false" ht="15" hidden="false" customHeight="false" outlineLevel="0" collapsed="false">
      <c r="A888" s="14" t="s">
        <v>4033</v>
      </c>
      <c r="B888" s="14" t="s">
        <v>1501</v>
      </c>
      <c r="C888" s="14" t="s">
        <v>1584</v>
      </c>
      <c r="D888" s="28" t="s">
        <v>4034</v>
      </c>
      <c r="E888" s="37" t="s">
        <v>128</v>
      </c>
      <c r="F888" s="31" t="n">
        <f aca="false">WBS!S211</f>
        <v>2</v>
      </c>
      <c r="G888" s="14" t="str">
        <f aca="false">WBS!H211</f>
        <v>P2</v>
      </c>
      <c r="H888" s="14" t="str">
        <f aca="false">WBS!G211</f>
        <v>Must</v>
      </c>
      <c r="I888" s="6" t="s">
        <v>4031</v>
      </c>
      <c r="J888" s="14"/>
      <c r="K888" s="6"/>
      <c r="L888" s="41" t="s">
        <v>2065</v>
      </c>
    </row>
    <row r="889" customFormat="false" ht="22.35" hidden="false" customHeight="false" outlineLevel="0" collapsed="false">
      <c r="A889" s="14" t="s">
        <v>4035</v>
      </c>
      <c r="B889" s="14" t="s">
        <v>1501</v>
      </c>
      <c r="C889" s="14" t="s">
        <v>1584</v>
      </c>
      <c r="D889" s="28" t="s">
        <v>4036</v>
      </c>
      <c r="E889" s="42" t="s">
        <v>2068</v>
      </c>
      <c r="F889" s="31" t="n">
        <f aca="false">WBS!P211</f>
        <v>5</v>
      </c>
      <c r="G889" s="14" t="str">
        <f aca="false">WBS!H211</f>
        <v>P2</v>
      </c>
      <c r="H889" s="14" t="str">
        <f aca="false">WBS!G211</f>
        <v>Must</v>
      </c>
      <c r="I889" s="6" t="s">
        <v>4031</v>
      </c>
      <c r="J889" s="14"/>
      <c r="K889" s="6"/>
      <c r="L889" s="41" t="s">
        <v>2065</v>
      </c>
    </row>
    <row r="890" customFormat="false" ht="15" hidden="false" customHeight="false" outlineLevel="0" collapsed="false">
      <c r="A890" s="14" t="s">
        <v>4037</v>
      </c>
      <c r="B890" s="14" t="s">
        <v>1501</v>
      </c>
      <c r="C890" s="14" t="s">
        <v>1584</v>
      </c>
      <c r="D890" s="28" t="s">
        <v>4038</v>
      </c>
      <c r="E890" s="22" t="s">
        <v>2071</v>
      </c>
      <c r="F890" s="31" t="n">
        <f aca="false">WBS!Q211</f>
        <v>5</v>
      </c>
      <c r="G890" s="14" t="str">
        <f aca="false">WBS!H211</f>
        <v>P2</v>
      </c>
      <c r="H890" s="14" t="str">
        <f aca="false">WBS!G211</f>
        <v>Must</v>
      </c>
      <c r="I890" s="6" t="s">
        <v>4033</v>
      </c>
      <c r="J890" s="14"/>
      <c r="K890" s="6"/>
      <c r="L890" s="41" t="s">
        <v>2065</v>
      </c>
    </row>
    <row r="891" customFormat="false" ht="15" hidden="false" customHeight="false" outlineLevel="0" collapsed="false">
      <c r="A891" s="14" t="s">
        <v>4039</v>
      </c>
      <c r="B891" s="14" t="s">
        <v>1501</v>
      </c>
      <c r="C891" s="14" t="s">
        <v>1584</v>
      </c>
      <c r="D891" s="28" t="s">
        <v>4040</v>
      </c>
      <c r="E891" s="43" t="s">
        <v>96</v>
      </c>
      <c r="F891" s="31" t="n">
        <f aca="false">WBS!T211</f>
        <v>3.5</v>
      </c>
      <c r="G891" s="14" t="str">
        <f aca="false">WBS!H211</f>
        <v>P2</v>
      </c>
      <c r="H891" s="14" t="str">
        <f aca="false">WBS!G211</f>
        <v>Must</v>
      </c>
      <c r="I891" s="6" t="s">
        <v>4041</v>
      </c>
      <c r="J891" s="14"/>
      <c r="K891" s="6"/>
      <c r="L891" s="41" t="s">
        <v>2065</v>
      </c>
    </row>
    <row r="892" customFormat="false" ht="15" hidden="false" customHeight="false" outlineLevel="0" collapsed="false">
      <c r="A892" s="14" t="s">
        <v>4042</v>
      </c>
      <c r="B892" s="14" t="s">
        <v>1599</v>
      </c>
      <c r="C892" s="14" t="s">
        <v>1584</v>
      </c>
      <c r="D892" s="28" t="s">
        <v>4043</v>
      </c>
      <c r="E892" s="40" t="s">
        <v>91</v>
      </c>
      <c r="F892" s="31" t="n">
        <f aca="false">WBS!R212</f>
        <v>0.5</v>
      </c>
      <c r="G892" s="14" t="str">
        <f aca="false">WBS!H212</f>
        <v>P2</v>
      </c>
      <c r="H892" s="14" t="str">
        <f aca="false">WBS!G212</f>
        <v>Must</v>
      </c>
      <c r="I892" s="6" t="s">
        <v>1456</v>
      </c>
      <c r="J892" s="14"/>
      <c r="K892" s="6"/>
      <c r="L892" s="41" t="s">
        <v>2065</v>
      </c>
    </row>
    <row r="893" customFormat="false" ht="15" hidden="false" customHeight="false" outlineLevel="0" collapsed="false">
      <c r="A893" s="14" t="s">
        <v>4044</v>
      </c>
      <c r="B893" s="14" t="s">
        <v>1599</v>
      </c>
      <c r="C893" s="14" t="s">
        <v>1584</v>
      </c>
      <c r="D893" s="28" t="s">
        <v>4045</v>
      </c>
      <c r="E893" s="42" t="s">
        <v>2068</v>
      </c>
      <c r="F893" s="31" t="n">
        <f aca="false">WBS!P212</f>
        <v>3</v>
      </c>
      <c r="G893" s="14" t="str">
        <f aca="false">WBS!H212</f>
        <v>P2</v>
      </c>
      <c r="H893" s="14" t="str">
        <f aca="false">WBS!G212</f>
        <v>Must</v>
      </c>
      <c r="I893" s="6" t="s">
        <v>4042</v>
      </c>
      <c r="J893" s="14"/>
      <c r="K893" s="6"/>
      <c r="L893" s="41" t="s">
        <v>2065</v>
      </c>
    </row>
    <row r="894" customFormat="false" ht="15" hidden="false" customHeight="false" outlineLevel="0" collapsed="false">
      <c r="A894" s="14" t="s">
        <v>4046</v>
      </c>
      <c r="B894" s="14" t="s">
        <v>1599</v>
      </c>
      <c r="C894" s="14" t="s">
        <v>1584</v>
      </c>
      <c r="D894" s="28" t="s">
        <v>4047</v>
      </c>
      <c r="E894" s="22" t="s">
        <v>2071</v>
      </c>
      <c r="F894" s="31" t="n">
        <f aca="false">WBS!Q212</f>
        <v>1</v>
      </c>
      <c r="G894" s="14" t="str">
        <f aca="false">WBS!H212</f>
        <v>P2</v>
      </c>
      <c r="H894" s="14" t="str">
        <f aca="false">WBS!G212</f>
        <v>Must</v>
      </c>
      <c r="I894" s="6" t="s">
        <v>4042</v>
      </c>
      <c r="J894" s="14"/>
      <c r="K894" s="6"/>
      <c r="L894" s="41" t="s">
        <v>2065</v>
      </c>
    </row>
    <row r="895" customFormat="false" ht="15" hidden="false" customHeight="false" outlineLevel="0" collapsed="false">
      <c r="A895" s="14" t="s">
        <v>4048</v>
      </c>
      <c r="B895" s="14" t="s">
        <v>1599</v>
      </c>
      <c r="C895" s="14" t="s">
        <v>1584</v>
      </c>
      <c r="D895" s="28" t="s">
        <v>4049</v>
      </c>
      <c r="E895" s="43" t="s">
        <v>96</v>
      </c>
      <c r="F895" s="31" t="n">
        <f aca="false">WBS!T212</f>
        <v>1.4</v>
      </c>
      <c r="G895" s="14" t="str">
        <f aca="false">WBS!H212</f>
        <v>P2</v>
      </c>
      <c r="H895" s="14" t="str">
        <f aca="false">WBS!G212</f>
        <v>Must</v>
      </c>
      <c r="I895" s="6" t="s">
        <v>4050</v>
      </c>
      <c r="J895" s="14"/>
      <c r="K895" s="6"/>
      <c r="L895" s="41" t="s">
        <v>2065</v>
      </c>
    </row>
    <row r="896" customFormat="false" ht="15" hidden="false" customHeight="false" outlineLevel="0" collapsed="false">
      <c r="A896" s="14" t="s">
        <v>4051</v>
      </c>
      <c r="B896" s="14" t="s">
        <v>1606</v>
      </c>
      <c r="C896" s="14" t="s">
        <v>1584</v>
      </c>
      <c r="D896" s="28" t="s">
        <v>4052</v>
      </c>
      <c r="E896" s="40" t="s">
        <v>91</v>
      </c>
      <c r="F896" s="31" t="n">
        <f aca="false">WBS!R213</f>
        <v>1.2</v>
      </c>
      <c r="G896" s="14" t="str">
        <f aca="false">WBS!H213</f>
        <v>P2</v>
      </c>
      <c r="H896" s="14" t="str">
        <f aca="false">WBS!G213</f>
        <v>Must</v>
      </c>
      <c r="I896" s="6" t="s">
        <v>1613</v>
      </c>
      <c r="J896" s="14"/>
      <c r="K896" s="6"/>
      <c r="L896" s="41" t="s">
        <v>2065</v>
      </c>
    </row>
    <row r="897" customFormat="false" ht="15" hidden="false" customHeight="false" outlineLevel="0" collapsed="false">
      <c r="A897" s="14" t="s">
        <v>4053</v>
      </c>
      <c r="B897" s="14" t="s">
        <v>1606</v>
      </c>
      <c r="C897" s="14" t="s">
        <v>1584</v>
      </c>
      <c r="D897" s="28" t="s">
        <v>4054</v>
      </c>
      <c r="E897" s="37" t="s">
        <v>128</v>
      </c>
      <c r="F897" s="31" t="n">
        <f aca="false">WBS!S213</f>
        <v>2</v>
      </c>
      <c r="G897" s="14" t="str">
        <f aca="false">WBS!H213</f>
        <v>P2</v>
      </c>
      <c r="H897" s="14" t="str">
        <f aca="false">WBS!G213</f>
        <v>Must</v>
      </c>
      <c r="I897" s="6" t="s">
        <v>4051</v>
      </c>
      <c r="J897" s="14"/>
      <c r="K897" s="6"/>
      <c r="L897" s="41" t="s">
        <v>2065</v>
      </c>
    </row>
    <row r="898" customFormat="false" ht="22.35" hidden="false" customHeight="false" outlineLevel="0" collapsed="false">
      <c r="A898" s="14" t="s">
        <v>4055</v>
      </c>
      <c r="B898" s="14" t="s">
        <v>1606</v>
      </c>
      <c r="C898" s="14" t="s">
        <v>1584</v>
      </c>
      <c r="D898" s="28" t="s">
        <v>4056</v>
      </c>
      <c r="E898" s="42" t="s">
        <v>2068</v>
      </c>
      <c r="F898" s="31" t="n">
        <f aca="false">WBS!P213</f>
        <v>5</v>
      </c>
      <c r="G898" s="14" t="str">
        <f aca="false">WBS!H213</f>
        <v>P2</v>
      </c>
      <c r="H898" s="14" t="str">
        <f aca="false">WBS!G213</f>
        <v>Must</v>
      </c>
      <c r="I898" s="6" t="s">
        <v>4051</v>
      </c>
      <c r="J898" s="14"/>
      <c r="K898" s="6"/>
      <c r="L898" s="41" t="s">
        <v>2065</v>
      </c>
    </row>
    <row r="899" customFormat="false" ht="15" hidden="false" customHeight="false" outlineLevel="0" collapsed="false">
      <c r="A899" s="14" t="s">
        <v>4057</v>
      </c>
      <c r="B899" s="14" t="s">
        <v>1606</v>
      </c>
      <c r="C899" s="14" t="s">
        <v>1584</v>
      </c>
      <c r="D899" s="28" t="s">
        <v>4058</v>
      </c>
      <c r="E899" s="22" t="s">
        <v>2071</v>
      </c>
      <c r="F899" s="31" t="n">
        <f aca="false">WBS!Q213</f>
        <v>5</v>
      </c>
      <c r="G899" s="14" t="str">
        <f aca="false">WBS!H213</f>
        <v>P2</v>
      </c>
      <c r="H899" s="14" t="str">
        <f aca="false">WBS!G213</f>
        <v>Must</v>
      </c>
      <c r="I899" s="6" t="s">
        <v>4053</v>
      </c>
      <c r="J899" s="14"/>
      <c r="K899" s="6"/>
      <c r="L899" s="41" t="s">
        <v>2065</v>
      </c>
    </row>
    <row r="900" customFormat="false" ht="15" hidden="false" customHeight="false" outlineLevel="0" collapsed="false">
      <c r="A900" s="14" t="s">
        <v>4059</v>
      </c>
      <c r="B900" s="14" t="s">
        <v>1606</v>
      </c>
      <c r="C900" s="14" t="s">
        <v>1584</v>
      </c>
      <c r="D900" s="28" t="s">
        <v>4060</v>
      </c>
      <c r="E900" s="43" t="s">
        <v>96</v>
      </c>
      <c r="F900" s="31" t="n">
        <f aca="false">WBS!T213</f>
        <v>3.5</v>
      </c>
      <c r="G900" s="14" t="str">
        <f aca="false">WBS!H213</f>
        <v>P2</v>
      </c>
      <c r="H900" s="14" t="str">
        <f aca="false">WBS!G213</f>
        <v>Must</v>
      </c>
      <c r="I900" s="6" t="s">
        <v>4061</v>
      </c>
      <c r="J900" s="14"/>
      <c r="K900" s="6"/>
      <c r="L900" s="41" t="s">
        <v>2065</v>
      </c>
    </row>
    <row r="901" customFormat="false" ht="15" hidden="false" customHeight="false" outlineLevel="0" collapsed="false">
      <c r="A901" s="14" t="s">
        <v>4062</v>
      </c>
      <c r="B901" s="14" t="s">
        <v>1615</v>
      </c>
      <c r="C901" s="14" t="s">
        <v>1584</v>
      </c>
      <c r="D901" s="28" t="s">
        <v>4063</v>
      </c>
      <c r="E901" s="40" t="s">
        <v>91</v>
      </c>
      <c r="F901" s="31" t="n">
        <f aca="false">WBS!R214</f>
        <v>0.7</v>
      </c>
      <c r="G901" s="14" t="str">
        <f aca="false">WBS!H214</f>
        <v>P2</v>
      </c>
      <c r="H901" s="14" t="str">
        <f aca="false">WBS!G214</f>
        <v>Must</v>
      </c>
      <c r="I901" s="6" t="s">
        <v>1501</v>
      </c>
      <c r="J901" s="14"/>
      <c r="K901" s="6"/>
      <c r="L901" s="41" t="s">
        <v>2065</v>
      </c>
    </row>
    <row r="902" customFormat="false" ht="15" hidden="false" customHeight="false" outlineLevel="0" collapsed="false">
      <c r="A902" s="14" t="s">
        <v>4064</v>
      </c>
      <c r="B902" s="14" t="s">
        <v>1615</v>
      </c>
      <c r="C902" s="14" t="s">
        <v>1584</v>
      </c>
      <c r="D902" s="28" t="s">
        <v>4065</v>
      </c>
      <c r="E902" s="42" t="s">
        <v>2068</v>
      </c>
      <c r="F902" s="31" t="n">
        <f aca="false">WBS!P214</f>
        <v>3</v>
      </c>
      <c r="G902" s="14" t="str">
        <f aca="false">WBS!H214</f>
        <v>P2</v>
      </c>
      <c r="H902" s="14" t="str">
        <f aca="false">WBS!G214</f>
        <v>Must</v>
      </c>
      <c r="I902" s="6" t="s">
        <v>4062</v>
      </c>
      <c r="J902" s="14"/>
      <c r="K902" s="6"/>
      <c r="L902" s="41" t="s">
        <v>2065</v>
      </c>
    </row>
    <row r="903" customFormat="false" ht="15" hidden="false" customHeight="false" outlineLevel="0" collapsed="false">
      <c r="A903" s="14" t="s">
        <v>4066</v>
      </c>
      <c r="B903" s="14" t="s">
        <v>1615</v>
      </c>
      <c r="C903" s="14" t="s">
        <v>1584</v>
      </c>
      <c r="D903" s="28" t="s">
        <v>4067</v>
      </c>
      <c r="E903" s="22" t="s">
        <v>2071</v>
      </c>
      <c r="F903" s="31" t="n">
        <f aca="false">WBS!Q214</f>
        <v>3</v>
      </c>
      <c r="G903" s="14" t="str">
        <f aca="false">WBS!H214</f>
        <v>P2</v>
      </c>
      <c r="H903" s="14" t="str">
        <f aca="false">WBS!G214</f>
        <v>Must</v>
      </c>
      <c r="I903" s="6" t="s">
        <v>4062</v>
      </c>
      <c r="J903" s="14"/>
      <c r="K903" s="6"/>
      <c r="L903" s="41" t="s">
        <v>2065</v>
      </c>
    </row>
    <row r="904" customFormat="false" ht="15" hidden="false" customHeight="false" outlineLevel="0" collapsed="false">
      <c r="A904" s="14" t="s">
        <v>4068</v>
      </c>
      <c r="B904" s="14" t="s">
        <v>1615</v>
      </c>
      <c r="C904" s="14" t="s">
        <v>1584</v>
      </c>
      <c r="D904" s="28" t="s">
        <v>4069</v>
      </c>
      <c r="E904" s="43" t="s">
        <v>96</v>
      </c>
      <c r="F904" s="31" t="n">
        <f aca="false">WBS!T214</f>
        <v>2.1</v>
      </c>
      <c r="G904" s="14" t="str">
        <f aca="false">WBS!H214</f>
        <v>P2</v>
      </c>
      <c r="H904" s="14" t="str">
        <f aca="false">WBS!G214</f>
        <v>Must</v>
      </c>
      <c r="I904" s="6" t="s">
        <v>4070</v>
      </c>
      <c r="J904" s="14"/>
      <c r="K904" s="6"/>
      <c r="L904" s="41" t="s">
        <v>2065</v>
      </c>
    </row>
    <row r="905" customFormat="false" ht="15" hidden="false" customHeight="false" outlineLevel="0" collapsed="false">
      <c r="A905" s="14" t="s">
        <v>4071</v>
      </c>
      <c r="B905" s="14" t="s">
        <v>1622</v>
      </c>
      <c r="C905" s="14" t="s">
        <v>1584</v>
      </c>
      <c r="D905" s="28" t="s">
        <v>4072</v>
      </c>
      <c r="E905" s="40" t="s">
        <v>91</v>
      </c>
      <c r="F905" s="31" t="n">
        <f aca="false">WBS!R215</f>
        <v>0.7</v>
      </c>
      <c r="G905" s="14" t="str">
        <f aca="false">WBS!H215</f>
        <v>P2</v>
      </c>
      <c r="H905" s="14" t="str">
        <f aca="false">WBS!G215</f>
        <v>Must</v>
      </c>
      <c r="I905" s="6" t="s">
        <v>170</v>
      </c>
      <c r="J905" s="14"/>
      <c r="K905" s="6"/>
      <c r="L905" s="41" t="s">
        <v>2065</v>
      </c>
    </row>
    <row r="906" customFormat="false" ht="15" hidden="false" customHeight="false" outlineLevel="0" collapsed="false">
      <c r="A906" s="14" t="s">
        <v>4073</v>
      </c>
      <c r="B906" s="14" t="s">
        <v>1622</v>
      </c>
      <c r="C906" s="14" t="s">
        <v>1584</v>
      </c>
      <c r="D906" s="28" t="s">
        <v>4074</v>
      </c>
      <c r="E906" s="42" t="s">
        <v>2068</v>
      </c>
      <c r="F906" s="31" t="n">
        <f aca="false">WBS!P215</f>
        <v>3</v>
      </c>
      <c r="G906" s="14" t="str">
        <f aca="false">WBS!H215</f>
        <v>P2</v>
      </c>
      <c r="H906" s="14" t="str">
        <f aca="false">WBS!G215</f>
        <v>Must</v>
      </c>
      <c r="I906" s="6" t="s">
        <v>4071</v>
      </c>
      <c r="J906" s="14"/>
      <c r="K906" s="6"/>
      <c r="L906" s="41" t="s">
        <v>2065</v>
      </c>
    </row>
    <row r="907" customFormat="false" ht="15" hidden="false" customHeight="false" outlineLevel="0" collapsed="false">
      <c r="A907" s="14" t="s">
        <v>4075</v>
      </c>
      <c r="B907" s="14" t="s">
        <v>1622</v>
      </c>
      <c r="C907" s="14" t="s">
        <v>1584</v>
      </c>
      <c r="D907" s="28" t="s">
        <v>4076</v>
      </c>
      <c r="E907" s="22" t="s">
        <v>2071</v>
      </c>
      <c r="F907" s="31" t="n">
        <f aca="false">WBS!Q215</f>
        <v>3</v>
      </c>
      <c r="G907" s="14" t="str">
        <f aca="false">WBS!H215</f>
        <v>P2</v>
      </c>
      <c r="H907" s="14" t="str">
        <f aca="false">WBS!G215</f>
        <v>Must</v>
      </c>
      <c r="I907" s="6" t="s">
        <v>4071</v>
      </c>
      <c r="J907" s="14"/>
      <c r="K907" s="6"/>
      <c r="L907" s="41" t="s">
        <v>2065</v>
      </c>
    </row>
    <row r="908" customFormat="false" ht="15" hidden="false" customHeight="false" outlineLevel="0" collapsed="false">
      <c r="A908" s="14" t="s">
        <v>4077</v>
      </c>
      <c r="B908" s="14" t="s">
        <v>1622</v>
      </c>
      <c r="C908" s="14" t="s">
        <v>1584</v>
      </c>
      <c r="D908" s="28" t="s">
        <v>4078</v>
      </c>
      <c r="E908" s="43" t="s">
        <v>96</v>
      </c>
      <c r="F908" s="31" t="n">
        <f aca="false">WBS!T215</f>
        <v>2.1</v>
      </c>
      <c r="G908" s="14" t="str">
        <f aca="false">WBS!H215</f>
        <v>P2</v>
      </c>
      <c r="H908" s="14" t="str">
        <f aca="false">WBS!G215</f>
        <v>Must</v>
      </c>
      <c r="I908" s="6" t="s">
        <v>4079</v>
      </c>
      <c r="J908" s="14"/>
      <c r="K908" s="6"/>
      <c r="L908" s="41" t="s">
        <v>2065</v>
      </c>
    </row>
    <row r="909" customFormat="false" ht="15" hidden="false" customHeight="false" outlineLevel="0" collapsed="false">
      <c r="A909" s="14" t="s">
        <v>4080</v>
      </c>
      <c r="B909" s="14" t="s">
        <v>1628</v>
      </c>
      <c r="C909" s="14" t="s">
        <v>1584</v>
      </c>
      <c r="D909" s="28" t="s">
        <v>4081</v>
      </c>
      <c r="E909" s="40" t="s">
        <v>91</v>
      </c>
      <c r="F909" s="31" t="n">
        <f aca="false">WBS!R216</f>
        <v>0.7</v>
      </c>
      <c r="G909" s="14" t="str">
        <f aca="false">WBS!H216</f>
        <v>P3</v>
      </c>
      <c r="H909" s="14" t="str">
        <f aca="false">WBS!G216</f>
        <v>Should</v>
      </c>
      <c r="I909" s="6" t="s">
        <v>178</v>
      </c>
      <c r="J909" s="14"/>
      <c r="K909" s="6"/>
      <c r="L909" s="41" t="s">
        <v>2065</v>
      </c>
    </row>
    <row r="910" customFormat="false" ht="15" hidden="false" customHeight="false" outlineLevel="0" collapsed="false">
      <c r="A910" s="14" t="s">
        <v>4082</v>
      </c>
      <c r="B910" s="14" t="s">
        <v>1628</v>
      </c>
      <c r="C910" s="14" t="s">
        <v>1584</v>
      </c>
      <c r="D910" s="28" t="s">
        <v>4083</v>
      </c>
      <c r="E910" s="42" t="s">
        <v>2068</v>
      </c>
      <c r="F910" s="31" t="n">
        <f aca="false">WBS!P216</f>
        <v>3</v>
      </c>
      <c r="G910" s="14" t="str">
        <f aca="false">WBS!H216</f>
        <v>P3</v>
      </c>
      <c r="H910" s="14" t="str">
        <f aca="false">WBS!G216</f>
        <v>Should</v>
      </c>
      <c r="I910" s="6" t="s">
        <v>4080</v>
      </c>
      <c r="J910" s="14"/>
      <c r="K910" s="6"/>
      <c r="L910" s="41" t="s">
        <v>2065</v>
      </c>
    </row>
    <row r="911" customFormat="false" ht="15" hidden="false" customHeight="false" outlineLevel="0" collapsed="false">
      <c r="A911" s="14" t="s">
        <v>4084</v>
      </c>
      <c r="B911" s="14" t="s">
        <v>1628</v>
      </c>
      <c r="C911" s="14" t="s">
        <v>1584</v>
      </c>
      <c r="D911" s="28" t="s">
        <v>4085</v>
      </c>
      <c r="E911" s="22" t="s">
        <v>2071</v>
      </c>
      <c r="F911" s="31" t="n">
        <f aca="false">WBS!Q216</f>
        <v>3</v>
      </c>
      <c r="G911" s="14" t="str">
        <f aca="false">WBS!H216</f>
        <v>P3</v>
      </c>
      <c r="H911" s="14" t="str">
        <f aca="false">WBS!G216</f>
        <v>Should</v>
      </c>
      <c r="I911" s="6" t="s">
        <v>4080</v>
      </c>
      <c r="J911" s="14"/>
      <c r="K911" s="6"/>
      <c r="L911" s="41" t="s">
        <v>2065</v>
      </c>
    </row>
    <row r="912" customFormat="false" ht="15" hidden="false" customHeight="false" outlineLevel="0" collapsed="false">
      <c r="A912" s="14" t="s">
        <v>4086</v>
      </c>
      <c r="B912" s="14" t="s">
        <v>1628</v>
      </c>
      <c r="C912" s="14" t="s">
        <v>1584</v>
      </c>
      <c r="D912" s="28" t="s">
        <v>4087</v>
      </c>
      <c r="E912" s="43" t="s">
        <v>96</v>
      </c>
      <c r="F912" s="31" t="n">
        <f aca="false">WBS!T216</f>
        <v>2.1</v>
      </c>
      <c r="G912" s="14" t="str">
        <f aca="false">WBS!H216</f>
        <v>P3</v>
      </c>
      <c r="H912" s="14" t="str">
        <f aca="false">WBS!G216</f>
        <v>Should</v>
      </c>
      <c r="I912" s="6" t="s">
        <v>4088</v>
      </c>
      <c r="J912" s="14"/>
      <c r="K912" s="6"/>
      <c r="L912" s="41" t="s">
        <v>2065</v>
      </c>
    </row>
    <row r="913" customFormat="false" ht="15" hidden="false" customHeight="false" outlineLevel="0" collapsed="false">
      <c r="A913" s="14" t="s">
        <v>4089</v>
      </c>
      <c r="B913" s="14" t="s">
        <v>1634</v>
      </c>
      <c r="C913" s="14" t="s">
        <v>1584</v>
      </c>
      <c r="D913" s="28" t="s">
        <v>4090</v>
      </c>
      <c r="E913" s="40" t="s">
        <v>91</v>
      </c>
      <c r="F913" s="31" t="n">
        <f aca="false">WBS!R217</f>
        <v>0.7</v>
      </c>
      <c r="G913" s="14" t="str">
        <f aca="false">WBS!H217</f>
        <v>P3</v>
      </c>
      <c r="H913" s="14" t="str">
        <f aca="false">WBS!G217</f>
        <v>Should</v>
      </c>
      <c r="I913" s="6" t="s">
        <v>192</v>
      </c>
      <c r="J913" s="14"/>
      <c r="K913" s="6"/>
      <c r="L913" s="41" t="s">
        <v>2065</v>
      </c>
    </row>
    <row r="914" customFormat="false" ht="15" hidden="false" customHeight="false" outlineLevel="0" collapsed="false">
      <c r="A914" s="14" t="s">
        <v>4091</v>
      </c>
      <c r="B914" s="14" t="s">
        <v>1634</v>
      </c>
      <c r="C914" s="14" t="s">
        <v>1584</v>
      </c>
      <c r="D914" s="28" t="s">
        <v>4092</v>
      </c>
      <c r="E914" s="42" t="s">
        <v>2068</v>
      </c>
      <c r="F914" s="31" t="n">
        <f aca="false">WBS!P217</f>
        <v>3</v>
      </c>
      <c r="G914" s="14" t="str">
        <f aca="false">WBS!H217</f>
        <v>P3</v>
      </c>
      <c r="H914" s="14" t="str">
        <f aca="false">WBS!G217</f>
        <v>Should</v>
      </c>
      <c r="I914" s="6" t="s">
        <v>4089</v>
      </c>
      <c r="J914" s="14"/>
      <c r="K914" s="6"/>
      <c r="L914" s="41" t="s">
        <v>2065</v>
      </c>
    </row>
    <row r="915" customFormat="false" ht="15" hidden="false" customHeight="false" outlineLevel="0" collapsed="false">
      <c r="A915" s="14" t="s">
        <v>4093</v>
      </c>
      <c r="B915" s="14" t="s">
        <v>1634</v>
      </c>
      <c r="C915" s="14" t="s">
        <v>1584</v>
      </c>
      <c r="D915" s="28" t="s">
        <v>4094</v>
      </c>
      <c r="E915" s="22" t="s">
        <v>2071</v>
      </c>
      <c r="F915" s="31" t="n">
        <f aca="false">WBS!Q217</f>
        <v>3</v>
      </c>
      <c r="G915" s="14" t="str">
        <f aca="false">WBS!H217</f>
        <v>P3</v>
      </c>
      <c r="H915" s="14" t="str">
        <f aca="false">WBS!G217</f>
        <v>Should</v>
      </c>
      <c r="I915" s="6" t="s">
        <v>4089</v>
      </c>
      <c r="J915" s="14"/>
      <c r="K915" s="6"/>
      <c r="L915" s="41" t="s">
        <v>2065</v>
      </c>
    </row>
    <row r="916" customFormat="false" ht="15" hidden="false" customHeight="false" outlineLevel="0" collapsed="false">
      <c r="A916" s="14" t="s">
        <v>4095</v>
      </c>
      <c r="B916" s="14" t="s">
        <v>1634</v>
      </c>
      <c r="C916" s="14" t="s">
        <v>1584</v>
      </c>
      <c r="D916" s="28" t="s">
        <v>4096</v>
      </c>
      <c r="E916" s="43" t="s">
        <v>96</v>
      </c>
      <c r="F916" s="31" t="n">
        <f aca="false">WBS!T217</f>
        <v>2.1</v>
      </c>
      <c r="G916" s="14" t="str">
        <f aca="false">WBS!H217</f>
        <v>P3</v>
      </c>
      <c r="H916" s="14" t="str">
        <f aca="false">WBS!G217</f>
        <v>Should</v>
      </c>
      <c r="I916" s="6" t="s">
        <v>4097</v>
      </c>
      <c r="J916" s="14"/>
      <c r="K916" s="6"/>
      <c r="L916" s="41" t="s">
        <v>2065</v>
      </c>
    </row>
    <row r="917" customFormat="false" ht="15" hidden="false" customHeight="false" outlineLevel="0" collapsed="false">
      <c r="A917" s="14" t="s">
        <v>4098</v>
      </c>
      <c r="B917" s="14" t="s">
        <v>1548</v>
      </c>
      <c r="C917" s="14" t="s">
        <v>1584</v>
      </c>
      <c r="D917" s="28" t="s">
        <v>4099</v>
      </c>
      <c r="E917" s="40" t="s">
        <v>91</v>
      </c>
      <c r="F917" s="31" t="n">
        <f aca="false">WBS!R218</f>
        <v>1.2</v>
      </c>
      <c r="G917" s="14" t="str">
        <f aca="false">WBS!H218</f>
        <v>P3</v>
      </c>
      <c r="H917" s="14" t="str">
        <f aca="false">WBS!G218</f>
        <v>Should</v>
      </c>
      <c r="I917" s="6" t="s">
        <v>1501</v>
      </c>
      <c r="J917" s="14"/>
      <c r="K917" s="6"/>
      <c r="L917" s="41" t="s">
        <v>2065</v>
      </c>
    </row>
    <row r="918" customFormat="false" ht="15" hidden="false" customHeight="false" outlineLevel="0" collapsed="false">
      <c r="A918" s="14" t="s">
        <v>4100</v>
      </c>
      <c r="B918" s="14" t="s">
        <v>1548</v>
      </c>
      <c r="C918" s="14" t="s">
        <v>1584</v>
      </c>
      <c r="D918" s="28" t="s">
        <v>4101</v>
      </c>
      <c r="E918" s="37" t="s">
        <v>128</v>
      </c>
      <c r="F918" s="31" t="n">
        <f aca="false">WBS!S218</f>
        <v>2</v>
      </c>
      <c r="G918" s="14" t="str">
        <f aca="false">WBS!H218</f>
        <v>P3</v>
      </c>
      <c r="H918" s="14" t="str">
        <f aca="false">WBS!G218</f>
        <v>Should</v>
      </c>
      <c r="I918" s="6" t="s">
        <v>4098</v>
      </c>
      <c r="J918" s="14"/>
      <c r="K918" s="6"/>
      <c r="L918" s="41" t="s">
        <v>2065</v>
      </c>
    </row>
    <row r="919" customFormat="false" ht="15" hidden="false" customHeight="false" outlineLevel="0" collapsed="false">
      <c r="A919" s="14" t="s">
        <v>4102</v>
      </c>
      <c r="B919" s="14" t="s">
        <v>1548</v>
      </c>
      <c r="C919" s="14" t="s">
        <v>1584</v>
      </c>
      <c r="D919" s="28" t="s">
        <v>4103</v>
      </c>
      <c r="E919" s="42" t="s">
        <v>2068</v>
      </c>
      <c r="F919" s="31" t="n">
        <f aca="false">WBS!P218</f>
        <v>5</v>
      </c>
      <c r="G919" s="14" t="str">
        <f aca="false">WBS!H218</f>
        <v>P3</v>
      </c>
      <c r="H919" s="14" t="str">
        <f aca="false">WBS!G218</f>
        <v>Should</v>
      </c>
      <c r="I919" s="6" t="s">
        <v>4098</v>
      </c>
      <c r="J919" s="14"/>
      <c r="K919" s="6"/>
      <c r="L919" s="41" t="s">
        <v>2065</v>
      </c>
    </row>
    <row r="920" customFormat="false" ht="15" hidden="false" customHeight="false" outlineLevel="0" collapsed="false">
      <c r="A920" s="14" t="s">
        <v>4104</v>
      </c>
      <c r="B920" s="14" t="s">
        <v>1548</v>
      </c>
      <c r="C920" s="14" t="s">
        <v>1584</v>
      </c>
      <c r="D920" s="28" t="s">
        <v>4105</v>
      </c>
      <c r="E920" s="22" t="s">
        <v>2071</v>
      </c>
      <c r="F920" s="31" t="n">
        <f aca="false">WBS!Q218</f>
        <v>5</v>
      </c>
      <c r="G920" s="14" t="str">
        <f aca="false">WBS!H218</f>
        <v>P3</v>
      </c>
      <c r="H920" s="14" t="str">
        <f aca="false">WBS!G218</f>
        <v>Should</v>
      </c>
      <c r="I920" s="6" t="s">
        <v>4100</v>
      </c>
      <c r="J920" s="14"/>
      <c r="K920" s="6"/>
      <c r="L920" s="41" t="s">
        <v>2065</v>
      </c>
    </row>
    <row r="921" customFormat="false" ht="15" hidden="false" customHeight="false" outlineLevel="0" collapsed="false">
      <c r="A921" s="14" t="s">
        <v>4106</v>
      </c>
      <c r="B921" s="14" t="s">
        <v>1548</v>
      </c>
      <c r="C921" s="14" t="s">
        <v>1584</v>
      </c>
      <c r="D921" s="28" t="s">
        <v>4107</v>
      </c>
      <c r="E921" s="43" t="s">
        <v>96</v>
      </c>
      <c r="F921" s="31" t="n">
        <f aca="false">WBS!T218</f>
        <v>3.5</v>
      </c>
      <c r="G921" s="14" t="str">
        <f aca="false">WBS!H218</f>
        <v>P3</v>
      </c>
      <c r="H921" s="14" t="str">
        <f aca="false">WBS!G218</f>
        <v>Should</v>
      </c>
      <c r="I921" s="6" t="s">
        <v>4108</v>
      </c>
      <c r="J921" s="14"/>
      <c r="K921" s="6"/>
      <c r="L921" s="41" t="s">
        <v>2065</v>
      </c>
    </row>
    <row r="922" customFormat="false" ht="15" hidden="false" customHeight="false" outlineLevel="0" collapsed="false">
      <c r="A922" s="14" t="s">
        <v>4109</v>
      </c>
      <c r="B922" s="14" t="s">
        <v>1645</v>
      </c>
      <c r="C922" s="14" t="s">
        <v>1584</v>
      </c>
      <c r="D922" s="28" t="s">
        <v>4110</v>
      </c>
      <c r="E922" s="40" t="s">
        <v>91</v>
      </c>
      <c r="F922" s="31" t="n">
        <f aca="false">WBS!R219</f>
        <v>1</v>
      </c>
      <c r="G922" s="14" t="str">
        <f aca="false">WBS!H219</f>
        <v>P3</v>
      </c>
      <c r="H922" s="14" t="str">
        <f aca="false">WBS!G219</f>
        <v>Should</v>
      </c>
      <c r="I922" s="6" t="s">
        <v>256</v>
      </c>
      <c r="J922" s="14"/>
      <c r="K922" s="6"/>
      <c r="L922" s="41" t="s">
        <v>2065</v>
      </c>
    </row>
    <row r="923" customFormat="false" ht="15" hidden="false" customHeight="false" outlineLevel="0" collapsed="false">
      <c r="A923" s="14" t="s">
        <v>4111</v>
      </c>
      <c r="B923" s="14" t="s">
        <v>1645</v>
      </c>
      <c r="C923" s="14" t="s">
        <v>1584</v>
      </c>
      <c r="D923" s="28" t="s">
        <v>4112</v>
      </c>
      <c r="E923" s="37" t="s">
        <v>128</v>
      </c>
      <c r="F923" s="31" t="n">
        <f aca="false">WBS!S219</f>
        <v>2</v>
      </c>
      <c r="G923" s="14" t="str">
        <f aca="false">WBS!H219</f>
        <v>P3</v>
      </c>
      <c r="H923" s="14" t="str">
        <f aca="false">WBS!G219</f>
        <v>Should</v>
      </c>
      <c r="I923" s="6" t="s">
        <v>4109</v>
      </c>
      <c r="J923" s="14"/>
      <c r="K923" s="6"/>
      <c r="L923" s="41" t="s">
        <v>2065</v>
      </c>
    </row>
    <row r="924" customFormat="false" ht="15" hidden="false" customHeight="false" outlineLevel="0" collapsed="false">
      <c r="A924" s="14" t="s">
        <v>4113</v>
      </c>
      <c r="B924" s="14" t="s">
        <v>1645</v>
      </c>
      <c r="C924" s="14" t="s">
        <v>1584</v>
      </c>
      <c r="D924" s="28" t="s">
        <v>4114</v>
      </c>
      <c r="E924" s="42" t="s">
        <v>2068</v>
      </c>
      <c r="F924" s="31" t="n">
        <f aca="false">WBS!P219</f>
        <v>3</v>
      </c>
      <c r="G924" s="14" t="str">
        <f aca="false">WBS!H219</f>
        <v>P3</v>
      </c>
      <c r="H924" s="14" t="str">
        <f aca="false">WBS!G219</f>
        <v>Should</v>
      </c>
      <c r="I924" s="6" t="s">
        <v>4109</v>
      </c>
      <c r="J924" s="14"/>
      <c r="K924" s="6"/>
      <c r="L924" s="41" t="s">
        <v>2065</v>
      </c>
    </row>
    <row r="925" customFormat="false" ht="15" hidden="false" customHeight="false" outlineLevel="0" collapsed="false">
      <c r="A925" s="14" t="s">
        <v>4115</v>
      </c>
      <c r="B925" s="14" t="s">
        <v>1645</v>
      </c>
      <c r="C925" s="14" t="s">
        <v>1584</v>
      </c>
      <c r="D925" s="28" t="s">
        <v>4116</v>
      </c>
      <c r="E925" s="22" t="s">
        <v>2071</v>
      </c>
      <c r="F925" s="31" t="n">
        <f aca="false">WBS!Q219</f>
        <v>5</v>
      </c>
      <c r="G925" s="14" t="str">
        <f aca="false">WBS!H219</f>
        <v>P3</v>
      </c>
      <c r="H925" s="14" t="str">
        <f aca="false">WBS!G219</f>
        <v>Should</v>
      </c>
      <c r="I925" s="6" t="s">
        <v>4111</v>
      </c>
      <c r="J925" s="14"/>
      <c r="K925" s="6"/>
      <c r="L925" s="41" t="s">
        <v>2065</v>
      </c>
    </row>
    <row r="926" customFormat="false" ht="15" hidden="false" customHeight="false" outlineLevel="0" collapsed="false">
      <c r="A926" s="14" t="s">
        <v>4117</v>
      </c>
      <c r="B926" s="14" t="s">
        <v>1645</v>
      </c>
      <c r="C926" s="14" t="s">
        <v>1584</v>
      </c>
      <c r="D926" s="28" t="s">
        <v>4118</v>
      </c>
      <c r="E926" s="43" t="s">
        <v>96</v>
      </c>
      <c r="F926" s="31" t="n">
        <f aca="false">WBS!T219</f>
        <v>2.8</v>
      </c>
      <c r="G926" s="14" t="str">
        <f aca="false">WBS!H219</f>
        <v>P3</v>
      </c>
      <c r="H926" s="14" t="str">
        <f aca="false">WBS!G219</f>
        <v>Should</v>
      </c>
      <c r="I926" s="6" t="s">
        <v>4119</v>
      </c>
      <c r="J926" s="14"/>
      <c r="K926" s="6"/>
      <c r="L926" s="41" t="s">
        <v>2065</v>
      </c>
    </row>
    <row r="927" customFormat="false" ht="15" hidden="false" customHeight="false" outlineLevel="0" collapsed="false">
      <c r="A927" s="14" t="s">
        <v>4120</v>
      </c>
      <c r="B927" s="14" t="s">
        <v>1651</v>
      </c>
      <c r="C927" s="14" t="s">
        <v>1584</v>
      </c>
      <c r="D927" s="28" t="s">
        <v>4121</v>
      </c>
      <c r="E927" s="40" t="s">
        <v>91</v>
      </c>
      <c r="F927" s="31" t="n">
        <f aca="false">WBS!R220</f>
        <v>0.7</v>
      </c>
      <c r="G927" s="14" t="str">
        <f aca="false">WBS!H220</f>
        <v>P3</v>
      </c>
      <c r="H927" s="14" t="str">
        <f aca="false">WBS!G220</f>
        <v>Should</v>
      </c>
      <c r="I927" s="6" t="s">
        <v>1031</v>
      </c>
      <c r="J927" s="14"/>
      <c r="K927" s="6"/>
      <c r="L927" s="41" t="s">
        <v>2065</v>
      </c>
    </row>
    <row r="928" customFormat="false" ht="15" hidden="false" customHeight="false" outlineLevel="0" collapsed="false">
      <c r="A928" s="14" t="s">
        <v>4122</v>
      </c>
      <c r="B928" s="14" t="s">
        <v>1651</v>
      </c>
      <c r="C928" s="14" t="s">
        <v>1584</v>
      </c>
      <c r="D928" s="28" t="s">
        <v>4123</v>
      </c>
      <c r="E928" s="42" t="s">
        <v>2068</v>
      </c>
      <c r="F928" s="31" t="n">
        <f aca="false">WBS!P220</f>
        <v>3</v>
      </c>
      <c r="G928" s="14" t="str">
        <f aca="false">WBS!H220</f>
        <v>P3</v>
      </c>
      <c r="H928" s="14" t="str">
        <f aca="false">WBS!G220</f>
        <v>Should</v>
      </c>
      <c r="I928" s="6" t="s">
        <v>4120</v>
      </c>
      <c r="J928" s="14"/>
      <c r="K928" s="6"/>
      <c r="L928" s="41" t="s">
        <v>2065</v>
      </c>
    </row>
    <row r="929" customFormat="false" ht="15" hidden="false" customHeight="false" outlineLevel="0" collapsed="false">
      <c r="A929" s="14" t="s">
        <v>4124</v>
      </c>
      <c r="B929" s="14" t="s">
        <v>1651</v>
      </c>
      <c r="C929" s="14" t="s">
        <v>1584</v>
      </c>
      <c r="D929" s="28" t="s">
        <v>4125</v>
      </c>
      <c r="E929" s="22" t="s">
        <v>2071</v>
      </c>
      <c r="F929" s="31" t="n">
        <f aca="false">WBS!Q220</f>
        <v>3</v>
      </c>
      <c r="G929" s="14" t="str">
        <f aca="false">WBS!H220</f>
        <v>P3</v>
      </c>
      <c r="H929" s="14" t="str">
        <f aca="false">WBS!G220</f>
        <v>Should</v>
      </c>
      <c r="I929" s="6" t="s">
        <v>4120</v>
      </c>
      <c r="J929" s="14"/>
      <c r="K929" s="6"/>
      <c r="L929" s="41" t="s">
        <v>2065</v>
      </c>
    </row>
    <row r="930" customFormat="false" ht="15" hidden="false" customHeight="false" outlineLevel="0" collapsed="false">
      <c r="A930" s="14" t="s">
        <v>4126</v>
      </c>
      <c r="B930" s="14" t="s">
        <v>1651</v>
      </c>
      <c r="C930" s="14" t="s">
        <v>1584</v>
      </c>
      <c r="D930" s="28" t="s">
        <v>4127</v>
      </c>
      <c r="E930" s="43" t="s">
        <v>96</v>
      </c>
      <c r="F930" s="31" t="n">
        <f aca="false">WBS!T220</f>
        <v>2.1</v>
      </c>
      <c r="G930" s="14" t="str">
        <f aca="false">WBS!H220</f>
        <v>P3</v>
      </c>
      <c r="H930" s="14" t="str">
        <f aca="false">WBS!G220</f>
        <v>Should</v>
      </c>
      <c r="I930" s="6" t="s">
        <v>4128</v>
      </c>
      <c r="J930" s="14"/>
      <c r="K930" s="6"/>
      <c r="L930" s="41" t="s">
        <v>2065</v>
      </c>
    </row>
    <row r="931" customFormat="false" ht="15" hidden="false" customHeight="false" outlineLevel="0" collapsed="false">
      <c r="A931" s="14" t="s">
        <v>4129</v>
      </c>
      <c r="B931" s="14" t="s">
        <v>1657</v>
      </c>
      <c r="C931" s="14" t="s">
        <v>1584</v>
      </c>
      <c r="D931" s="28" t="s">
        <v>4130</v>
      </c>
      <c r="E931" s="40" t="s">
        <v>91</v>
      </c>
      <c r="F931" s="31" t="n">
        <f aca="false">WBS!R221</f>
        <v>0.5</v>
      </c>
      <c r="G931" s="14" t="str">
        <f aca="false">WBS!H221</f>
        <v>P3</v>
      </c>
      <c r="H931" s="14" t="str">
        <f aca="false">WBS!G221</f>
        <v>Should</v>
      </c>
      <c r="I931" s="6" t="s">
        <v>210</v>
      </c>
      <c r="J931" s="14"/>
      <c r="K931" s="6"/>
      <c r="L931" s="41" t="s">
        <v>2065</v>
      </c>
    </row>
    <row r="932" customFormat="false" ht="15" hidden="false" customHeight="false" outlineLevel="0" collapsed="false">
      <c r="A932" s="14" t="s">
        <v>4131</v>
      </c>
      <c r="B932" s="14" t="s">
        <v>1657</v>
      </c>
      <c r="C932" s="14" t="s">
        <v>1584</v>
      </c>
      <c r="D932" s="28" t="s">
        <v>4132</v>
      </c>
      <c r="E932" s="42" t="s">
        <v>2068</v>
      </c>
      <c r="F932" s="31" t="n">
        <f aca="false">WBS!P221</f>
        <v>3</v>
      </c>
      <c r="G932" s="14" t="str">
        <f aca="false">WBS!H221</f>
        <v>P3</v>
      </c>
      <c r="H932" s="14" t="str">
        <f aca="false">WBS!G221</f>
        <v>Should</v>
      </c>
      <c r="I932" s="6" t="s">
        <v>4129</v>
      </c>
      <c r="J932" s="14"/>
      <c r="K932" s="6"/>
      <c r="L932" s="41" t="s">
        <v>2065</v>
      </c>
    </row>
    <row r="933" customFormat="false" ht="15" hidden="false" customHeight="false" outlineLevel="0" collapsed="false">
      <c r="A933" s="14" t="s">
        <v>4133</v>
      </c>
      <c r="B933" s="14" t="s">
        <v>1657</v>
      </c>
      <c r="C933" s="14" t="s">
        <v>1584</v>
      </c>
      <c r="D933" s="28" t="s">
        <v>4134</v>
      </c>
      <c r="E933" s="22" t="s">
        <v>2071</v>
      </c>
      <c r="F933" s="31" t="n">
        <f aca="false">WBS!Q221</f>
        <v>1</v>
      </c>
      <c r="G933" s="14" t="str">
        <f aca="false">WBS!H221</f>
        <v>P3</v>
      </c>
      <c r="H933" s="14" t="str">
        <f aca="false">WBS!G221</f>
        <v>Should</v>
      </c>
      <c r="I933" s="6" t="s">
        <v>4129</v>
      </c>
      <c r="J933" s="14"/>
      <c r="K933" s="6"/>
      <c r="L933" s="41" t="s">
        <v>2065</v>
      </c>
    </row>
    <row r="934" customFormat="false" ht="15" hidden="false" customHeight="false" outlineLevel="0" collapsed="false">
      <c r="A934" s="14" t="s">
        <v>4135</v>
      </c>
      <c r="B934" s="14" t="s">
        <v>1657</v>
      </c>
      <c r="C934" s="14" t="s">
        <v>1584</v>
      </c>
      <c r="D934" s="28" t="s">
        <v>4136</v>
      </c>
      <c r="E934" s="43" t="s">
        <v>96</v>
      </c>
      <c r="F934" s="31" t="n">
        <f aca="false">WBS!T221</f>
        <v>1.4</v>
      </c>
      <c r="G934" s="14" t="str">
        <f aca="false">WBS!H221</f>
        <v>P3</v>
      </c>
      <c r="H934" s="14" t="str">
        <f aca="false">WBS!G221</f>
        <v>Should</v>
      </c>
      <c r="I934" s="6" t="s">
        <v>4137</v>
      </c>
      <c r="J934" s="14"/>
      <c r="K934" s="6"/>
      <c r="L934" s="41" t="s">
        <v>2065</v>
      </c>
    </row>
    <row r="935" customFormat="false" ht="15" hidden="false" customHeight="false" outlineLevel="0" collapsed="false">
      <c r="A935" s="14" t="s">
        <v>4138</v>
      </c>
      <c r="B935" s="14" t="s">
        <v>1437</v>
      </c>
      <c r="C935" s="14" t="s">
        <v>1584</v>
      </c>
      <c r="D935" s="28" t="s">
        <v>3817</v>
      </c>
      <c r="E935" s="40" t="s">
        <v>91</v>
      </c>
      <c r="F935" s="31" t="n">
        <f aca="false">WBS!R222</f>
        <v>1</v>
      </c>
      <c r="G935" s="14" t="str">
        <f aca="false">WBS!H222</f>
        <v>P3</v>
      </c>
      <c r="H935" s="14" t="str">
        <f aca="false">WBS!G222</f>
        <v>Should</v>
      </c>
      <c r="I935" s="6" t="s">
        <v>1606</v>
      </c>
      <c r="J935" s="14"/>
      <c r="K935" s="6"/>
      <c r="L935" s="41" t="s">
        <v>2065</v>
      </c>
    </row>
    <row r="936" customFormat="false" ht="15" hidden="false" customHeight="false" outlineLevel="0" collapsed="false">
      <c r="A936" s="14" t="s">
        <v>4139</v>
      </c>
      <c r="B936" s="14" t="s">
        <v>1437</v>
      </c>
      <c r="C936" s="14" t="s">
        <v>1584</v>
      </c>
      <c r="D936" s="28" t="s">
        <v>4140</v>
      </c>
      <c r="E936" s="42" t="s">
        <v>2068</v>
      </c>
      <c r="F936" s="31" t="n">
        <f aca="false">WBS!P222</f>
        <v>5</v>
      </c>
      <c r="G936" s="14" t="str">
        <f aca="false">WBS!H222</f>
        <v>P3</v>
      </c>
      <c r="H936" s="14" t="str">
        <f aca="false">WBS!G222</f>
        <v>Should</v>
      </c>
      <c r="I936" s="6" t="s">
        <v>4138</v>
      </c>
      <c r="J936" s="14"/>
      <c r="K936" s="6"/>
      <c r="L936" s="41" t="s">
        <v>2065</v>
      </c>
    </row>
    <row r="937" customFormat="false" ht="15" hidden="false" customHeight="false" outlineLevel="0" collapsed="false">
      <c r="A937" s="14" t="s">
        <v>4141</v>
      </c>
      <c r="B937" s="14" t="s">
        <v>1437</v>
      </c>
      <c r="C937" s="14" t="s">
        <v>1584</v>
      </c>
      <c r="D937" s="28" t="s">
        <v>4142</v>
      </c>
      <c r="E937" s="22" t="s">
        <v>2071</v>
      </c>
      <c r="F937" s="31" t="n">
        <f aca="false">WBS!Q222</f>
        <v>3</v>
      </c>
      <c r="G937" s="14" t="str">
        <f aca="false">WBS!H222</f>
        <v>P3</v>
      </c>
      <c r="H937" s="14" t="str">
        <f aca="false">WBS!G222</f>
        <v>Should</v>
      </c>
      <c r="I937" s="6" t="s">
        <v>4138</v>
      </c>
      <c r="J937" s="14"/>
      <c r="K937" s="6"/>
      <c r="L937" s="41" t="s">
        <v>2065</v>
      </c>
    </row>
    <row r="938" customFormat="false" ht="15" hidden="false" customHeight="false" outlineLevel="0" collapsed="false">
      <c r="A938" s="14" t="s">
        <v>4143</v>
      </c>
      <c r="B938" s="14" t="s">
        <v>1437</v>
      </c>
      <c r="C938" s="14" t="s">
        <v>1584</v>
      </c>
      <c r="D938" s="28" t="s">
        <v>4144</v>
      </c>
      <c r="E938" s="43" t="s">
        <v>96</v>
      </c>
      <c r="F938" s="31" t="n">
        <f aca="false">WBS!T222</f>
        <v>2.8</v>
      </c>
      <c r="G938" s="14" t="str">
        <f aca="false">WBS!H222</f>
        <v>P3</v>
      </c>
      <c r="H938" s="14" t="str">
        <f aca="false">WBS!G222</f>
        <v>Should</v>
      </c>
      <c r="I938" s="6" t="s">
        <v>4145</v>
      </c>
      <c r="J938" s="14"/>
      <c r="K938" s="6"/>
      <c r="L938" s="41" t="s">
        <v>2065</v>
      </c>
    </row>
    <row r="939" customFormat="false" ht="15" hidden="false" customHeight="false" outlineLevel="0" collapsed="false">
      <c r="A939" s="14" t="s">
        <v>4146</v>
      </c>
      <c r="B939" s="14" t="s">
        <v>1667</v>
      </c>
      <c r="C939" s="14" t="s">
        <v>1584</v>
      </c>
      <c r="D939" s="28" t="s">
        <v>4147</v>
      </c>
      <c r="E939" s="40" t="s">
        <v>91</v>
      </c>
      <c r="F939" s="31" t="n">
        <f aca="false">WBS!R223</f>
        <v>0.7</v>
      </c>
      <c r="G939" s="14" t="str">
        <f aca="false">WBS!H223</f>
        <v>P3</v>
      </c>
      <c r="H939" s="14" t="str">
        <f aca="false">WBS!G223</f>
        <v>Should</v>
      </c>
      <c r="I939" s="6" t="s">
        <v>241</v>
      </c>
      <c r="J939" s="14"/>
      <c r="K939" s="6"/>
      <c r="L939" s="41" t="s">
        <v>2065</v>
      </c>
    </row>
    <row r="940" customFormat="false" ht="15" hidden="false" customHeight="false" outlineLevel="0" collapsed="false">
      <c r="A940" s="14" t="s">
        <v>4148</v>
      </c>
      <c r="B940" s="14" t="s">
        <v>1667</v>
      </c>
      <c r="C940" s="14" t="s">
        <v>1584</v>
      </c>
      <c r="D940" s="28" t="s">
        <v>4149</v>
      </c>
      <c r="E940" s="42" t="s">
        <v>2068</v>
      </c>
      <c r="F940" s="31" t="n">
        <f aca="false">WBS!P223</f>
        <v>3</v>
      </c>
      <c r="G940" s="14" t="str">
        <f aca="false">WBS!H223</f>
        <v>P3</v>
      </c>
      <c r="H940" s="14" t="str">
        <f aca="false">WBS!G223</f>
        <v>Should</v>
      </c>
      <c r="I940" s="6" t="s">
        <v>4146</v>
      </c>
      <c r="J940" s="14"/>
      <c r="K940" s="6"/>
      <c r="L940" s="41" t="s">
        <v>2065</v>
      </c>
    </row>
    <row r="941" customFormat="false" ht="15" hidden="false" customHeight="false" outlineLevel="0" collapsed="false">
      <c r="A941" s="14" t="s">
        <v>4150</v>
      </c>
      <c r="B941" s="14" t="s">
        <v>1667</v>
      </c>
      <c r="C941" s="14" t="s">
        <v>1584</v>
      </c>
      <c r="D941" s="28" t="s">
        <v>4151</v>
      </c>
      <c r="E941" s="22" t="s">
        <v>2071</v>
      </c>
      <c r="F941" s="31" t="n">
        <f aca="false">WBS!Q223</f>
        <v>3</v>
      </c>
      <c r="G941" s="14" t="str">
        <f aca="false">WBS!H223</f>
        <v>P3</v>
      </c>
      <c r="H941" s="14" t="str">
        <f aca="false">WBS!G223</f>
        <v>Should</v>
      </c>
      <c r="I941" s="6" t="s">
        <v>4146</v>
      </c>
      <c r="J941" s="14"/>
      <c r="K941" s="6"/>
      <c r="L941" s="41" t="s">
        <v>2065</v>
      </c>
    </row>
    <row r="942" customFormat="false" ht="15" hidden="false" customHeight="false" outlineLevel="0" collapsed="false">
      <c r="A942" s="14" t="s">
        <v>4152</v>
      </c>
      <c r="B942" s="14" t="s">
        <v>1667</v>
      </c>
      <c r="C942" s="14" t="s">
        <v>1584</v>
      </c>
      <c r="D942" s="28" t="s">
        <v>4153</v>
      </c>
      <c r="E942" s="43" t="s">
        <v>96</v>
      </c>
      <c r="F942" s="31" t="n">
        <f aca="false">WBS!T223</f>
        <v>2.1</v>
      </c>
      <c r="G942" s="14" t="str">
        <f aca="false">WBS!H223</f>
        <v>P3</v>
      </c>
      <c r="H942" s="14" t="str">
        <f aca="false">WBS!G223</f>
        <v>Should</v>
      </c>
      <c r="I942" s="6" t="s">
        <v>4154</v>
      </c>
      <c r="J942" s="14"/>
      <c r="K942" s="6"/>
      <c r="L942" s="41" t="s">
        <v>2065</v>
      </c>
    </row>
    <row r="943" customFormat="false" ht="15" hidden="false" customHeight="false" outlineLevel="0" collapsed="false">
      <c r="A943" s="14" t="s">
        <v>4155</v>
      </c>
      <c r="B943" s="14" t="s">
        <v>1673</v>
      </c>
      <c r="C943" s="14" t="s">
        <v>1674</v>
      </c>
      <c r="D943" s="28" t="s">
        <v>4156</v>
      </c>
      <c r="E943" s="40" t="s">
        <v>91</v>
      </c>
      <c r="F943" s="31" t="n">
        <f aca="false">WBS!R224</f>
        <v>1.2</v>
      </c>
      <c r="G943" s="14" t="str">
        <f aca="false">WBS!H224</f>
        <v>P2</v>
      </c>
      <c r="H943" s="14" t="str">
        <f aca="false">WBS!G224</f>
        <v>Must</v>
      </c>
      <c r="I943" s="6" t="s">
        <v>472</v>
      </c>
      <c r="J943" s="14"/>
      <c r="K943" s="6"/>
      <c r="L943" s="41" t="s">
        <v>2065</v>
      </c>
    </row>
    <row r="944" customFormat="false" ht="15" hidden="false" customHeight="false" outlineLevel="0" collapsed="false">
      <c r="A944" s="14" t="s">
        <v>4157</v>
      </c>
      <c r="B944" s="14" t="s">
        <v>1673</v>
      </c>
      <c r="C944" s="14" t="s">
        <v>1674</v>
      </c>
      <c r="D944" s="28" t="s">
        <v>4158</v>
      </c>
      <c r="E944" s="37" t="s">
        <v>128</v>
      </c>
      <c r="F944" s="31" t="n">
        <f aca="false">WBS!S224</f>
        <v>2</v>
      </c>
      <c r="G944" s="14" t="str">
        <f aca="false">WBS!H224</f>
        <v>P2</v>
      </c>
      <c r="H944" s="14" t="str">
        <f aca="false">WBS!G224</f>
        <v>Must</v>
      </c>
      <c r="I944" s="6" t="s">
        <v>4155</v>
      </c>
      <c r="J944" s="14"/>
      <c r="K944" s="6"/>
      <c r="L944" s="41" t="s">
        <v>2065</v>
      </c>
    </row>
    <row r="945" customFormat="false" ht="22.35" hidden="false" customHeight="false" outlineLevel="0" collapsed="false">
      <c r="A945" s="14" t="s">
        <v>4159</v>
      </c>
      <c r="B945" s="14" t="s">
        <v>1673</v>
      </c>
      <c r="C945" s="14" t="s">
        <v>1674</v>
      </c>
      <c r="D945" s="28" t="s">
        <v>4160</v>
      </c>
      <c r="E945" s="42" t="s">
        <v>2068</v>
      </c>
      <c r="F945" s="31" t="n">
        <f aca="false">WBS!P224</f>
        <v>5</v>
      </c>
      <c r="G945" s="14" t="str">
        <f aca="false">WBS!H224</f>
        <v>P2</v>
      </c>
      <c r="H945" s="14" t="str">
        <f aca="false">WBS!G224</f>
        <v>Must</v>
      </c>
      <c r="I945" s="6" t="s">
        <v>4155</v>
      </c>
      <c r="J945" s="14"/>
      <c r="K945" s="6"/>
      <c r="L945" s="41" t="s">
        <v>2065</v>
      </c>
    </row>
    <row r="946" customFormat="false" ht="15" hidden="false" customHeight="false" outlineLevel="0" collapsed="false">
      <c r="A946" s="14" t="s">
        <v>4161</v>
      </c>
      <c r="B946" s="14" t="s">
        <v>1673</v>
      </c>
      <c r="C946" s="14" t="s">
        <v>1674</v>
      </c>
      <c r="D946" s="28" t="s">
        <v>4162</v>
      </c>
      <c r="E946" s="22" t="s">
        <v>2071</v>
      </c>
      <c r="F946" s="31" t="n">
        <f aca="false">WBS!Q224</f>
        <v>5</v>
      </c>
      <c r="G946" s="14" t="str">
        <f aca="false">WBS!H224</f>
        <v>P2</v>
      </c>
      <c r="H946" s="14" t="str">
        <f aca="false">WBS!G224</f>
        <v>Must</v>
      </c>
      <c r="I946" s="6" t="s">
        <v>4157</v>
      </c>
      <c r="J946" s="14"/>
      <c r="K946" s="6"/>
      <c r="L946" s="41" t="s">
        <v>2065</v>
      </c>
    </row>
    <row r="947" customFormat="false" ht="15" hidden="false" customHeight="false" outlineLevel="0" collapsed="false">
      <c r="A947" s="14" t="s">
        <v>4163</v>
      </c>
      <c r="B947" s="14" t="s">
        <v>1673</v>
      </c>
      <c r="C947" s="14" t="s">
        <v>1674</v>
      </c>
      <c r="D947" s="28" t="s">
        <v>4164</v>
      </c>
      <c r="E947" s="43" t="s">
        <v>96</v>
      </c>
      <c r="F947" s="31" t="n">
        <f aca="false">WBS!T224</f>
        <v>3.5</v>
      </c>
      <c r="G947" s="14" t="str">
        <f aca="false">WBS!H224</f>
        <v>P2</v>
      </c>
      <c r="H947" s="14" t="str">
        <f aca="false">WBS!G224</f>
        <v>Must</v>
      </c>
      <c r="I947" s="6" t="s">
        <v>4165</v>
      </c>
      <c r="J947" s="14"/>
      <c r="K947" s="6"/>
      <c r="L947" s="41" t="s">
        <v>2065</v>
      </c>
    </row>
    <row r="948" customFormat="false" ht="15" hidden="false" customHeight="false" outlineLevel="0" collapsed="false">
      <c r="A948" s="14" t="s">
        <v>4166</v>
      </c>
      <c r="B948" s="14" t="s">
        <v>1682</v>
      </c>
      <c r="C948" s="14" t="s">
        <v>1674</v>
      </c>
      <c r="D948" s="28" t="s">
        <v>4167</v>
      </c>
      <c r="E948" s="40" t="s">
        <v>91</v>
      </c>
      <c r="F948" s="31" t="n">
        <f aca="false">WBS!R225</f>
        <v>0.7</v>
      </c>
      <c r="G948" s="14" t="str">
        <f aca="false">WBS!H225</f>
        <v>P2</v>
      </c>
      <c r="H948" s="14" t="str">
        <f aca="false">WBS!G225</f>
        <v>Must</v>
      </c>
      <c r="I948" s="6" t="s">
        <v>1501</v>
      </c>
      <c r="J948" s="14"/>
      <c r="K948" s="6"/>
      <c r="L948" s="41" t="s">
        <v>2065</v>
      </c>
    </row>
    <row r="949" customFormat="false" ht="15" hidden="false" customHeight="false" outlineLevel="0" collapsed="false">
      <c r="A949" s="14" t="s">
        <v>4168</v>
      </c>
      <c r="B949" s="14" t="s">
        <v>1682</v>
      </c>
      <c r="C949" s="14" t="s">
        <v>1674</v>
      </c>
      <c r="D949" s="28" t="s">
        <v>4169</v>
      </c>
      <c r="E949" s="42" t="s">
        <v>2068</v>
      </c>
      <c r="F949" s="31" t="n">
        <f aca="false">WBS!P225</f>
        <v>3</v>
      </c>
      <c r="G949" s="14" t="str">
        <f aca="false">WBS!H225</f>
        <v>P2</v>
      </c>
      <c r="H949" s="14" t="str">
        <f aca="false">WBS!G225</f>
        <v>Must</v>
      </c>
      <c r="I949" s="6" t="s">
        <v>4166</v>
      </c>
      <c r="J949" s="14"/>
      <c r="K949" s="6"/>
      <c r="L949" s="41" t="s">
        <v>2065</v>
      </c>
    </row>
    <row r="950" customFormat="false" ht="15" hidden="false" customHeight="false" outlineLevel="0" collapsed="false">
      <c r="A950" s="14" t="s">
        <v>4170</v>
      </c>
      <c r="B950" s="14" t="s">
        <v>1682</v>
      </c>
      <c r="C950" s="14" t="s">
        <v>1674</v>
      </c>
      <c r="D950" s="28" t="s">
        <v>4171</v>
      </c>
      <c r="E950" s="22" t="s">
        <v>2071</v>
      </c>
      <c r="F950" s="31" t="n">
        <f aca="false">WBS!Q225</f>
        <v>3</v>
      </c>
      <c r="G950" s="14" t="str">
        <f aca="false">WBS!H225</f>
        <v>P2</v>
      </c>
      <c r="H950" s="14" t="str">
        <f aca="false">WBS!G225</f>
        <v>Must</v>
      </c>
      <c r="I950" s="6" t="s">
        <v>4166</v>
      </c>
      <c r="J950" s="14"/>
      <c r="K950" s="6"/>
      <c r="L950" s="41" t="s">
        <v>2065</v>
      </c>
    </row>
    <row r="951" customFormat="false" ht="15" hidden="false" customHeight="false" outlineLevel="0" collapsed="false">
      <c r="A951" s="14" t="s">
        <v>4172</v>
      </c>
      <c r="B951" s="14" t="s">
        <v>1682</v>
      </c>
      <c r="C951" s="14" t="s">
        <v>1674</v>
      </c>
      <c r="D951" s="28" t="s">
        <v>4173</v>
      </c>
      <c r="E951" s="43" t="s">
        <v>96</v>
      </c>
      <c r="F951" s="31" t="n">
        <f aca="false">WBS!T225</f>
        <v>2.1</v>
      </c>
      <c r="G951" s="14" t="str">
        <f aca="false">WBS!H225</f>
        <v>P2</v>
      </c>
      <c r="H951" s="14" t="str">
        <f aca="false">WBS!G225</f>
        <v>Must</v>
      </c>
      <c r="I951" s="6" t="s">
        <v>4174</v>
      </c>
      <c r="J951" s="14"/>
      <c r="K951" s="6"/>
      <c r="L951" s="41" t="s">
        <v>2065</v>
      </c>
    </row>
    <row r="952" customFormat="false" ht="15" hidden="false" customHeight="false" outlineLevel="0" collapsed="false">
      <c r="A952" s="14" t="s">
        <v>4175</v>
      </c>
      <c r="B952" s="14" t="s">
        <v>1689</v>
      </c>
      <c r="C952" s="14" t="s">
        <v>1674</v>
      </c>
      <c r="D952" s="28" t="s">
        <v>4176</v>
      </c>
      <c r="E952" s="40" t="s">
        <v>91</v>
      </c>
      <c r="F952" s="31" t="n">
        <f aca="false">WBS!R226</f>
        <v>0.7</v>
      </c>
      <c r="G952" s="14" t="str">
        <f aca="false">WBS!H226</f>
        <v>P2</v>
      </c>
      <c r="H952" s="14" t="str">
        <f aca="false">WBS!G226</f>
        <v>Must</v>
      </c>
      <c r="I952" s="6" t="s">
        <v>1479</v>
      </c>
      <c r="J952" s="14"/>
      <c r="K952" s="6"/>
      <c r="L952" s="41" t="s">
        <v>2065</v>
      </c>
    </row>
    <row r="953" customFormat="false" ht="15" hidden="false" customHeight="false" outlineLevel="0" collapsed="false">
      <c r="A953" s="14" t="s">
        <v>4177</v>
      </c>
      <c r="B953" s="14" t="s">
        <v>1689</v>
      </c>
      <c r="C953" s="14" t="s">
        <v>1674</v>
      </c>
      <c r="D953" s="28" t="s">
        <v>4178</v>
      </c>
      <c r="E953" s="42" t="s">
        <v>2068</v>
      </c>
      <c r="F953" s="31" t="n">
        <f aca="false">WBS!P226</f>
        <v>3</v>
      </c>
      <c r="G953" s="14" t="str">
        <f aca="false">WBS!H226</f>
        <v>P2</v>
      </c>
      <c r="H953" s="14" t="str">
        <f aca="false">WBS!G226</f>
        <v>Must</v>
      </c>
      <c r="I953" s="6" t="s">
        <v>4175</v>
      </c>
      <c r="J953" s="14"/>
      <c r="K953" s="6"/>
      <c r="L953" s="41" t="s">
        <v>2065</v>
      </c>
    </row>
    <row r="954" customFormat="false" ht="15" hidden="false" customHeight="false" outlineLevel="0" collapsed="false">
      <c r="A954" s="14" t="s">
        <v>4179</v>
      </c>
      <c r="B954" s="14" t="s">
        <v>1689</v>
      </c>
      <c r="C954" s="14" t="s">
        <v>1674</v>
      </c>
      <c r="D954" s="28" t="s">
        <v>4180</v>
      </c>
      <c r="E954" s="22" t="s">
        <v>2071</v>
      </c>
      <c r="F954" s="31" t="n">
        <f aca="false">WBS!Q226</f>
        <v>3</v>
      </c>
      <c r="G954" s="14" t="str">
        <f aca="false">WBS!H226</f>
        <v>P2</v>
      </c>
      <c r="H954" s="14" t="str">
        <f aca="false">WBS!G226</f>
        <v>Must</v>
      </c>
      <c r="I954" s="6" t="s">
        <v>4175</v>
      </c>
      <c r="J954" s="14"/>
      <c r="K954" s="6"/>
      <c r="L954" s="41" t="s">
        <v>2065</v>
      </c>
    </row>
    <row r="955" customFormat="false" ht="15" hidden="false" customHeight="false" outlineLevel="0" collapsed="false">
      <c r="A955" s="14" t="s">
        <v>4181</v>
      </c>
      <c r="B955" s="14" t="s">
        <v>1689</v>
      </c>
      <c r="C955" s="14" t="s">
        <v>1674</v>
      </c>
      <c r="D955" s="28" t="s">
        <v>4182</v>
      </c>
      <c r="E955" s="43" t="s">
        <v>96</v>
      </c>
      <c r="F955" s="31" t="n">
        <f aca="false">WBS!T226</f>
        <v>2.1</v>
      </c>
      <c r="G955" s="14" t="str">
        <f aca="false">WBS!H226</f>
        <v>P2</v>
      </c>
      <c r="H955" s="14" t="str">
        <f aca="false">WBS!G226</f>
        <v>Must</v>
      </c>
      <c r="I955" s="6" t="s">
        <v>4183</v>
      </c>
      <c r="J955" s="14"/>
      <c r="K955" s="6"/>
      <c r="L955" s="41" t="s">
        <v>2065</v>
      </c>
    </row>
    <row r="956" customFormat="false" ht="15" hidden="false" customHeight="false" outlineLevel="0" collapsed="false">
      <c r="A956" s="14" t="s">
        <v>4184</v>
      </c>
      <c r="B956" s="14" t="s">
        <v>1696</v>
      </c>
      <c r="C956" s="14" t="s">
        <v>1674</v>
      </c>
      <c r="D956" s="28" t="s">
        <v>4185</v>
      </c>
      <c r="E956" s="40" t="s">
        <v>91</v>
      </c>
      <c r="F956" s="31" t="n">
        <f aca="false">WBS!R227</f>
        <v>1.2</v>
      </c>
      <c r="G956" s="14" t="str">
        <f aca="false">WBS!H227</f>
        <v>P2</v>
      </c>
      <c r="H956" s="14" t="str">
        <f aca="false">WBS!G227</f>
        <v>Must</v>
      </c>
      <c r="I956" s="6" t="s">
        <v>1703</v>
      </c>
      <c r="J956" s="14"/>
      <c r="K956" s="6"/>
      <c r="L956" s="41" t="s">
        <v>2065</v>
      </c>
    </row>
    <row r="957" customFormat="false" ht="15" hidden="false" customHeight="false" outlineLevel="0" collapsed="false">
      <c r="A957" s="14" t="s">
        <v>4186</v>
      </c>
      <c r="B957" s="14" t="s">
        <v>1696</v>
      </c>
      <c r="C957" s="14" t="s">
        <v>1674</v>
      </c>
      <c r="D957" s="28" t="s">
        <v>4187</v>
      </c>
      <c r="E957" s="37" t="s">
        <v>128</v>
      </c>
      <c r="F957" s="31" t="n">
        <f aca="false">WBS!S227</f>
        <v>2</v>
      </c>
      <c r="G957" s="14" t="str">
        <f aca="false">WBS!H227</f>
        <v>P2</v>
      </c>
      <c r="H957" s="14" t="str">
        <f aca="false">WBS!G227</f>
        <v>Must</v>
      </c>
      <c r="I957" s="6" t="s">
        <v>4184</v>
      </c>
      <c r="J957" s="14"/>
      <c r="K957" s="6"/>
      <c r="L957" s="41" t="s">
        <v>2065</v>
      </c>
    </row>
    <row r="958" customFormat="false" ht="15" hidden="false" customHeight="false" outlineLevel="0" collapsed="false">
      <c r="A958" s="14" t="s">
        <v>4188</v>
      </c>
      <c r="B958" s="14" t="s">
        <v>1696</v>
      </c>
      <c r="C958" s="14" t="s">
        <v>1674</v>
      </c>
      <c r="D958" s="28" t="s">
        <v>4189</v>
      </c>
      <c r="E958" s="42" t="s">
        <v>2068</v>
      </c>
      <c r="F958" s="31" t="n">
        <f aca="false">WBS!P227</f>
        <v>5</v>
      </c>
      <c r="G958" s="14" t="str">
        <f aca="false">WBS!H227</f>
        <v>P2</v>
      </c>
      <c r="H958" s="14" t="str">
        <f aca="false">WBS!G227</f>
        <v>Must</v>
      </c>
      <c r="I958" s="6" t="s">
        <v>4184</v>
      </c>
      <c r="J958" s="14"/>
      <c r="K958" s="6"/>
      <c r="L958" s="41" t="s">
        <v>2065</v>
      </c>
    </row>
    <row r="959" customFormat="false" ht="15" hidden="false" customHeight="false" outlineLevel="0" collapsed="false">
      <c r="A959" s="14" t="s">
        <v>4190</v>
      </c>
      <c r="B959" s="14" t="s">
        <v>1696</v>
      </c>
      <c r="C959" s="14" t="s">
        <v>1674</v>
      </c>
      <c r="D959" s="28" t="s">
        <v>4191</v>
      </c>
      <c r="E959" s="22" t="s">
        <v>2071</v>
      </c>
      <c r="F959" s="31" t="n">
        <f aca="false">WBS!Q227</f>
        <v>5</v>
      </c>
      <c r="G959" s="14" t="str">
        <f aca="false">WBS!H227</f>
        <v>P2</v>
      </c>
      <c r="H959" s="14" t="str">
        <f aca="false">WBS!G227</f>
        <v>Must</v>
      </c>
      <c r="I959" s="6" t="s">
        <v>4186</v>
      </c>
      <c r="J959" s="14"/>
      <c r="K959" s="6"/>
      <c r="L959" s="41" t="s">
        <v>2065</v>
      </c>
    </row>
    <row r="960" customFormat="false" ht="15" hidden="false" customHeight="false" outlineLevel="0" collapsed="false">
      <c r="A960" s="14" t="s">
        <v>4192</v>
      </c>
      <c r="B960" s="14" t="s">
        <v>1696</v>
      </c>
      <c r="C960" s="14" t="s">
        <v>1674</v>
      </c>
      <c r="D960" s="28" t="s">
        <v>4193</v>
      </c>
      <c r="E960" s="43" t="s">
        <v>96</v>
      </c>
      <c r="F960" s="31" t="n">
        <f aca="false">WBS!T227</f>
        <v>3.5</v>
      </c>
      <c r="G960" s="14" t="str">
        <f aca="false">WBS!H227</f>
        <v>P2</v>
      </c>
      <c r="H960" s="14" t="str">
        <f aca="false">WBS!G227</f>
        <v>Must</v>
      </c>
      <c r="I960" s="6" t="s">
        <v>4194</v>
      </c>
      <c r="J960" s="14"/>
      <c r="K960" s="6"/>
      <c r="L960" s="41" t="s">
        <v>2065</v>
      </c>
    </row>
    <row r="961" customFormat="false" ht="15" hidden="false" customHeight="false" outlineLevel="0" collapsed="false">
      <c r="A961" s="14" t="s">
        <v>4195</v>
      </c>
      <c r="B961" s="14" t="s">
        <v>1704</v>
      </c>
      <c r="C961" s="14" t="s">
        <v>1674</v>
      </c>
      <c r="D961" s="28" t="s">
        <v>4196</v>
      </c>
      <c r="E961" s="40" t="s">
        <v>91</v>
      </c>
      <c r="F961" s="31" t="n">
        <f aca="false">WBS!R228</f>
        <v>1</v>
      </c>
      <c r="G961" s="14" t="str">
        <f aca="false">WBS!H228</f>
        <v>P2</v>
      </c>
      <c r="H961" s="14" t="str">
        <f aca="false">WBS!G228</f>
        <v>Must</v>
      </c>
      <c r="I961" s="6" t="s">
        <v>1710</v>
      </c>
      <c r="J961" s="14"/>
      <c r="K961" s="6"/>
      <c r="L961" s="41" t="s">
        <v>2065</v>
      </c>
    </row>
    <row r="962" customFormat="false" ht="15" hidden="false" customHeight="false" outlineLevel="0" collapsed="false">
      <c r="A962" s="14" t="s">
        <v>4197</v>
      </c>
      <c r="B962" s="14" t="s">
        <v>1704</v>
      </c>
      <c r="C962" s="14" t="s">
        <v>1674</v>
      </c>
      <c r="D962" s="28" t="s">
        <v>4198</v>
      </c>
      <c r="E962" s="42" t="s">
        <v>2068</v>
      </c>
      <c r="F962" s="31" t="n">
        <f aca="false">WBS!P228</f>
        <v>5</v>
      </c>
      <c r="G962" s="14" t="str">
        <f aca="false">WBS!H228</f>
        <v>P2</v>
      </c>
      <c r="H962" s="14" t="str">
        <f aca="false">WBS!G228</f>
        <v>Must</v>
      </c>
      <c r="I962" s="6" t="s">
        <v>4195</v>
      </c>
      <c r="J962" s="14"/>
      <c r="K962" s="6"/>
      <c r="L962" s="41" t="s">
        <v>2065</v>
      </c>
    </row>
    <row r="963" customFormat="false" ht="15" hidden="false" customHeight="false" outlineLevel="0" collapsed="false">
      <c r="A963" s="14" t="s">
        <v>4199</v>
      </c>
      <c r="B963" s="14" t="s">
        <v>1704</v>
      </c>
      <c r="C963" s="14" t="s">
        <v>1674</v>
      </c>
      <c r="D963" s="28" t="s">
        <v>4200</v>
      </c>
      <c r="E963" s="22" t="s">
        <v>2071</v>
      </c>
      <c r="F963" s="31" t="n">
        <f aca="false">WBS!Q228</f>
        <v>3</v>
      </c>
      <c r="G963" s="14" t="str">
        <f aca="false">WBS!H228</f>
        <v>P2</v>
      </c>
      <c r="H963" s="14" t="str">
        <f aca="false">WBS!G228</f>
        <v>Must</v>
      </c>
      <c r="I963" s="6" t="s">
        <v>4195</v>
      </c>
      <c r="J963" s="14"/>
      <c r="K963" s="6"/>
      <c r="L963" s="41" t="s">
        <v>2065</v>
      </c>
    </row>
    <row r="964" customFormat="false" ht="15" hidden="false" customHeight="false" outlineLevel="0" collapsed="false">
      <c r="A964" s="14" t="s">
        <v>4201</v>
      </c>
      <c r="B964" s="14" t="s">
        <v>1704</v>
      </c>
      <c r="C964" s="14" t="s">
        <v>1674</v>
      </c>
      <c r="D964" s="28" t="s">
        <v>4202</v>
      </c>
      <c r="E964" s="43" t="s">
        <v>96</v>
      </c>
      <c r="F964" s="31" t="n">
        <f aca="false">WBS!T228</f>
        <v>2.8</v>
      </c>
      <c r="G964" s="14" t="str">
        <f aca="false">WBS!H228</f>
        <v>P2</v>
      </c>
      <c r="H964" s="14" t="str">
        <f aca="false">WBS!G228</f>
        <v>Must</v>
      </c>
      <c r="I964" s="6" t="s">
        <v>4203</v>
      </c>
      <c r="J964" s="14"/>
      <c r="K964" s="6"/>
      <c r="L964" s="41" t="s">
        <v>2065</v>
      </c>
    </row>
    <row r="965" customFormat="false" ht="15" hidden="false" customHeight="false" outlineLevel="0" collapsed="false">
      <c r="A965" s="14" t="s">
        <v>4204</v>
      </c>
      <c r="B965" s="14" t="s">
        <v>1711</v>
      </c>
      <c r="C965" s="14" t="s">
        <v>1674</v>
      </c>
      <c r="D965" s="28" t="s">
        <v>4205</v>
      </c>
      <c r="E965" s="40" t="s">
        <v>91</v>
      </c>
      <c r="F965" s="31" t="n">
        <f aca="false">WBS!R229</f>
        <v>0.7</v>
      </c>
      <c r="G965" s="14" t="str">
        <f aca="false">WBS!H229</f>
        <v>P2</v>
      </c>
      <c r="H965" s="14" t="str">
        <f aca="false">WBS!G229</f>
        <v>Must</v>
      </c>
      <c r="I965" s="6" t="s">
        <v>192</v>
      </c>
      <c r="J965" s="14"/>
      <c r="K965" s="6"/>
      <c r="L965" s="41" t="s">
        <v>2065</v>
      </c>
    </row>
    <row r="966" customFormat="false" ht="15" hidden="false" customHeight="false" outlineLevel="0" collapsed="false">
      <c r="A966" s="14" t="s">
        <v>4206</v>
      </c>
      <c r="B966" s="14" t="s">
        <v>1711</v>
      </c>
      <c r="C966" s="14" t="s">
        <v>1674</v>
      </c>
      <c r="D966" s="28" t="s">
        <v>4207</v>
      </c>
      <c r="E966" s="42" t="s">
        <v>2068</v>
      </c>
      <c r="F966" s="31" t="n">
        <f aca="false">WBS!P229</f>
        <v>3</v>
      </c>
      <c r="G966" s="14" t="str">
        <f aca="false">WBS!H229</f>
        <v>P2</v>
      </c>
      <c r="H966" s="14" t="str">
        <f aca="false">WBS!G229</f>
        <v>Must</v>
      </c>
      <c r="I966" s="6" t="s">
        <v>4204</v>
      </c>
      <c r="J966" s="14"/>
      <c r="K966" s="6"/>
      <c r="L966" s="41" t="s">
        <v>2065</v>
      </c>
    </row>
    <row r="967" customFormat="false" ht="15" hidden="false" customHeight="false" outlineLevel="0" collapsed="false">
      <c r="A967" s="14" t="s">
        <v>4208</v>
      </c>
      <c r="B967" s="14" t="s">
        <v>1711</v>
      </c>
      <c r="C967" s="14" t="s">
        <v>1674</v>
      </c>
      <c r="D967" s="28" t="s">
        <v>4209</v>
      </c>
      <c r="E967" s="22" t="s">
        <v>2071</v>
      </c>
      <c r="F967" s="31" t="n">
        <f aca="false">WBS!Q229</f>
        <v>3</v>
      </c>
      <c r="G967" s="14" t="str">
        <f aca="false">WBS!H229</f>
        <v>P2</v>
      </c>
      <c r="H967" s="14" t="str">
        <f aca="false">WBS!G229</f>
        <v>Must</v>
      </c>
      <c r="I967" s="6" t="s">
        <v>4204</v>
      </c>
      <c r="J967" s="14"/>
      <c r="K967" s="6"/>
      <c r="L967" s="41" t="s">
        <v>2065</v>
      </c>
    </row>
    <row r="968" customFormat="false" ht="15" hidden="false" customHeight="false" outlineLevel="0" collapsed="false">
      <c r="A968" s="14" t="s">
        <v>4210</v>
      </c>
      <c r="B968" s="14" t="s">
        <v>1711</v>
      </c>
      <c r="C968" s="14" t="s">
        <v>1674</v>
      </c>
      <c r="D968" s="28" t="s">
        <v>4211</v>
      </c>
      <c r="E968" s="43" t="s">
        <v>96</v>
      </c>
      <c r="F968" s="31" t="n">
        <f aca="false">WBS!T229</f>
        <v>2.1</v>
      </c>
      <c r="G968" s="14" t="str">
        <f aca="false">WBS!H229</f>
        <v>P2</v>
      </c>
      <c r="H968" s="14" t="str">
        <f aca="false">WBS!G229</f>
        <v>Must</v>
      </c>
      <c r="I968" s="6" t="s">
        <v>4212</v>
      </c>
      <c r="J968" s="14"/>
      <c r="K968" s="6"/>
      <c r="L968" s="41" t="s">
        <v>2065</v>
      </c>
    </row>
    <row r="969" customFormat="false" ht="15" hidden="false" customHeight="false" outlineLevel="0" collapsed="false">
      <c r="A969" s="14" t="s">
        <v>4213</v>
      </c>
      <c r="B969" s="14" t="s">
        <v>1717</v>
      </c>
      <c r="C969" s="14" t="s">
        <v>1674</v>
      </c>
      <c r="D969" s="28" t="s">
        <v>4214</v>
      </c>
      <c r="E969" s="40" t="s">
        <v>91</v>
      </c>
      <c r="F969" s="31" t="n">
        <f aca="false">WBS!R230</f>
        <v>0.7</v>
      </c>
      <c r="G969" s="14" t="str">
        <f aca="false">WBS!H230</f>
        <v>P2</v>
      </c>
      <c r="H969" s="14" t="str">
        <f aca="false">WBS!G230</f>
        <v>Must</v>
      </c>
      <c r="I969" s="6" t="s">
        <v>1723</v>
      </c>
      <c r="J969" s="14"/>
      <c r="K969" s="6"/>
      <c r="L969" s="41" t="s">
        <v>2065</v>
      </c>
    </row>
    <row r="970" customFormat="false" ht="15" hidden="false" customHeight="false" outlineLevel="0" collapsed="false">
      <c r="A970" s="14" t="s">
        <v>4215</v>
      </c>
      <c r="B970" s="14" t="s">
        <v>1717</v>
      </c>
      <c r="C970" s="14" t="s">
        <v>1674</v>
      </c>
      <c r="D970" s="28" t="s">
        <v>4216</v>
      </c>
      <c r="E970" s="42" t="s">
        <v>2068</v>
      </c>
      <c r="F970" s="31" t="n">
        <f aca="false">WBS!P230</f>
        <v>3</v>
      </c>
      <c r="G970" s="14" t="str">
        <f aca="false">WBS!H230</f>
        <v>P2</v>
      </c>
      <c r="H970" s="14" t="str">
        <f aca="false">WBS!G230</f>
        <v>Must</v>
      </c>
      <c r="I970" s="6" t="s">
        <v>4213</v>
      </c>
      <c r="J970" s="14"/>
      <c r="K970" s="6"/>
      <c r="L970" s="41" t="s">
        <v>2065</v>
      </c>
    </row>
    <row r="971" customFormat="false" ht="15" hidden="false" customHeight="false" outlineLevel="0" collapsed="false">
      <c r="A971" s="14" t="s">
        <v>4217</v>
      </c>
      <c r="B971" s="14" t="s">
        <v>1717</v>
      </c>
      <c r="C971" s="14" t="s">
        <v>1674</v>
      </c>
      <c r="D971" s="28" t="s">
        <v>4218</v>
      </c>
      <c r="E971" s="22" t="s">
        <v>2071</v>
      </c>
      <c r="F971" s="31" t="n">
        <f aca="false">WBS!Q230</f>
        <v>3</v>
      </c>
      <c r="G971" s="14" t="str">
        <f aca="false">WBS!H230</f>
        <v>P2</v>
      </c>
      <c r="H971" s="14" t="str">
        <f aca="false">WBS!G230</f>
        <v>Must</v>
      </c>
      <c r="I971" s="6" t="s">
        <v>4213</v>
      </c>
      <c r="J971" s="14"/>
      <c r="K971" s="6"/>
      <c r="L971" s="41" t="s">
        <v>2065</v>
      </c>
    </row>
    <row r="972" customFormat="false" ht="15" hidden="false" customHeight="false" outlineLevel="0" collapsed="false">
      <c r="A972" s="14" t="s">
        <v>4219</v>
      </c>
      <c r="B972" s="14" t="s">
        <v>1717</v>
      </c>
      <c r="C972" s="14" t="s">
        <v>1674</v>
      </c>
      <c r="D972" s="28" t="s">
        <v>4220</v>
      </c>
      <c r="E972" s="43" t="s">
        <v>96</v>
      </c>
      <c r="F972" s="31" t="n">
        <f aca="false">WBS!T230</f>
        <v>2.1</v>
      </c>
      <c r="G972" s="14" t="str">
        <f aca="false">WBS!H230</f>
        <v>P2</v>
      </c>
      <c r="H972" s="14" t="str">
        <f aca="false">WBS!G230</f>
        <v>Must</v>
      </c>
      <c r="I972" s="6" t="s">
        <v>4221</v>
      </c>
      <c r="J972" s="14"/>
      <c r="K972" s="6"/>
      <c r="L972" s="41" t="s">
        <v>2065</v>
      </c>
    </row>
    <row r="973" customFormat="false" ht="15" hidden="false" customHeight="false" outlineLevel="0" collapsed="false">
      <c r="A973" s="14" t="s">
        <v>4222</v>
      </c>
      <c r="B973" s="14" t="s">
        <v>1724</v>
      </c>
      <c r="C973" s="14" t="s">
        <v>1674</v>
      </c>
      <c r="D973" s="28" t="s">
        <v>4223</v>
      </c>
      <c r="E973" s="40" t="s">
        <v>91</v>
      </c>
      <c r="F973" s="31" t="n">
        <f aca="false">WBS!R231</f>
        <v>0.7</v>
      </c>
      <c r="G973" s="14" t="str">
        <f aca="false">WBS!H231</f>
        <v>P3</v>
      </c>
      <c r="H973" s="14" t="str">
        <f aca="false">WBS!G231</f>
        <v>Should</v>
      </c>
      <c r="I973" s="6" t="s">
        <v>1673</v>
      </c>
      <c r="J973" s="14"/>
      <c r="K973" s="6"/>
      <c r="L973" s="41" t="s">
        <v>2065</v>
      </c>
    </row>
    <row r="974" customFormat="false" ht="15" hidden="false" customHeight="false" outlineLevel="0" collapsed="false">
      <c r="A974" s="14" t="s">
        <v>4224</v>
      </c>
      <c r="B974" s="14" t="s">
        <v>1724</v>
      </c>
      <c r="C974" s="14" t="s">
        <v>1674</v>
      </c>
      <c r="D974" s="28" t="s">
        <v>4225</v>
      </c>
      <c r="E974" s="42" t="s">
        <v>2068</v>
      </c>
      <c r="F974" s="31" t="n">
        <f aca="false">WBS!P231</f>
        <v>3</v>
      </c>
      <c r="G974" s="14" t="str">
        <f aca="false">WBS!H231</f>
        <v>P3</v>
      </c>
      <c r="H974" s="14" t="str">
        <f aca="false">WBS!G231</f>
        <v>Should</v>
      </c>
      <c r="I974" s="6" t="s">
        <v>4222</v>
      </c>
      <c r="J974" s="14"/>
      <c r="K974" s="6"/>
      <c r="L974" s="41" t="s">
        <v>2065</v>
      </c>
    </row>
    <row r="975" customFormat="false" ht="15" hidden="false" customHeight="false" outlineLevel="0" collapsed="false">
      <c r="A975" s="14" t="s">
        <v>4226</v>
      </c>
      <c r="B975" s="14" t="s">
        <v>1724</v>
      </c>
      <c r="C975" s="14" t="s">
        <v>1674</v>
      </c>
      <c r="D975" s="28" t="s">
        <v>4227</v>
      </c>
      <c r="E975" s="22" t="s">
        <v>2071</v>
      </c>
      <c r="F975" s="31" t="n">
        <f aca="false">WBS!Q231</f>
        <v>3</v>
      </c>
      <c r="G975" s="14" t="str">
        <f aca="false">WBS!H231</f>
        <v>P3</v>
      </c>
      <c r="H975" s="14" t="str">
        <f aca="false">WBS!G231</f>
        <v>Should</v>
      </c>
      <c r="I975" s="6" t="s">
        <v>4222</v>
      </c>
      <c r="J975" s="14"/>
      <c r="K975" s="6"/>
      <c r="L975" s="41" t="s">
        <v>2065</v>
      </c>
    </row>
    <row r="976" customFormat="false" ht="15" hidden="false" customHeight="false" outlineLevel="0" collapsed="false">
      <c r="A976" s="14" t="s">
        <v>4228</v>
      </c>
      <c r="B976" s="14" t="s">
        <v>1724</v>
      </c>
      <c r="C976" s="14" t="s">
        <v>1674</v>
      </c>
      <c r="D976" s="28" t="s">
        <v>4229</v>
      </c>
      <c r="E976" s="43" t="s">
        <v>96</v>
      </c>
      <c r="F976" s="31" t="n">
        <f aca="false">WBS!T231</f>
        <v>2.1</v>
      </c>
      <c r="G976" s="14" t="str">
        <f aca="false">WBS!H231</f>
        <v>P3</v>
      </c>
      <c r="H976" s="14" t="str">
        <f aca="false">WBS!G231</f>
        <v>Should</v>
      </c>
      <c r="I976" s="6" t="s">
        <v>4230</v>
      </c>
      <c r="J976" s="14"/>
      <c r="K976" s="6"/>
      <c r="L976" s="41" t="s">
        <v>2065</v>
      </c>
    </row>
    <row r="977" customFormat="false" ht="15" hidden="false" customHeight="false" outlineLevel="0" collapsed="false">
      <c r="A977" s="14" t="s">
        <v>4231</v>
      </c>
      <c r="B977" s="14" t="s">
        <v>1730</v>
      </c>
      <c r="C977" s="14" t="s">
        <v>1674</v>
      </c>
      <c r="D977" s="28" t="s">
        <v>4232</v>
      </c>
      <c r="E977" s="40" t="s">
        <v>91</v>
      </c>
      <c r="F977" s="31" t="n">
        <f aca="false">WBS!R232</f>
        <v>0.7</v>
      </c>
      <c r="G977" s="14" t="str">
        <f aca="false">WBS!H232</f>
        <v>P3</v>
      </c>
      <c r="H977" s="14" t="str">
        <f aca="false">WBS!G232</f>
        <v>Should</v>
      </c>
      <c r="I977" s="6" t="s">
        <v>1673</v>
      </c>
      <c r="J977" s="14"/>
      <c r="K977" s="6"/>
      <c r="L977" s="41" t="s">
        <v>2065</v>
      </c>
    </row>
    <row r="978" customFormat="false" ht="15" hidden="false" customHeight="false" outlineLevel="0" collapsed="false">
      <c r="A978" s="14" t="s">
        <v>4233</v>
      </c>
      <c r="B978" s="14" t="s">
        <v>1730</v>
      </c>
      <c r="C978" s="14" t="s">
        <v>1674</v>
      </c>
      <c r="D978" s="28" t="s">
        <v>4234</v>
      </c>
      <c r="E978" s="42" t="s">
        <v>2068</v>
      </c>
      <c r="F978" s="31" t="n">
        <f aca="false">WBS!P232</f>
        <v>3</v>
      </c>
      <c r="G978" s="14" t="str">
        <f aca="false">WBS!H232</f>
        <v>P3</v>
      </c>
      <c r="H978" s="14" t="str">
        <f aca="false">WBS!G232</f>
        <v>Should</v>
      </c>
      <c r="I978" s="6" t="s">
        <v>4231</v>
      </c>
      <c r="J978" s="14"/>
      <c r="K978" s="6"/>
      <c r="L978" s="41" t="s">
        <v>2065</v>
      </c>
    </row>
    <row r="979" customFormat="false" ht="15" hidden="false" customHeight="false" outlineLevel="0" collapsed="false">
      <c r="A979" s="14" t="s">
        <v>4235</v>
      </c>
      <c r="B979" s="14" t="s">
        <v>1730</v>
      </c>
      <c r="C979" s="14" t="s">
        <v>1674</v>
      </c>
      <c r="D979" s="28" t="s">
        <v>4236</v>
      </c>
      <c r="E979" s="22" t="s">
        <v>2071</v>
      </c>
      <c r="F979" s="31" t="n">
        <f aca="false">WBS!Q232</f>
        <v>3</v>
      </c>
      <c r="G979" s="14" t="str">
        <f aca="false">WBS!H232</f>
        <v>P3</v>
      </c>
      <c r="H979" s="14" t="str">
        <f aca="false">WBS!G232</f>
        <v>Should</v>
      </c>
      <c r="I979" s="6" t="s">
        <v>4231</v>
      </c>
      <c r="J979" s="14"/>
      <c r="K979" s="6"/>
      <c r="L979" s="41" t="s">
        <v>2065</v>
      </c>
    </row>
    <row r="980" customFormat="false" ht="15" hidden="false" customHeight="false" outlineLevel="0" collapsed="false">
      <c r="A980" s="14" t="s">
        <v>4237</v>
      </c>
      <c r="B980" s="14" t="s">
        <v>1730</v>
      </c>
      <c r="C980" s="14" t="s">
        <v>1674</v>
      </c>
      <c r="D980" s="28" t="s">
        <v>4238</v>
      </c>
      <c r="E980" s="43" t="s">
        <v>96</v>
      </c>
      <c r="F980" s="31" t="n">
        <f aca="false">WBS!T232</f>
        <v>2.1</v>
      </c>
      <c r="G980" s="14" t="str">
        <f aca="false">WBS!H232</f>
        <v>P3</v>
      </c>
      <c r="H980" s="14" t="str">
        <f aca="false">WBS!G232</f>
        <v>Should</v>
      </c>
      <c r="I980" s="6" t="s">
        <v>4239</v>
      </c>
      <c r="J980" s="14"/>
      <c r="K980" s="6"/>
      <c r="L980" s="41" t="s">
        <v>2065</v>
      </c>
    </row>
    <row r="981" customFormat="false" ht="15" hidden="false" customHeight="false" outlineLevel="0" collapsed="false">
      <c r="A981" s="14" t="s">
        <v>4240</v>
      </c>
      <c r="B981" s="14" t="s">
        <v>1736</v>
      </c>
      <c r="C981" s="14" t="s">
        <v>1674</v>
      </c>
      <c r="D981" s="28" t="s">
        <v>4241</v>
      </c>
      <c r="E981" s="40" t="s">
        <v>91</v>
      </c>
      <c r="F981" s="31" t="n">
        <f aca="false">WBS!R233</f>
        <v>0.7</v>
      </c>
      <c r="G981" s="14" t="str">
        <f aca="false">WBS!H233</f>
        <v>P3</v>
      </c>
      <c r="H981" s="14" t="str">
        <f aca="false">WBS!G233</f>
        <v>Should</v>
      </c>
      <c r="I981" s="6" t="s">
        <v>352</v>
      </c>
      <c r="J981" s="14"/>
      <c r="K981" s="6"/>
      <c r="L981" s="41" t="s">
        <v>2065</v>
      </c>
    </row>
    <row r="982" customFormat="false" ht="15" hidden="false" customHeight="false" outlineLevel="0" collapsed="false">
      <c r="A982" s="14" t="s">
        <v>4242</v>
      </c>
      <c r="B982" s="14" t="s">
        <v>1736</v>
      </c>
      <c r="C982" s="14" t="s">
        <v>1674</v>
      </c>
      <c r="D982" s="28" t="s">
        <v>4243</v>
      </c>
      <c r="E982" s="42" t="s">
        <v>2068</v>
      </c>
      <c r="F982" s="31" t="n">
        <f aca="false">WBS!P233</f>
        <v>3</v>
      </c>
      <c r="G982" s="14" t="str">
        <f aca="false">WBS!H233</f>
        <v>P3</v>
      </c>
      <c r="H982" s="14" t="str">
        <f aca="false">WBS!G233</f>
        <v>Should</v>
      </c>
      <c r="I982" s="6" t="s">
        <v>4240</v>
      </c>
      <c r="J982" s="14"/>
      <c r="K982" s="6"/>
      <c r="L982" s="41" t="s">
        <v>2065</v>
      </c>
    </row>
    <row r="983" customFormat="false" ht="15" hidden="false" customHeight="false" outlineLevel="0" collapsed="false">
      <c r="A983" s="14" t="s">
        <v>4244</v>
      </c>
      <c r="B983" s="14" t="s">
        <v>1736</v>
      </c>
      <c r="C983" s="14" t="s">
        <v>1674</v>
      </c>
      <c r="D983" s="28" t="s">
        <v>4245</v>
      </c>
      <c r="E983" s="22" t="s">
        <v>2071</v>
      </c>
      <c r="F983" s="31" t="n">
        <f aca="false">WBS!Q233</f>
        <v>3</v>
      </c>
      <c r="G983" s="14" t="str">
        <f aca="false">WBS!H233</f>
        <v>P3</v>
      </c>
      <c r="H983" s="14" t="str">
        <f aca="false">WBS!G233</f>
        <v>Should</v>
      </c>
      <c r="I983" s="6" t="s">
        <v>4240</v>
      </c>
      <c r="J983" s="14"/>
      <c r="K983" s="6"/>
      <c r="L983" s="41" t="s">
        <v>2065</v>
      </c>
    </row>
    <row r="984" customFormat="false" ht="15" hidden="false" customHeight="false" outlineLevel="0" collapsed="false">
      <c r="A984" s="14" t="s">
        <v>4246</v>
      </c>
      <c r="B984" s="14" t="s">
        <v>1736</v>
      </c>
      <c r="C984" s="14" t="s">
        <v>1674</v>
      </c>
      <c r="D984" s="28" t="s">
        <v>4247</v>
      </c>
      <c r="E984" s="43" t="s">
        <v>96</v>
      </c>
      <c r="F984" s="31" t="n">
        <f aca="false">WBS!T233</f>
        <v>2.1</v>
      </c>
      <c r="G984" s="14" t="str">
        <f aca="false">WBS!H233</f>
        <v>P3</v>
      </c>
      <c r="H984" s="14" t="str">
        <f aca="false">WBS!G233</f>
        <v>Should</v>
      </c>
      <c r="I984" s="6" t="s">
        <v>4248</v>
      </c>
      <c r="J984" s="14"/>
      <c r="K984" s="6"/>
      <c r="L984" s="41" t="s">
        <v>2065</v>
      </c>
    </row>
    <row r="985" customFormat="false" ht="15" hidden="false" customHeight="false" outlineLevel="0" collapsed="false">
      <c r="A985" s="14" t="s">
        <v>4249</v>
      </c>
      <c r="B985" s="14" t="s">
        <v>1742</v>
      </c>
      <c r="C985" s="14" t="s">
        <v>1674</v>
      </c>
      <c r="D985" s="28" t="s">
        <v>4250</v>
      </c>
      <c r="E985" s="40" t="s">
        <v>91</v>
      </c>
      <c r="F985" s="31" t="n">
        <f aca="false">WBS!R234</f>
        <v>0.5</v>
      </c>
      <c r="G985" s="14" t="str">
        <f aca="false">WBS!H234</f>
        <v>P3</v>
      </c>
      <c r="H985" s="14" t="str">
        <f aca="false">WBS!G234</f>
        <v>Should</v>
      </c>
      <c r="I985" s="6" t="s">
        <v>1682</v>
      </c>
      <c r="J985" s="14"/>
      <c r="K985" s="6"/>
      <c r="L985" s="41" t="s">
        <v>2065</v>
      </c>
    </row>
    <row r="986" customFormat="false" ht="15" hidden="false" customHeight="false" outlineLevel="0" collapsed="false">
      <c r="A986" s="14" t="s">
        <v>4251</v>
      </c>
      <c r="B986" s="14" t="s">
        <v>1742</v>
      </c>
      <c r="C986" s="14" t="s">
        <v>1674</v>
      </c>
      <c r="D986" s="28" t="s">
        <v>4252</v>
      </c>
      <c r="E986" s="42" t="s">
        <v>2068</v>
      </c>
      <c r="F986" s="31" t="n">
        <f aca="false">WBS!P234</f>
        <v>3</v>
      </c>
      <c r="G986" s="14" t="str">
        <f aca="false">WBS!H234</f>
        <v>P3</v>
      </c>
      <c r="H986" s="14" t="str">
        <f aca="false">WBS!G234</f>
        <v>Should</v>
      </c>
      <c r="I986" s="6" t="s">
        <v>4249</v>
      </c>
      <c r="J986" s="14"/>
      <c r="K986" s="6"/>
      <c r="L986" s="41" t="s">
        <v>2065</v>
      </c>
    </row>
    <row r="987" customFormat="false" ht="15" hidden="false" customHeight="false" outlineLevel="0" collapsed="false">
      <c r="A987" s="14" t="s">
        <v>4253</v>
      </c>
      <c r="B987" s="14" t="s">
        <v>1742</v>
      </c>
      <c r="C987" s="14" t="s">
        <v>1674</v>
      </c>
      <c r="D987" s="28" t="s">
        <v>4254</v>
      </c>
      <c r="E987" s="22" t="s">
        <v>2071</v>
      </c>
      <c r="F987" s="31" t="n">
        <f aca="false">WBS!Q234</f>
        <v>1</v>
      </c>
      <c r="G987" s="14" t="str">
        <f aca="false">WBS!H234</f>
        <v>P3</v>
      </c>
      <c r="H987" s="14" t="str">
        <f aca="false">WBS!G234</f>
        <v>Should</v>
      </c>
      <c r="I987" s="6" t="s">
        <v>4249</v>
      </c>
      <c r="J987" s="14"/>
      <c r="K987" s="6"/>
      <c r="L987" s="41" t="s">
        <v>2065</v>
      </c>
    </row>
    <row r="988" customFormat="false" ht="15" hidden="false" customHeight="false" outlineLevel="0" collapsed="false">
      <c r="A988" s="14" t="s">
        <v>4255</v>
      </c>
      <c r="B988" s="14" t="s">
        <v>1742</v>
      </c>
      <c r="C988" s="14" t="s">
        <v>1674</v>
      </c>
      <c r="D988" s="28" t="s">
        <v>4256</v>
      </c>
      <c r="E988" s="43" t="s">
        <v>96</v>
      </c>
      <c r="F988" s="31" t="n">
        <f aca="false">WBS!T234</f>
        <v>1.4</v>
      </c>
      <c r="G988" s="14" t="str">
        <f aca="false">WBS!H234</f>
        <v>P3</v>
      </c>
      <c r="H988" s="14" t="str">
        <f aca="false">WBS!G234</f>
        <v>Should</v>
      </c>
      <c r="I988" s="6" t="s">
        <v>4257</v>
      </c>
      <c r="J988" s="14"/>
      <c r="K988" s="6"/>
      <c r="L988" s="41" t="s">
        <v>2065</v>
      </c>
    </row>
    <row r="989" customFormat="false" ht="15" hidden="false" customHeight="false" outlineLevel="0" collapsed="false">
      <c r="A989" s="14" t="s">
        <v>4258</v>
      </c>
      <c r="B989" s="14" t="s">
        <v>1749</v>
      </c>
      <c r="C989" s="14" t="s">
        <v>1674</v>
      </c>
      <c r="D989" s="28" t="s">
        <v>4259</v>
      </c>
      <c r="E989" s="40" t="s">
        <v>91</v>
      </c>
      <c r="F989" s="31" t="n">
        <f aca="false">WBS!R235</f>
        <v>0.5</v>
      </c>
      <c r="G989" s="14" t="str">
        <f aca="false">WBS!H235</f>
        <v>P3</v>
      </c>
      <c r="H989" s="14" t="str">
        <f aca="false">WBS!G235</f>
        <v>Should</v>
      </c>
      <c r="I989" s="6" t="s">
        <v>1272</v>
      </c>
      <c r="J989" s="14"/>
      <c r="K989" s="6"/>
      <c r="L989" s="41" t="s">
        <v>2065</v>
      </c>
    </row>
    <row r="990" customFormat="false" ht="15" hidden="false" customHeight="false" outlineLevel="0" collapsed="false">
      <c r="A990" s="14" t="s">
        <v>4260</v>
      </c>
      <c r="B990" s="14" t="s">
        <v>1749</v>
      </c>
      <c r="C990" s="14" t="s">
        <v>1674</v>
      </c>
      <c r="D990" s="28" t="s">
        <v>4261</v>
      </c>
      <c r="E990" s="42" t="s">
        <v>2068</v>
      </c>
      <c r="F990" s="31" t="n">
        <f aca="false">WBS!P235</f>
        <v>3</v>
      </c>
      <c r="G990" s="14" t="str">
        <f aca="false">WBS!H235</f>
        <v>P3</v>
      </c>
      <c r="H990" s="14" t="str">
        <f aca="false">WBS!G235</f>
        <v>Should</v>
      </c>
      <c r="I990" s="6" t="s">
        <v>4258</v>
      </c>
      <c r="J990" s="14"/>
      <c r="K990" s="6"/>
      <c r="L990" s="41" t="s">
        <v>2065</v>
      </c>
    </row>
    <row r="991" customFormat="false" ht="15" hidden="false" customHeight="false" outlineLevel="0" collapsed="false">
      <c r="A991" s="14" t="s">
        <v>4262</v>
      </c>
      <c r="B991" s="14" t="s">
        <v>1749</v>
      </c>
      <c r="C991" s="14" t="s">
        <v>1674</v>
      </c>
      <c r="D991" s="28" t="s">
        <v>4263</v>
      </c>
      <c r="E991" s="22" t="s">
        <v>2071</v>
      </c>
      <c r="F991" s="31" t="n">
        <f aca="false">WBS!Q235</f>
        <v>1</v>
      </c>
      <c r="G991" s="14" t="str">
        <f aca="false">WBS!H235</f>
        <v>P3</v>
      </c>
      <c r="H991" s="14" t="str">
        <f aca="false">WBS!G235</f>
        <v>Should</v>
      </c>
      <c r="I991" s="6" t="s">
        <v>4258</v>
      </c>
      <c r="J991" s="14"/>
      <c r="K991" s="6"/>
      <c r="L991" s="41" t="s">
        <v>2065</v>
      </c>
    </row>
    <row r="992" customFormat="false" ht="15" hidden="false" customHeight="false" outlineLevel="0" collapsed="false">
      <c r="A992" s="14" t="s">
        <v>4264</v>
      </c>
      <c r="B992" s="14" t="s">
        <v>1749</v>
      </c>
      <c r="C992" s="14" t="s">
        <v>1674</v>
      </c>
      <c r="D992" s="28" t="s">
        <v>4265</v>
      </c>
      <c r="E992" s="43" t="s">
        <v>96</v>
      </c>
      <c r="F992" s="31" t="n">
        <f aca="false">WBS!T235</f>
        <v>1.4</v>
      </c>
      <c r="G992" s="14" t="str">
        <f aca="false">WBS!H235</f>
        <v>P3</v>
      </c>
      <c r="H992" s="14" t="str">
        <f aca="false">WBS!G235</f>
        <v>Should</v>
      </c>
      <c r="I992" s="6" t="s">
        <v>4266</v>
      </c>
      <c r="J992" s="14"/>
      <c r="K992" s="6"/>
      <c r="L992" s="41" t="s">
        <v>2065</v>
      </c>
    </row>
    <row r="993" customFormat="false" ht="15" hidden="false" customHeight="false" outlineLevel="0" collapsed="false">
      <c r="A993" s="14" t="s">
        <v>4267</v>
      </c>
      <c r="B993" s="14" t="s">
        <v>1756</v>
      </c>
      <c r="C993" s="14" t="s">
        <v>1674</v>
      </c>
      <c r="D993" s="28" t="s">
        <v>4268</v>
      </c>
      <c r="E993" s="40" t="s">
        <v>91</v>
      </c>
      <c r="F993" s="31" t="n">
        <f aca="false">WBS!R236</f>
        <v>1</v>
      </c>
      <c r="G993" s="14" t="str">
        <f aca="false">WBS!H236</f>
        <v>P3</v>
      </c>
      <c r="H993" s="14" t="str">
        <f aca="false">WBS!G236</f>
        <v>Should</v>
      </c>
      <c r="I993" s="6" t="s">
        <v>256</v>
      </c>
      <c r="J993" s="14"/>
      <c r="K993" s="6"/>
      <c r="L993" s="41" t="s">
        <v>2065</v>
      </c>
    </row>
    <row r="994" customFormat="false" ht="15" hidden="false" customHeight="false" outlineLevel="0" collapsed="false">
      <c r="A994" s="14" t="s">
        <v>4269</v>
      </c>
      <c r="B994" s="14" t="s">
        <v>1756</v>
      </c>
      <c r="C994" s="14" t="s">
        <v>1674</v>
      </c>
      <c r="D994" s="28" t="s">
        <v>4270</v>
      </c>
      <c r="E994" s="42" t="s">
        <v>2068</v>
      </c>
      <c r="F994" s="31" t="n">
        <f aca="false">WBS!P236</f>
        <v>3</v>
      </c>
      <c r="G994" s="14" t="str">
        <f aca="false">WBS!H236</f>
        <v>P3</v>
      </c>
      <c r="H994" s="14" t="str">
        <f aca="false">WBS!G236</f>
        <v>Should</v>
      </c>
      <c r="I994" s="6" t="s">
        <v>4267</v>
      </c>
      <c r="J994" s="14"/>
      <c r="K994" s="6"/>
      <c r="L994" s="41" t="s">
        <v>2065</v>
      </c>
    </row>
    <row r="995" customFormat="false" ht="15" hidden="false" customHeight="false" outlineLevel="0" collapsed="false">
      <c r="A995" s="14" t="s">
        <v>4271</v>
      </c>
      <c r="B995" s="14" t="s">
        <v>1756</v>
      </c>
      <c r="C995" s="14" t="s">
        <v>1674</v>
      </c>
      <c r="D995" s="28" t="s">
        <v>4272</v>
      </c>
      <c r="E995" s="22" t="s">
        <v>2071</v>
      </c>
      <c r="F995" s="31" t="n">
        <f aca="false">WBS!Q236</f>
        <v>5</v>
      </c>
      <c r="G995" s="14" t="str">
        <f aca="false">WBS!H236</f>
        <v>P3</v>
      </c>
      <c r="H995" s="14" t="str">
        <f aca="false">WBS!G236</f>
        <v>Should</v>
      </c>
      <c r="I995" s="6" t="s">
        <v>4267</v>
      </c>
      <c r="J995" s="14"/>
      <c r="K995" s="6"/>
      <c r="L995" s="41" t="s">
        <v>2065</v>
      </c>
    </row>
    <row r="996" customFormat="false" ht="15" hidden="false" customHeight="false" outlineLevel="0" collapsed="false">
      <c r="A996" s="14" t="s">
        <v>4273</v>
      </c>
      <c r="B996" s="14" t="s">
        <v>1756</v>
      </c>
      <c r="C996" s="14" t="s">
        <v>1674</v>
      </c>
      <c r="D996" s="28" t="s">
        <v>4274</v>
      </c>
      <c r="E996" s="43" t="s">
        <v>96</v>
      </c>
      <c r="F996" s="31" t="n">
        <f aca="false">WBS!T236</f>
        <v>2.8</v>
      </c>
      <c r="G996" s="14" t="str">
        <f aca="false">WBS!H236</f>
        <v>P3</v>
      </c>
      <c r="H996" s="14" t="str">
        <f aca="false">WBS!G236</f>
        <v>Should</v>
      </c>
      <c r="I996" s="6" t="s">
        <v>4275</v>
      </c>
      <c r="J996" s="14"/>
      <c r="K996" s="6"/>
      <c r="L996" s="41" t="s">
        <v>2065</v>
      </c>
    </row>
    <row r="997" customFormat="false" ht="15" hidden="false" customHeight="false" outlineLevel="0" collapsed="false">
      <c r="A997" s="14" t="s">
        <v>4276</v>
      </c>
      <c r="B997" s="14" t="s">
        <v>1762</v>
      </c>
      <c r="C997" s="14" t="s">
        <v>1674</v>
      </c>
      <c r="D997" s="28" t="s">
        <v>4277</v>
      </c>
      <c r="E997" s="40" t="s">
        <v>91</v>
      </c>
      <c r="F997" s="31" t="n">
        <f aca="false">WBS!R237</f>
        <v>0.7</v>
      </c>
      <c r="G997" s="14" t="str">
        <f aca="false">WBS!H237</f>
        <v>P3</v>
      </c>
      <c r="H997" s="14" t="str">
        <f aca="false">WBS!G237</f>
        <v>Should</v>
      </c>
      <c r="I997" s="6" t="s">
        <v>1673</v>
      </c>
      <c r="J997" s="14"/>
      <c r="K997" s="6"/>
      <c r="L997" s="41" t="s">
        <v>2065</v>
      </c>
    </row>
    <row r="998" customFormat="false" ht="15" hidden="false" customHeight="false" outlineLevel="0" collapsed="false">
      <c r="A998" s="14" t="s">
        <v>4278</v>
      </c>
      <c r="B998" s="14" t="s">
        <v>1762</v>
      </c>
      <c r="C998" s="14" t="s">
        <v>1674</v>
      </c>
      <c r="D998" s="28" t="s">
        <v>4279</v>
      </c>
      <c r="E998" s="42" t="s">
        <v>2068</v>
      </c>
      <c r="F998" s="31" t="n">
        <f aca="false">WBS!P237</f>
        <v>3</v>
      </c>
      <c r="G998" s="14" t="str">
        <f aca="false">WBS!H237</f>
        <v>P3</v>
      </c>
      <c r="H998" s="14" t="str">
        <f aca="false">WBS!G237</f>
        <v>Should</v>
      </c>
      <c r="I998" s="6" t="s">
        <v>4276</v>
      </c>
      <c r="J998" s="14"/>
      <c r="K998" s="6"/>
      <c r="L998" s="41" t="s">
        <v>2065</v>
      </c>
    </row>
    <row r="999" customFormat="false" ht="15" hidden="false" customHeight="false" outlineLevel="0" collapsed="false">
      <c r="A999" s="14" t="s">
        <v>4280</v>
      </c>
      <c r="B999" s="14" t="s">
        <v>1762</v>
      </c>
      <c r="C999" s="14" t="s">
        <v>1674</v>
      </c>
      <c r="D999" s="28" t="s">
        <v>4281</v>
      </c>
      <c r="E999" s="22" t="s">
        <v>2071</v>
      </c>
      <c r="F999" s="31" t="n">
        <f aca="false">WBS!Q237</f>
        <v>3</v>
      </c>
      <c r="G999" s="14" t="str">
        <f aca="false">WBS!H237</f>
        <v>P3</v>
      </c>
      <c r="H999" s="14" t="str">
        <f aca="false">WBS!G237</f>
        <v>Should</v>
      </c>
      <c r="I999" s="6" t="s">
        <v>4276</v>
      </c>
      <c r="J999" s="14"/>
      <c r="K999" s="6"/>
      <c r="L999" s="41" t="s">
        <v>2065</v>
      </c>
    </row>
    <row r="1000" customFormat="false" ht="15" hidden="false" customHeight="false" outlineLevel="0" collapsed="false">
      <c r="A1000" s="14" t="s">
        <v>4282</v>
      </c>
      <c r="B1000" s="14" t="s">
        <v>1762</v>
      </c>
      <c r="C1000" s="14" t="s">
        <v>1674</v>
      </c>
      <c r="D1000" s="28" t="s">
        <v>4283</v>
      </c>
      <c r="E1000" s="43" t="s">
        <v>96</v>
      </c>
      <c r="F1000" s="31" t="n">
        <f aca="false">WBS!T237</f>
        <v>2.1</v>
      </c>
      <c r="G1000" s="14" t="str">
        <f aca="false">WBS!H237</f>
        <v>P3</v>
      </c>
      <c r="H1000" s="14" t="str">
        <f aca="false">WBS!G237</f>
        <v>Should</v>
      </c>
      <c r="I1000" s="6" t="s">
        <v>4284</v>
      </c>
      <c r="J1000" s="14"/>
      <c r="K1000" s="6"/>
      <c r="L1000" s="41" t="s">
        <v>2065</v>
      </c>
    </row>
    <row r="1001" customFormat="false" ht="15" hidden="false" customHeight="false" outlineLevel="0" collapsed="false">
      <c r="A1001" s="14" t="s">
        <v>4285</v>
      </c>
      <c r="B1001" s="14" t="s">
        <v>1769</v>
      </c>
      <c r="C1001" s="14" t="s">
        <v>1674</v>
      </c>
      <c r="D1001" s="28" t="s">
        <v>4286</v>
      </c>
      <c r="E1001" s="40" t="s">
        <v>91</v>
      </c>
      <c r="F1001" s="31" t="n">
        <f aca="false">WBS!R238</f>
        <v>1</v>
      </c>
      <c r="G1001" s="14" t="str">
        <f aca="false">WBS!H238</f>
        <v>P4</v>
      </c>
      <c r="H1001" s="14" t="str">
        <f aca="false">WBS!G238</f>
        <v>Nice-to-have</v>
      </c>
      <c r="I1001" s="6" t="s">
        <v>284</v>
      </c>
      <c r="J1001" s="14"/>
      <c r="K1001" s="6"/>
      <c r="L1001" s="41" t="s">
        <v>2065</v>
      </c>
    </row>
    <row r="1002" customFormat="false" ht="15" hidden="false" customHeight="false" outlineLevel="0" collapsed="false">
      <c r="A1002" s="14" t="s">
        <v>4287</v>
      </c>
      <c r="B1002" s="14" t="s">
        <v>1769</v>
      </c>
      <c r="C1002" s="14" t="s">
        <v>1674</v>
      </c>
      <c r="D1002" s="28" t="s">
        <v>4288</v>
      </c>
      <c r="E1002" s="42" t="s">
        <v>2068</v>
      </c>
      <c r="F1002" s="31" t="n">
        <f aca="false">WBS!P238</f>
        <v>5</v>
      </c>
      <c r="G1002" s="14" t="str">
        <f aca="false">WBS!H238</f>
        <v>P4</v>
      </c>
      <c r="H1002" s="14" t="str">
        <f aca="false">WBS!G238</f>
        <v>Nice-to-have</v>
      </c>
      <c r="I1002" s="6" t="s">
        <v>4285</v>
      </c>
      <c r="J1002" s="14"/>
      <c r="K1002" s="6"/>
      <c r="L1002" s="41" t="s">
        <v>2065</v>
      </c>
    </row>
    <row r="1003" customFormat="false" ht="15" hidden="false" customHeight="false" outlineLevel="0" collapsed="false">
      <c r="A1003" s="14" t="s">
        <v>4289</v>
      </c>
      <c r="B1003" s="14" t="s">
        <v>1769</v>
      </c>
      <c r="C1003" s="14" t="s">
        <v>1674</v>
      </c>
      <c r="D1003" s="28" t="s">
        <v>4290</v>
      </c>
      <c r="E1003" s="22" t="s">
        <v>2071</v>
      </c>
      <c r="F1003" s="31" t="n">
        <f aca="false">WBS!Q238</f>
        <v>3</v>
      </c>
      <c r="G1003" s="14" t="str">
        <f aca="false">WBS!H238</f>
        <v>P4</v>
      </c>
      <c r="H1003" s="14" t="str">
        <f aca="false">WBS!G238</f>
        <v>Nice-to-have</v>
      </c>
      <c r="I1003" s="6" t="s">
        <v>4285</v>
      </c>
      <c r="J1003" s="14"/>
      <c r="K1003" s="6"/>
      <c r="L1003" s="41" t="s">
        <v>2065</v>
      </c>
    </row>
    <row r="1004" customFormat="false" ht="15" hidden="false" customHeight="false" outlineLevel="0" collapsed="false">
      <c r="A1004" s="14" t="s">
        <v>4291</v>
      </c>
      <c r="B1004" s="14" t="s">
        <v>1769</v>
      </c>
      <c r="C1004" s="14" t="s">
        <v>1674</v>
      </c>
      <c r="D1004" s="28" t="s">
        <v>4292</v>
      </c>
      <c r="E1004" s="43" t="s">
        <v>96</v>
      </c>
      <c r="F1004" s="31" t="n">
        <f aca="false">WBS!T238</f>
        <v>2.8</v>
      </c>
      <c r="G1004" s="14" t="str">
        <f aca="false">WBS!H238</f>
        <v>P4</v>
      </c>
      <c r="H1004" s="14" t="str">
        <f aca="false">WBS!G238</f>
        <v>Nice-to-have</v>
      </c>
      <c r="I1004" s="6" t="s">
        <v>4293</v>
      </c>
      <c r="J1004" s="14"/>
      <c r="K1004" s="6"/>
      <c r="L1004" s="41" t="s">
        <v>2065</v>
      </c>
    </row>
    <row r="1005" customFormat="false" ht="15" hidden="false" customHeight="false" outlineLevel="0" collapsed="false">
      <c r="A1005" s="14" t="s">
        <v>4294</v>
      </c>
      <c r="B1005" s="14" t="s">
        <v>1776</v>
      </c>
      <c r="C1005" s="14" t="s">
        <v>1777</v>
      </c>
      <c r="D1005" s="28" t="s">
        <v>4295</v>
      </c>
      <c r="E1005" s="40" t="s">
        <v>91</v>
      </c>
      <c r="F1005" s="31" t="n">
        <f aca="false">WBS!R239</f>
        <v>0.7</v>
      </c>
      <c r="G1005" s="14" t="str">
        <f aca="false">WBS!H239</f>
        <v>P2</v>
      </c>
      <c r="H1005" s="14" t="str">
        <f aca="false">WBS!G239</f>
        <v>Must</v>
      </c>
      <c r="I1005" s="6" t="s">
        <v>1785</v>
      </c>
      <c r="J1005" s="14"/>
      <c r="K1005" s="6"/>
      <c r="L1005" s="41" t="s">
        <v>2065</v>
      </c>
    </row>
    <row r="1006" customFormat="false" ht="15" hidden="false" customHeight="false" outlineLevel="0" collapsed="false">
      <c r="A1006" s="14" t="s">
        <v>4296</v>
      </c>
      <c r="B1006" s="14" t="s">
        <v>1776</v>
      </c>
      <c r="C1006" s="14" t="s">
        <v>1777</v>
      </c>
      <c r="D1006" s="28" t="s">
        <v>4297</v>
      </c>
      <c r="E1006" s="42" t="s">
        <v>2068</v>
      </c>
      <c r="F1006" s="31" t="n">
        <f aca="false">WBS!P239</f>
        <v>3</v>
      </c>
      <c r="G1006" s="14" t="str">
        <f aca="false">WBS!H239</f>
        <v>P2</v>
      </c>
      <c r="H1006" s="14" t="str">
        <f aca="false">WBS!G239</f>
        <v>Must</v>
      </c>
      <c r="I1006" s="6" t="s">
        <v>4294</v>
      </c>
      <c r="J1006" s="14"/>
      <c r="K1006" s="6"/>
      <c r="L1006" s="41" t="s">
        <v>2065</v>
      </c>
    </row>
    <row r="1007" customFormat="false" ht="15" hidden="false" customHeight="false" outlineLevel="0" collapsed="false">
      <c r="A1007" s="14" t="s">
        <v>4298</v>
      </c>
      <c r="B1007" s="14" t="s">
        <v>1776</v>
      </c>
      <c r="C1007" s="14" t="s">
        <v>1777</v>
      </c>
      <c r="D1007" s="28" t="s">
        <v>4299</v>
      </c>
      <c r="E1007" s="22" t="s">
        <v>2071</v>
      </c>
      <c r="F1007" s="31" t="n">
        <f aca="false">WBS!Q239</f>
        <v>3</v>
      </c>
      <c r="G1007" s="14" t="str">
        <f aca="false">WBS!H239</f>
        <v>P2</v>
      </c>
      <c r="H1007" s="14" t="str">
        <f aca="false">WBS!G239</f>
        <v>Must</v>
      </c>
      <c r="I1007" s="6" t="s">
        <v>4294</v>
      </c>
      <c r="J1007" s="14"/>
      <c r="K1007" s="6"/>
      <c r="L1007" s="41" t="s">
        <v>2065</v>
      </c>
    </row>
    <row r="1008" customFormat="false" ht="15" hidden="false" customHeight="false" outlineLevel="0" collapsed="false">
      <c r="A1008" s="14" t="s">
        <v>4300</v>
      </c>
      <c r="B1008" s="14" t="s">
        <v>1776</v>
      </c>
      <c r="C1008" s="14" t="s">
        <v>1777</v>
      </c>
      <c r="D1008" s="28" t="s">
        <v>4301</v>
      </c>
      <c r="E1008" s="43" t="s">
        <v>96</v>
      </c>
      <c r="F1008" s="31" t="n">
        <f aca="false">WBS!T239</f>
        <v>2.1</v>
      </c>
      <c r="G1008" s="14" t="str">
        <f aca="false">WBS!H239</f>
        <v>P2</v>
      </c>
      <c r="H1008" s="14" t="str">
        <f aca="false">WBS!G239</f>
        <v>Must</v>
      </c>
      <c r="I1008" s="6" t="s">
        <v>4302</v>
      </c>
      <c r="J1008" s="14"/>
      <c r="K1008" s="6"/>
      <c r="L1008" s="41" t="s">
        <v>2065</v>
      </c>
    </row>
    <row r="1009" customFormat="false" ht="23.85" hidden="false" customHeight="false" outlineLevel="0" collapsed="false">
      <c r="A1009" s="14" t="s">
        <v>4303</v>
      </c>
      <c r="B1009" s="14" t="s">
        <v>1787</v>
      </c>
      <c r="C1009" s="14" t="s">
        <v>1777</v>
      </c>
      <c r="D1009" s="28" t="s">
        <v>4304</v>
      </c>
      <c r="E1009" s="40" t="s">
        <v>91</v>
      </c>
      <c r="F1009" s="31" t="n">
        <f aca="false">WBS!R240</f>
        <v>1.8</v>
      </c>
      <c r="G1009" s="14" t="str">
        <f aca="false">WBS!H240</f>
        <v>P2</v>
      </c>
      <c r="H1009" s="14" t="str">
        <f aca="false">WBS!G240</f>
        <v>Must</v>
      </c>
      <c r="I1009" s="6" t="s">
        <v>1793</v>
      </c>
      <c r="J1009" s="14"/>
      <c r="K1009" s="6"/>
      <c r="L1009" s="41" t="s">
        <v>2065</v>
      </c>
    </row>
    <row r="1010" customFormat="false" ht="15" hidden="false" customHeight="false" outlineLevel="0" collapsed="false">
      <c r="A1010" s="14" t="s">
        <v>4305</v>
      </c>
      <c r="B1010" s="14" t="s">
        <v>1787</v>
      </c>
      <c r="C1010" s="14" t="s">
        <v>1777</v>
      </c>
      <c r="D1010" s="28" t="s">
        <v>4306</v>
      </c>
      <c r="E1010" s="37" t="s">
        <v>128</v>
      </c>
      <c r="F1010" s="31" t="n">
        <f aca="false">WBS!S240</f>
        <v>2</v>
      </c>
      <c r="G1010" s="14" t="str">
        <f aca="false">WBS!H240</f>
        <v>P2</v>
      </c>
      <c r="H1010" s="14" t="str">
        <f aca="false">WBS!G240</f>
        <v>Must</v>
      </c>
      <c r="I1010" s="6" t="s">
        <v>4303</v>
      </c>
      <c r="J1010" s="14"/>
      <c r="K1010" s="6"/>
      <c r="L1010" s="41" t="s">
        <v>2065</v>
      </c>
    </row>
    <row r="1011" customFormat="false" ht="22.35" hidden="false" customHeight="false" outlineLevel="0" collapsed="false">
      <c r="A1011" s="14" t="s">
        <v>4307</v>
      </c>
      <c r="B1011" s="14" t="s">
        <v>1787</v>
      </c>
      <c r="C1011" s="14" t="s">
        <v>1777</v>
      </c>
      <c r="D1011" s="28" t="s">
        <v>4308</v>
      </c>
      <c r="E1011" s="42" t="s">
        <v>2068</v>
      </c>
      <c r="F1011" s="31" t="n">
        <f aca="false">WBS!P240</f>
        <v>10</v>
      </c>
      <c r="G1011" s="14" t="str">
        <f aca="false">WBS!H240</f>
        <v>P2</v>
      </c>
      <c r="H1011" s="14" t="str">
        <f aca="false">WBS!G240</f>
        <v>Must</v>
      </c>
      <c r="I1011" s="6" t="s">
        <v>4303</v>
      </c>
      <c r="J1011" s="14"/>
      <c r="K1011" s="6"/>
      <c r="L1011" s="41" t="s">
        <v>2065</v>
      </c>
    </row>
    <row r="1012" customFormat="false" ht="15" hidden="false" customHeight="false" outlineLevel="0" collapsed="false">
      <c r="A1012" s="14" t="s">
        <v>4309</v>
      </c>
      <c r="B1012" s="14" t="s">
        <v>1787</v>
      </c>
      <c r="C1012" s="14" t="s">
        <v>1777</v>
      </c>
      <c r="D1012" s="28" t="s">
        <v>4310</v>
      </c>
      <c r="E1012" s="22" t="s">
        <v>2071</v>
      </c>
      <c r="F1012" s="31" t="n">
        <f aca="false">WBS!Q240</f>
        <v>5</v>
      </c>
      <c r="G1012" s="14" t="str">
        <f aca="false">WBS!H240</f>
        <v>P2</v>
      </c>
      <c r="H1012" s="14" t="str">
        <f aca="false">WBS!G240</f>
        <v>Must</v>
      </c>
      <c r="I1012" s="6" t="s">
        <v>4305</v>
      </c>
      <c r="J1012" s="14"/>
      <c r="K1012" s="6"/>
      <c r="L1012" s="41" t="s">
        <v>2065</v>
      </c>
    </row>
    <row r="1013" customFormat="false" ht="15" hidden="false" customHeight="false" outlineLevel="0" collapsed="false">
      <c r="A1013" s="14" t="s">
        <v>4311</v>
      </c>
      <c r="B1013" s="14" t="s">
        <v>1787</v>
      </c>
      <c r="C1013" s="14" t="s">
        <v>1777</v>
      </c>
      <c r="D1013" s="28" t="s">
        <v>4312</v>
      </c>
      <c r="E1013" s="43" t="s">
        <v>96</v>
      </c>
      <c r="F1013" s="31" t="n">
        <f aca="false">WBS!T240</f>
        <v>5.3</v>
      </c>
      <c r="G1013" s="14" t="str">
        <f aca="false">WBS!H240</f>
        <v>P2</v>
      </c>
      <c r="H1013" s="14" t="str">
        <f aca="false">WBS!G240</f>
        <v>Must</v>
      </c>
      <c r="I1013" s="6" t="s">
        <v>4313</v>
      </c>
      <c r="J1013" s="14"/>
      <c r="K1013" s="6"/>
      <c r="L1013" s="41" t="s">
        <v>2065</v>
      </c>
    </row>
    <row r="1014" customFormat="false" ht="15" hidden="false" customHeight="false" outlineLevel="0" collapsed="false">
      <c r="A1014" s="14" t="s">
        <v>4314</v>
      </c>
      <c r="B1014" s="14" t="s">
        <v>1795</v>
      </c>
      <c r="C1014" s="14" t="s">
        <v>1777</v>
      </c>
      <c r="D1014" s="28" t="s">
        <v>4315</v>
      </c>
      <c r="E1014" s="40" t="s">
        <v>91</v>
      </c>
      <c r="F1014" s="31" t="n">
        <f aca="false">WBS!R241</f>
        <v>0.7</v>
      </c>
      <c r="G1014" s="14" t="str">
        <f aca="false">WBS!H241</f>
        <v>P2</v>
      </c>
      <c r="H1014" s="14" t="str">
        <f aca="false">WBS!G241</f>
        <v>Must</v>
      </c>
      <c r="I1014" s="6" t="s">
        <v>1787</v>
      </c>
      <c r="J1014" s="14"/>
      <c r="K1014" s="6"/>
      <c r="L1014" s="41" t="s">
        <v>2065</v>
      </c>
    </row>
    <row r="1015" customFormat="false" ht="15" hidden="false" customHeight="false" outlineLevel="0" collapsed="false">
      <c r="A1015" s="14" t="s">
        <v>4316</v>
      </c>
      <c r="B1015" s="14" t="s">
        <v>1795</v>
      </c>
      <c r="C1015" s="14" t="s">
        <v>1777</v>
      </c>
      <c r="D1015" s="28" t="s">
        <v>4317</v>
      </c>
      <c r="E1015" s="42" t="s">
        <v>2068</v>
      </c>
      <c r="F1015" s="31" t="n">
        <f aca="false">WBS!P241</f>
        <v>3</v>
      </c>
      <c r="G1015" s="14" t="str">
        <f aca="false">WBS!H241</f>
        <v>P2</v>
      </c>
      <c r="H1015" s="14" t="str">
        <f aca="false">WBS!G241</f>
        <v>Must</v>
      </c>
      <c r="I1015" s="6" t="s">
        <v>4314</v>
      </c>
      <c r="J1015" s="14"/>
      <c r="K1015" s="6"/>
      <c r="L1015" s="41" t="s">
        <v>2065</v>
      </c>
    </row>
    <row r="1016" customFormat="false" ht="15" hidden="false" customHeight="false" outlineLevel="0" collapsed="false">
      <c r="A1016" s="14" t="s">
        <v>4318</v>
      </c>
      <c r="B1016" s="14" t="s">
        <v>1795</v>
      </c>
      <c r="C1016" s="14" t="s">
        <v>1777</v>
      </c>
      <c r="D1016" s="28" t="s">
        <v>4319</v>
      </c>
      <c r="E1016" s="22" t="s">
        <v>2071</v>
      </c>
      <c r="F1016" s="31" t="n">
        <f aca="false">WBS!Q241</f>
        <v>3</v>
      </c>
      <c r="G1016" s="14" t="str">
        <f aca="false">WBS!H241</f>
        <v>P2</v>
      </c>
      <c r="H1016" s="14" t="str">
        <f aca="false">WBS!G241</f>
        <v>Must</v>
      </c>
      <c r="I1016" s="6" t="s">
        <v>4314</v>
      </c>
      <c r="J1016" s="14"/>
      <c r="K1016" s="6"/>
      <c r="L1016" s="41" t="s">
        <v>2065</v>
      </c>
    </row>
    <row r="1017" customFormat="false" ht="15" hidden="false" customHeight="false" outlineLevel="0" collapsed="false">
      <c r="A1017" s="14" t="s">
        <v>4320</v>
      </c>
      <c r="B1017" s="14" t="s">
        <v>1795</v>
      </c>
      <c r="C1017" s="14" t="s">
        <v>1777</v>
      </c>
      <c r="D1017" s="28" t="s">
        <v>4321</v>
      </c>
      <c r="E1017" s="43" t="s">
        <v>96</v>
      </c>
      <c r="F1017" s="31" t="n">
        <f aca="false">WBS!T241</f>
        <v>2.1</v>
      </c>
      <c r="G1017" s="14" t="str">
        <f aca="false">WBS!H241</f>
        <v>P2</v>
      </c>
      <c r="H1017" s="14" t="str">
        <f aca="false">WBS!G241</f>
        <v>Must</v>
      </c>
      <c r="I1017" s="6" t="s">
        <v>4322</v>
      </c>
      <c r="J1017" s="14"/>
      <c r="K1017" s="6"/>
      <c r="L1017" s="41" t="s">
        <v>2065</v>
      </c>
    </row>
    <row r="1018" customFormat="false" ht="15" hidden="false" customHeight="false" outlineLevel="0" collapsed="false">
      <c r="A1018" s="14" t="s">
        <v>4323</v>
      </c>
      <c r="B1018" s="14" t="s">
        <v>1802</v>
      </c>
      <c r="C1018" s="14" t="s">
        <v>1777</v>
      </c>
      <c r="D1018" s="28" t="s">
        <v>4324</v>
      </c>
      <c r="E1018" s="40" t="s">
        <v>91</v>
      </c>
      <c r="F1018" s="31" t="n">
        <f aca="false">WBS!R242</f>
        <v>0.7</v>
      </c>
      <c r="G1018" s="14" t="str">
        <f aca="false">WBS!H242</f>
        <v>P2</v>
      </c>
      <c r="H1018" s="14" t="str">
        <f aca="false">WBS!G242</f>
        <v>Must</v>
      </c>
      <c r="I1018" s="6" t="s">
        <v>1787</v>
      </c>
      <c r="J1018" s="14"/>
      <c r="K1018" s="6"/>
      <c r="L1018" s="41" t="s">
        <v>2065</v>
      </c>
    </row>
    <row r="1019" customFormat="false" ht="15" hidden="false" customHeight="false" outlineLevel="0" collapsed="false">
      <c r="A1019" s="14" t="s">
        <v>4325</v>
      </c>
      <c r="B1019" s="14" t="s">
        <v>1802</v>
      </c>
      <c r="C1019" s="14" t="s">
        <v>1777</v>
      </c>
      <c r="D1019" s="28" t="s">
        <v>4326</v>
      </c>
      <c r="E1019" s="42" t="s">
        <v>2068</v>
      </c>
      <c r="F1019" s="31" t="n">
        <f aca="false">WBS!P242</f>
        <v>3</v>
      </c>
      <c r="G1019" s="14" t="str">
        <f aca="false">WBS!H242</f>
        <v>P2</v>
      </c>
      <c r="H1019" s="14" t="str">
        <f aca="false">WBS!G242</f>
        <v>Must</v>
      </c>
      <c r="I1019" s="6" t="s">
        <v>4323</v>
      </c>
      <c r="J1019" s="14"/>
      <c r="K1019" s="6"/>
      <c r="L1019" s="41" t="s">
        <v>2065</v>
      </c>
    </row>
    <row r="1020" customFormat="false" ht="15" hidden="false" customHeight="false" outlineLevel="0" collapsed="false">
      <c r="A1020" s="14" t="s">
        <v>4327</v>
      </c>
      <c r="B1020" s="14" t="s">
        <v>1802</v>
      </c>
      <c r="C1020" s="14" t="s">
        <v>1777</v>
      </c>
      <c r="D1020" s="28" t="s">
        <v>4328</v>
      </c>
      <c r="E1020" s="22" t="s">
        <v>2071</v>
      </c>
      <c r="F1020" s="31" t="n">
        <f aca="false">WBS!Q242</f>
        <v>3</v>
      </c>
      <c r="G1020" s="14" t="str">
        <f aca="false">WBS!H242</f>
        <v>P2</v>
      </c>
      <c r="H1020" s="14" t="str">
        <f aca="false">WBS!G242</f>
        <v>Must</v>
      </c>
      <c r="I1020" s="6" t="s">
        <v>4323</v>
      </c>
      <c r="J1020" s="14"/>
      <c r="K1020" s="6"/>
      <c r="L1020" s="41" t="s">
        <v>2065</v>
      </c>
    </row>
    <row r="1021" customFormat="false" ht="15" hidden="false" customHeight="false" outlineLevel="0" collapsed="false">
      <c r="A1021" s="14" t="s">
        <v>4329</v>
      </c>
      <c r="B1021" s="14" t="s">
        <v>1802</v>
      </c>
      <c r="C1021" s="14" t="s">
        <v>1777</v>
      </c>
      <c r="D1021" s="28" t="s">
        <v>4330</v>
      </c>
      <c r="E1021" s="43" t="s">
        <v>96</v>
      </c>
      <c r="F1021" s="31" t="n">
        <f aca="false">WBS!T242</f>
        <v>2.1</v>
      </c>
      <c r="G1021" s="14" t="str">
        <f aca="false">WBS!H242</f>
        <v>P2</v>
      </c>
      <c r="H1021" s="14" t="str">
        <f aca="false">WBS!G242</f>
        <v>Must</v>
      </c>
      <c r="I1021" s="6" t="s">
        <v>4331</v>
      </c>
      <c r="J1021" s="14"/>
      <c r="K1021" s="6"/>
      <c r="L1021" s="41" t="s">
        <v>2065</v>
      </c>
    </row>
    <row r="1022" customFormat="false" ht="15" hidden="false" customHeight="false" outlineLevel="0" collapsed="false">
      <c r="A1022" s="14" t="s">
        <v>4332</v>
      </c>
      <c r="B1022" s="14" t="s">
        <v>1808</v>
      </c>
      <c r="C1022" s="14" t="s">
        <v>1777</v>
      </c>
      <c r="D1022" s="28" t="s">
        <v>4333</v>
      </c>
      <c r="E1022" s="40" t="s">
        <v>91</v>
      </c>
      <c r="F1022" s="31" t="n">
        <f aca="false">WBS!R243</f>
        <v>1</v>
      </c>
      <c r="G1022" s="14" t="str">
        <f aca="false">WBS!H243</f>
        <v>P2</v>
      </c>
      <c r="H1022" s="14" t="str">
        <f aca="false">WBS!G243</f>
        <v>Must</v>
      </c>
      <c r="I1022" s="6" t="s">
        <v>1787</v>
      </c>
      <c r="J1022" s="14"/>
      <c r="K1022" s="6"/>
      <c r="L1022" s="41" t="s">
        <v>2065</v>
      </c>
    </row>
    <row r="1023" customFormat="false" ht="15" hidden="false" customHeight="false" outlineLevel="0" collapsed="false">
      <c r="A1023" s="14" t="s">
        <v>4334</v>
      </c>
      <c r="B1023" s="14" t="s">
        <v>1808</v>
      </c>
      <c r="C1023" s="14" t="s">
        <v>1777</v>
      </c>
      <c r="D1023" s="28" t="s">
        <v>4335</v>
      </c>
      <c r="E1023" s="42" t="s">
        <v>2068</v>
      </c>
      <c r="F1023" s="31" t="n">
        <f aca="false">WBS!P243</f>
        <v>3</v>
      </c>
      <c r="G1023" s="14" t="str">
        <f aca="false">WBS!H243</f>
        <v>P2</v>
      </c>
      <c r="H1023" s="14" t="str">
        <f aca="false">WBS!G243</f>
        <v>Must</v>
      </c>
      <c r="I1023" s="6" t="s">
        <v>4332</v>
      </c>
      <c r="J1023" s="14"/>
      <c r="K1023" s="6"/>
      <c r="L1023" s="41" t="s">
        <v>2065</v>
      </c>
    </row>
    <row r="1024" customFormat="false" ht="15" hidden="false" customHeight="false" outlineLevel="0" collapsed="false">
      <c r="A1024" s="14" t="s">
        <v>4336</v>
      </c>
      <c r="B1024" s="14" t="s">
        <v>1808</v>
      </c>
      <c r="C1024" s="14" t="s">
        <v>1777</v>
      </c>
      <c r="D1024" s="28" t="s">
        <v>4337</v>
      </c>
      <c r="E1024" s="22" t="s">
        <v>2071</v>
      </c>
      <c r="F1024" s="31" t="n">
        <f aca="false">WBS!Q243</f>
        <v>5</v>
      </c>
      <c r="G1024" s="14" t="str">
        <f aca="false">WBS!H243</f>
        <v>P2</v>
      </c>
      <c r="H1024" s="14" t="str">
        <f aca="false">WBS!G243</f>
        <v>Must</v>
      </c>
      <c r="I1024" s="6" t="s">
        <v>4332</v>
      </c>
      <c r="J1024" s="14"/>
      <c r="K1024" s="6"/>
      <c r="L1024" s="41" t="s">
        <v>2065</v>
      </c>
    </row>
    <row r="1025" customFormat="false" ht="15" hidden="false" customHeight="false" outlineLevel="0" collapsed="false">
      <c r="A1025" s="14" t="s">
        <v>4338</v>
      </c>
      <c r="B1025" s="14" t="s">
        <v>1808</v>
      </c>
      <c r="C1025" s="14" t="s">
        <v>1777</v>
      </c>
      <c r="D1025" s="28" t="s">
        <v>4339</v>
      </c>
      <c r="E1025" s="43" t="s">
        <v>96</v>
      </c>
      <c r="F1025" s="31" t="n">
        <f aca="false">WBS!T243</f>
        <v>2.8</v>
      </c>
      <c r="G1025" s="14" t="str">
        <f aca="false">WBS!H243</f>
        <v>P2</v>
      </c>
      <c r="H1025" s="14" t="str">
        <f aca="false">WBS!G243</f>
        <v>Must</v>
      </c>
      <c r="I1025" s="6" t="s">
        <v>4340</v>
      </c>
      <c r="J1025" s="14"/>
      <c r="K1025" s="6"/>
      <c r="L1025" s="41" t="s">
        <v>2065</v>
      </c>
    </row>
    <row r="1026" customFormat="false" ht="15" hidden="false" customHeight="false" outlineLevel="0" collapsed="false">
      <c r="A1026" s="14" t="s">
        <v>4341</v>
      </c>
      <c r="B1026" s="14" t="s">
        <v>1814</v>
      </c>
      <c r="C1026" s="14" t="s">
        <v>1777</v>
      </c>
      <c r="D1026" s="28" t="s">
        <v>4342</v>
      </c>
      <c r="E1026" s="40" t="s">
        <v>91</v>
      </c>
      <c r="F1026" s="31" t="n">
        <f aca="false">WBS!R244</f>
        <v>0.7</v>
      </c>
      <c r="G1026" s="14" t="str">
        <f aca="false">WBS!H244</f>
        <v>P2</v>
      </c>
      <c r="H1026" s="14" t="str">
        <f aca="false">WBS!G244</f>
        <v>Must</v>
      </c>
      <c r="I1026" s="6" t="s">
        <v>1673</v>
      </c>
      <c r="J1026" s="14"/>
      <c r="K1026" s="6"/>
      <c r="L1026" s="41" t="s">
        <v>2065</v>
      </c>
    </row>
    <row r="1027" customFormat="false" ht="15" hidden="false" customHeight="false" outlineLevel="0" collapsed="false">
      <c r="A1027" s="14" t="s">
        <v>4343</v>
      </c>
      <c r="B1027" s="14" t="s">
        <v>1814</v>
      </c>
      <c r="C1027" s="14" t="s">
        <v>1777</v>
      </c>
      <c r="D1027" s="28" t="s">
        <v>4344</v>
      </c>
      <c r="E1027" s="42" t="s">
        <v>2068</v>
      </c>
      <c r="F1027" s="31" t="n">
        <f aca="false">WBS!P244</f>
        <v>3</v>
      </c>
      <c r="G1027" s="14" t="str">
        <f aca="false">WBS!H244</f>
        <v>P2</v>
      </c>
      <c r="H1027" s="14" t="str">
        <f aca="false">WBS!G244</f>
        <v>Must</v>
      </c>
      <c r="I1027" s="6" t="s">
        <v>4341</v>
      </c>
      <c r="J1027" s="14"/>
      <c r="K1027" s="6"/>
      <c r="L1027" s="41" t="s">
        <v>2065</v>
      </c>
    </row>
    <row r="1028" customFormat="false" ht="15" hidden="false" customHeight="false" outlineLevel="0" collapsed="false">
      <c r="A1028" s="14" t="s">
        <v>4345</v>
      </c>
      <c r="B1028" s="14" t="s">
        <v>1814</v>
      </c>
      <c r="C1028" s="14" t="s">
        <v>1777</v>
      </c>
      <c r="D1028" s="28" t="s">
        <v>4346</v>
      </c>
      <c r="E1028" s="22" t="s">
        <v>2071</v>
      </c>
      <c r="F1028" s="31" t="n">
        <f aca="false">WBS!Q244</f>
        <v>3</v>
      </c>
      <c r="G1028" s="14" t="str">
        <f aca="false">WBS!H244</f>
        <v>P2</v>
      </c>
      <c r="H1028" s="14" t="str">
        <f aca="false">WBS!G244</f>
        <v>Must</v>
      </c>
      <c r="I1028" s="6" t="s">
        <v>4341</v>
      </c>
      <c r="J1028" s="14"/>
      <c r="K1028" s="6"/>
      <c r="L1028" s="41" t="s">
        <v>2065</v>
      </c>
    </row>
    <row r="1029" customFormat="false" ht="15" hidden="false" customHeight="false" outlineLevel="0" collapsed="false">
      <c r="A1029" s="14" t="s">
        <v>4347</v>
      </c>
      <c r="B1029" s="14" t="s">
        <v>1814</v>
      </c>
      <c r="C1029" s="14" t="s">
        <v>1777</v>
      </c>
      <c r="D1029" s="28" t="s">
        <v>4348</v>
      </c>
      <c r="E1029" s="43" t="s">
        <v>96</v>
      </c>
      <c r="F1029" s="31" t="n">
        <f aca="false">WBS!T244</f>
        <v>2.1</v>
      </c>
      <c r="G1029" s="14" t="str">
        <f aca="false">WBS!H244</f>
        <v>P2</v>
      </c>
      <c r="H1029" s="14" t="str">
        <f aca="false">WBS!G244</f>
        <v>Must</v>
      </c>
      <c r="I1029" s="6" t="s">
        <v>4349</v>
      </c>
      <c r="J1029" s="14"/>
      <c r="K1029" s="6"/>
      <c r="L1029" s="41" t="s">
        <v>2065</v>
      </c>
    </row>
    <row r="1030" customFormat="false" ht="15" hidden="false" customHeight="false" outlineLevel="0" collapsed="false">
      <c r="A1030" s="14" t="s">
        <v>4350</v>
      </c>
      <c r="B1030" s="14" t="s">
        <v>1820</v>
      </c>
      <c r="C1030" s="14" t="s">
        <v>1777</v>
      </c>
      <c r="D1030" s="28" t="s">
        <v>4351</v>
      </c>
      <c r="E1030" s="40" t="s">
        <v>91</v>
      </c>
      <c r="F1030" s="31" t="n">
        <f aca="false">WBS!R245</f>
        <v>0.5</v>
      </c>
      <c r="G1030" s="14" t="str">
        <f aca="false">WBS!H245</f>
        <v>P3</v>
      </c>
      <c r="H1030" s="14" t="str">
        <f aca="false">WBS!G245</f>
        <v>Should</v>
      </c>
      <c r="I1030" s="6" t="s">
        <v>1827</v>
      </c>
      <c r="J1030" s="14"/>
      <c r="K1030" s="6"/>
      <c r="L1030" s="41" t="s">
        <v>2065</v>
      </c>
    </row>
    <row r="1031" customFormat="false" ht="15" hidden="false" customHeight="false" outlineLevel="0" collapsed="false">
      <c r="A1031" s="14" t="s">
        <v>4352</v>
      </c>
      <c r="B1031" s="14" t="s">
        <v>1820</v>
      </c>
      <c r="C1031" s="14" t="s">
        <v>1777</v>
      </c>
      <c r="D1031" s="28" t="s">
        <v>4353</v>
      </c>
      <c r="E1031" s="42" t="s">
        <v>2068</v>
      </c>
      <c r="F1031" s="31" t="n">
        <f aca="false">WBS!P245</f>
        <v>3</v>
      </c>
      <c r="G1031" s="14" t="str">
        <f aca="false">WBS!H245</f>
        <v>P3</v>
      </c>
      <c r="H1031" s="14" t="str">
        <f aca="false">WBS!G245</f>
        <v>Should</v>
      </c>
      <c r="I1031" s="6" t="s">
        <v>4350</v>
      </c>
      <c r="J1031" s="14"/>
      <c r="K1031" s="6"/>
      <c r="L1031" s="41" t="s">
        <v>2065</v>
      </c>
    </row>
    <row r="1032" customFormat="false" ht="15" hidden="false" customHeight="false" outlineLevel="0" collapsed="false">
      <c r="A1032" s="14" t="s">
        <v>4354</v>
      </c>
      <c r="B1032" s="14" t="s">
        <v>1820</v>
      </c>
      <c r="C1032" s="14" t="s">
        <v>1777</v>
      </c>
      <c r="D1032" s="28" t="s">
        <v>4355</v>
      </c>
      <c r="E1032" s="22" t="s">
        <v>2071</v>
      </c>
      <c r="F1032" s="31" t="n">
        <f aca="false">WBS!Q245</f>
        <v>1</v>
      </c>
      <c r="G1032" s="14" t="str">
        <f aca="false">WBS!H245</f>
        <v>P3</v>
      </c>
      <c r="H1032" s="14" t="str">
        <f aca="false">WBS!G245</f>
        <v>Should</v>
      </c>
      <c r="I1032" s="6" t="s">
        <v>4350</v>
      </c>
      <c r="J1032" s="14"/>
      <c r="K1032" s="6"/>
      <c r="L1032" s="41" t="s">
        <v>2065</v>
      </c>
    </row>
    <row r="1033" customFormat="false" ht="15" hidden="false" customHeight="false" outlineLevel="0" collapsed="false">
      <c r="A1033" s="14" t="s">
        <v>4356</v>
      </c>
      <c r="B1033" s="14" t="s">
        <v>1820</v>
      </c>
      <c r="C1033" s="14" t="s">
        <v>1777</v>
      </c>
      <c r="D1033" s="28" t="s">
        <v>4357</v>
      </c>
      <c r="E1033" s="43" t="s">
        <v>96</v>
      </c>
      <c r="F1033" s="31" t="n">
        <f aca="false">WBS!T245</f>
        <v>1.4</v>
      </c>
      <c r="G1033" s="14" t="str">
        <f aca="false">WBS!H245</f>
        <v>P3</v>
      </c>
      <c r="H1033" s="14" t="str">
        <f aca="false">WBS!G245</f>
        <v>Should</v>
      </c>
      <c r="I1033" s="6" t="s">
        <v>4358</v>
      </c>
      <c r="J1033" s="14"/>
      <c r="K1033" s="6"/>
      <c r="L1033" s="41" t="s">
        <v>2065</v>
      </c>
    </row>
    <row r="1034" customFormat="false" ht="15" hidden="false" customHeight="false" outlineLevel="0" collapsed="false">
      <c r="A1034" s="14" t="s">
        <v>4359</v>
      </c>
      <c r="B1034" s="14" t="s">
        <v>1828</v>
      </c>
      <c r="C1034" s="14" t="s">
        <v>1777</v>
      </c>
      <c r="D1034" s="28" t="s">
        <v>4360</v>
      </c>
      <c r="E1034" s="40" t="s">
        <v>91</v>
      </c>
      <c r="F1034" s="31" t="n">
        <f aca="false">WBS!R246</f>
        <v>1</v>
      </c>
      <c r="G1034" s="14" t="str">
        <f aca="false">WBS!H246</f>
        <v>P3</v>
      </c>
      <c r="H1034" s="14" t="str">
        <f aca="false">WBS!G246</f>
        <v>Should</v>
      </c>
      <c r="I1034" s="6" t="s">
        <v>241</v>
      </c>
      <c r="J1034" s="14"/>
      <c r="K1034" s="6"/>
      <c r="L1034" s="41" t="s">
        <v>2065</v>
      </c>
    </row>
    <row r="1035" customFormat="false" ht="15" hidden="false" customHeight="false" outlineLevel="0" collapsed="false">
      <c r="A1035" s="14" t="s">
        <v>4361</v>
      </c>
      <c r="B1035" s="14" t="s">
        <v>1828</v>
      </c>
      <c r="C1035" s="14" t="s">
        <v>1777</v>
      </c>
      <c r="D1035" s="28" t="s">
        <v>4362</v>
      </c>
      <c r="E1035" s="42" t="s">
        <v>2068</v>
      </c>
      <c r="F1035" s="31" t="n">
        <f aca="false">WBS!P246</f>
        <v>3</v>
      </c>
      <c r="G1035" s="14" t="str">
        <f aca="false">WBS!H246</f>
        <v>P3</v>
      </c>
      <c r="H1035" s="14" t="str">
        <f aca="false">WBS!G246</f>
        <v>Should</v>
      </c>
      <c r="I1035" s="6" t="s">
        <v>4359</v>
      </c>
      <c r="J1035" s="14"/>
      <c r="K1035" s="6"/>
      <c r="L1035" s="41" t="s">
        <v>2065</v>
      </c>
    </row>
    <row r="1036" customFormat="false" ht="15" hidden="false" customHeight="false" outlineLevel="0" collapsed="false">
      <c r="A1036" s="14" t="s">
        <v>4363</v>
      </c>
      <c r="B1036" s="14" t="s">
        <v>1828</v>
      </c>
      <c r="C1036" s="14" t="s">
        <v>1777</v>
      </c>
      <c r="D1036" s="28" t="s">
        <v>4364</v>
      </c>
      <c r="E1036" s="22" t="s">
        <v>2071</v>
      </c>
      <c r="F1036" s="31" t="n">
        <f aca="false">WBS!Q246</f>
        <v>5</v>
      </c>
      <c r="G1036" s="14" t="str">
        <f aca="false">WBS!H246</f>
        <v>P3</v>
      </c>
      <c r="H1036" s="14" t="str">
        <f aca="false">WBS!G246</f>
        <v>Should</v>
      </c>
      <c r="I1036" s="6" t="s">
        <v>4359</v>
      </c>
      <c r="J1036" s="14"/>
      <c r="K1036" s="6"/>
      <c r="L1036" s="41" t="s">
        <v>2065</v>
      </c>
    </row>
    <row r="1037" customFormat="false" ht="15" hidden="false" customHeight="false" outlineLevel="0" collapsed="false">
      <c r="A1037" s="14" t="s">
        <v>4365</v>
      </c>
      <c r="B1037" s="14" t="s">
        <v>1828</v>
      </c>
      <c r="C1037" s="14" t="s">
        <v>1777</v>
      </c>
      <c r="D1037" s="28" t="s">
        <v>4366</v>
      </c>
      <c r="E1037" s="43" t="s">
        <v>96</v>
      </c>
      <c r="F1037" s="31" t="n">
        <f aca="false">WBS!T246</f>
        <v>2.8</v>
      </c>
      <c r="G1037" s="14" t="str">
        <f aca="false">WBS!H246</f>
        <v>P3</v>
      </c>
      <c r="H1037" s="14" t="str">
        <f aca="false">WBS!G246</f>
        <v>Should</v>
      </c>
      <c r="I1037" s="6" t="s">
        <v>4367</v>
      </c>
      <c r="J1037" s="14"/>
      <c r="K1037" s="6"/>
      <c r="L1037" s="41" t="s">
        <v>2065</v>
      </c>
    </row>
    <row r="1038" customFormat="false" ht="15" hidden="false" customHeight="false" outlineLevel="0" collapsed="false">
      <c r="A1038" s="14" t="s">
        <v>4368</v>
      </c>
      <c r="B1038" s="14" t="s">
        <v>1835</v>
      </c>
      <c r="C1038" s="14" t="s">
        <v>1777</v>
      </c>
      <c r="D1038" s="28" t="s">
        <v>4369</v>
      </c>
      <c r="E1038" s="40" t="s">
        <v>91</v>
      </c>
      <c r="F1038" s="31" t="n">
        <f aca="false">WBS!R247</f>
        <v>0.5</v>
      </c>
      <c r="G1038" s="14" t="str">
        <f aca="false">WBS!H247</f>
        <v>P3</v>
      </c>
      <c r="H1038" s="14" t="str">
        <f aca="false">WBS!G247</f>
        <v>Should</v>
      </c>
      <c r="I1038" s="6" t="s">
        <v>192</v>
      </c>
      <c r="J1038" s="14"/>
      <c r="K1038" s="6"/>
      <c r="L1038" s="41" t="s">
        <v>2065</v>
      </c>
    </row>
    <row r="1039" customFormat="false" ht="15" hidden="false" customHeight="false" outlineLevel="0" collapsed="false">
      <c r="A1039" s="14" t="s">
        <v>4370</v>
      </c>
      <c r="B1039" s="14" t="s">
        <v>1835</v>
      </c>
      <c r="C1039" s="14" t="s">
        <v>1777</v>
      </c>
      <c r="D1039" s="28" t="s">
        <v>4371</v>
      </c>
      <c r="E1039" s="42" t="s">
        <v>2068</v>
      </c>
      <c r="F1039" s="31" t="n">
        <f aca="false">WBS!P247</f>
        <v>1</v>
      </c>
      <c r="G1039" s="14" t="str">
        <f aca="false">WBS!H247</f>
        <v>P3</v>
      </c>
      <c r="H1039" s="14" t="str">
        <f aca="false">WBS!G247</f>
        <v>Should</v>
      </c>
      <c r="I1039" s="6" t="s">
        <v>4368</v>
      </c>
      <c r="J1039" s="14"/>
      <c r="K1039" s="6"/>
      <c r="L1039" s="41" t="s">
        <v>2065</v>
      </c>
    </row>
    <row r="1040" customFormat="false" ht="15" hidden="false" customHeight="false" outlineLevel="0" collapsed="false">
      <c r="A1040" s="14" t="s">
        <v>4372</v>
      </c>
      <c r="B1040" s="14" t="s">
        <v>1835</v>
      </c>
      <c r="C1040" s="14" t="s">
        <v>1777</v>
      </c>
      <c r="D1040" s="28" t="s">
        <v>4373</v>
      </c>
      <c r="E1040" s="22" t="s">
        <v>2071</v>
      </c>
      <c r="F1040" s="31" t="n">
        <f aca="false">WBS!Q247</f>
        <v>3</v>
      </c>
      <c r="G1040" s="14" t="str">
        <f aca="false">WBS!H247</f>
        <v>P3</v>
      </c>
      <c r="H1040" s="14" t="str">
        <f aca="false">WBS!G247</f>
        <v>Should</v>
      </c>
      <c r="I1040" s="6" t="s">
        <v>4368</v>
      </c>
      <c r="J1040" s="14"/>
      <c r="K1040" s="6"/>
      <c r="L1040" s="41" t="s">
        <v>2065</v>
      </c>
    </row>
    <row r="1041" customFormat="false" ht="15" hidden="false" customHeight="false" outlineLevel="0" collapsed="false">
      <c r="A1041" s="14" t="s">
        <v>4374</v>
      </c>
      <c r="B1041" s="14" t="s">
        <v>1835</v>
      </c>
      <c r="C1041" s="14" t="s">
        <v>1777</v>
      </c>
      <c r="D1041" s="28" t="s">
        <v>4375</v>
      </c>
      <c r="E1041" s="43" t="s">
        <v>96</v>
      </c>
      <c r="F1041" s="31" t="n">
        <f aca="false">WBS!T247</f>
        <v>1.4</v>
      </c>
      <c r="G1041" s="14" t="str">
        <f aca="false">WBS!H247</f>
        <v>P3</v>
      </c>
      <c r="H1041" s="14" t="str">
        <f aca="false">WBS!G247</f>
        <v>Should</v>
      </c>
      <c r="I1041" s="6" t="s">
        <v>4376</v>
      </c>
      <c r="J1041" s="14"/>
      <c r="K1041" s="6"/>
      <c r="L1041" s="41" t="s">
        <v>2065</v>
      </c>
    </row>
    <row r="1042" customFormat="false" ht="15" hidden="false" customHeight="false" outlineLevel="0" collapsed="false">
      <c r="A1042" s="14" t="s">
        <v>4377</v>
      </c>
      <c r="B1042" s="14" t="s">
        <v>1840</v>
      </c>
      <c r="C1042" s="14" t="s">
        <v>1777</v>
      </c>
      <c r="D1042" s="28" t="s">
        <v>4378</v>
      </c>
      <c r="E1042" s="40" t="s">
        <v>91</v>
      </c>
      <c r="F1042" s="31" t="n">
        <f aca="false">WBS!R248</f>
        <v>0.7</v>
      </c>
      <c r="G1042" s="14" t="str">
        <f aca="false">WBS!H248</f>
        <v>P3</v>
      </c>
      <c r="H1042" s="14" t="str">
        <f aca="false">WBS!G248</f>
        <v>Should</v>
      </c>
      <c r="I1042" s="6" t="s">
        <v>192</v>
      </c>
      <c r="J1042" s="14"/>
      <c r="K1042" s="6"/>
      <c r="L1042" s="41" t="s">
        <v>2065</v>
      </c>
    </row>
    <row r="1043" customFormat="false" ht="15" hidden="false" customHeight="false" outlineLevel="0" collapsed="false">
      <c r="A1043" s="14" t="s">
        <v>4379</v>
      </c>
      <c r="B1043" s="14" t="s">
        <v>1840</v>
      </c>
      <c r="C1043" s="14" t="s">
        <v>1777</v>
      </c>
      <c r="D1043" s="28" t="s">
        <v>4380</v>
      </c>
      <c r="E1043" s="42" t="s">
        <v>2068</v>
      </c>
      <c r="F1043" s="31" t="n">
        <f aca="false">WBS!P248</f>
        <v>3</v>
      </c>
      <c r="G1043" s="14" t="str">
        <f aca="false">WBS!H248</f>
        <v>P3</v>
      </c>
      <c r="H1043" s="14" t="str">
        <f aca="false">WBS!G248</f>
        <v>Should</v>
      </c>
      <c r="I1043" s="6" t="s">
        <v>4377</v>
      </c>
      <c r="J1043" s="14"/>
      <c r="K1043" s="6"/>
      <c r="L1043" s="41" t="s">
        <v>2065</v>
      </c>
    </row>
    <row r="1044" customFormat="false" ht="15" hidden="false" customHeight="false" outlineLevel="0" collapsed="false">
      <c r="A1044" s="14" t="s">
        <v>4381</v>
      </c>
      <c r="B1044" s="14" t="s">
        <v>1840</v>
      </c>
      <c r="C1044" s="14" t="s">
        <v>1777</v>
      </c>
      <c r="D1044" s="28" t="s">
        <v>4382</v>
      </c>
      <c r="E1044" s="22" t="s">
        <v>2071</v>
      </c>
      <c r="F1044" s="31" t="n">
        <f aca="false">WBS!Q248</f>
        <v>3</v>
      </c>
      <c r="G1044" s="14" t="str">
        <f aca="false">WBS!H248</f>
        <v>P3</v>
      </c>
      <c r="H1044" s="14" t="str">
        <f aca="false">WBS!G248</f>
        <v>Should</v>
      </c>
      <c r="I1044" s="6" t="s">
        <v>4377</v>
      </c>
      <c r="J1044" s="14"/>
      <c r="K1044" s="6"/>
      <c r="L1044" s="41" t="s">
        <v>2065</v>
      </c>
    </row>
    <row r="1045" customFormat="false" ht="15" hidden="false" customHeight="false" outlineLevel="0" collapsed="false">
      <c r="A1045" s="14" t="s">
        <v>4383</v>
      </c>
      <c r="B1045" s="14" t="s">
        <v>1840</v>
      </c>
      <c r="C1045" s="14" t="s">
        <v>1777</v>
      </c>
      <c r="D1045" s="28" t="s">
        <v>4384</v>
      </c>
      <c r="E1045" s="43" t="s">
        <v>96</v>
      </c>
      <c r="F1045" s="31" t="n">
        <f aca="false">WBS!T248</f>
        <v>2.1</v>
      </c>
      <c r="G1045" s="14" t="str">
        <f aca="false">WBS!H248</f>
        <v>P3</v>
      </c>
      <c r="H1045" s="14" t="str">
        <f aca="false">WBS!G248</f>
        <v>Should</v>
      </c>
      <c r="I1045" s="6" t="s">
        <v>4385</v>
      </c>
      <c r="J1045" s="14"/>
      <c r="K1045" s="6"/>
      <c r="L1045" s="41" t="s">
        <v>2065</v>
      </c>
    </row>
    <row r="1046" customFormat="false" ht="15" hidden="false" customHeight="false" outlineLevel="0" collapsed="false">
      <c r="A1046" s="14" t="s">
        <v>4386</v>
      </c>
      <c r="B1046" s="14" t="s">
        <v>1846</v>
      </c>
      <c r="C1046" s="14" t="s">
        <v>1777</v>
      </c>
      <c r="D1046" s="28" t="s">
        <v>4387</v>
      </c>
      <c r="E1046" s="40" t="s">
        <v>91</v>
      </c>
      <c r="F1046" s="31" t="n">
        <f aca="false">WBS!R249</f>
        <v>1</v>
      </c>
      <c r="G1046" s="14" t="str">
        <f aca="false">WBS!H249</f>
        <v>P3</v>
      </c>
      <c r="H1046" s="14" t="str">
        <f aca="false">WBS!G249</f>
        <v>Should</v>
      </c>
      <c r="I1046" s="6" t="s">
        <v>1853</v>
      </c>
      <c r="J1046" s="14"/>
      <c r="K1046" s="6"/>
      <c r="L1046" s="41" t="s">
        <v>2065</v>
      </c>
    </row>
    <row r="1047" customFormat="false" ht="15" hidden="false" customHeight="false" outlineLevel="0" collapsed="false">
      <c r="A1047" s="14" t="s">
        <v>4388</v>
      </c>
      <c r="B1047" s="14" t="s">
        <v>1846</v>
      </c>
      <c r="C1047" s="14" t="s">
        <v>1777</v>
      </c>
      <c r="D1047" s="28" t="s">
        <v>4389</v>
      </c>
      <c r="E1047" s="42" t="s">
        <v>2068</v>
      </c>
      <c r="F1047" s="31" t="n">
        <f aca="false">WBS!P249</f>
        <v>5</v>
      </c>
      <c r="G1047" s="14" t="str">
        <f aca="false">WBS!H249</f>
        <v>P3</v>
      </c>
      <c r="H1047" s="14" t="str">
        <f aca="false">WBS!G249</f>
        <v>Should</v>
      </c>
      <c r="I1047" s="6" t="s">
        <v>4386</v>
      </c>
      <c r="J1047" s="14"/>
      <c r="K1047" s="6"/>
      <c r="L1047" s="41" t="s">
        <v>2065</v>
      </c>
    </row>
    <row r="1048" customFormat="false" ht="15" hidden="false" customHeight="false" outlineLevel="0" collapsed="false">
      <c r="A1048" s="14" t="s">
        <v>4390</v>
      </c>
      <c r="B1048" s="14" t="s">
        <v>1846</v>
      </c>
      <c r="C1048" s="14" t="s">
        <v>1777</v>
      </c>
      <c r="D1048" s="28" t="s">
        <v>4391</v>
      </c>
      <c r="E1048" s="22" t="s">
        <v>2071</v>
      </c>
      <c r="F1048" s="31" t="n">
        <f aca="false">WBS!Q249</f>
        <v>3</v>
      </c>
      <c r="G1048" s="14" t="str">
        <f aca="false">WBS!H249</f>
        <v>P3</v>
      </c>
      <c r="H1048" s="14" t="str">
        <f aca="false">WBS!G249</f>
        <v>Should</v>
      </c>
      <c r="I1048" s="6" t="s">
        <v>4386</v>
      </c>
      <c r="J1048" s="14"/>
      <c r="K1048" s="6"/>
      <c r="L1048" s="41" t="s">
        <v>2065</v>
      </c>
    </row>
    <row r="1049" customFormat="false" ht="15" hidden="false" customHeight="false" outlineLevel="0" collapsed="false">
      <c r="A1049" s="14" t="s">
        <v>4392</v>
      </c>
      <c r="B1049" s="14" t="s">
        <v>1846</v>
      </c>
      <c r="C1049" s="14" t="s">
        <v>1777</v>
      </c>
      <c r="D1049" s="28" t="s">
        <v>4393</v>
      </c>
      <c r="E1049" s="43" t="s">
        <v>96</v>
      </c>
      <c r="F1049" s="31" t="n">
        <f aca="false">WBS!T249</f>
        <v>2.8</v>
      </c>
      <c r="G1049" s="14" t="str">
        <f aca="false">WBS!H249</f>
        <v>P3</v>
      </c>
      <c r="H1049" s="14" t="str">
        <f aca="false">WBS!G249</f>
        <v>Should</v>
      </c>
      <c r="I1049" s="6" t="s">
        <v>4394</v>
      </c>
      <c r="J1049" s="14"/>
      <c r="K1049" s="6"/>
      <c r="L1049" s="41" t="s">
        <v>2065</v>
      </c>
    </row>
    <row r="1050" customFormat="false" ht="15" hidden="false" customHeight="false" outlineLevel="0" collapsed="false">
      <c r="A1050" s="14" t="s">
        <v>4395</v>
      </c>
      <c r="B1050" s="14" t="s">
        <v>1855</v>
      </c>
      <c r="C1050" s="14" t="s">
        <v>1777</v>
      </c>
      <c r="D1050" s="28" t="s">
        <v>4396</v>
      </c>
      <c r="E1050" s="40" t="s">
        <v>91</v>
      </c>
      <c r="F1050" s="31" t="n">
        <f aca="false">WBS!R250</f>
        <v>0.5</v>
      </c>
      <c r="G1050" s="14" t="str">
        <f aca="false">WBS!H250</f>
        <v>P3</v>
      </c>
      <c r="H1050" s="14" t="str">
        <f aca="false">WBS!G250</f>
        <v>Should</v>
      </c>
      <c r="I1050" s="6" t="s">
        <v>1814</v>
      </c>
      <c r="J1050" s="14"/>
      <c r="K1050" s="6"/>
      <c r="L1050" s="41" t="s">
        <v>2065</v>
      </c>
    </row>
    <row r="1051" customFormat="false" ht="15" hidden="false" customHeight="false" outlineLevel="0" collapsed="false">
      <c r="A1051" s="14" t="s">
        <v>4397</v>
      </c>
      <c r="B1051" s="14" t="s">
        <v>1855</v>
      </c>
      <c r="C1051" s="14" t="s">
        <v>1777</v>
      </c>
      <c r="D1051" s="28" t="s">
        <v>4398</v>
      </c>
      <c r="E1051" s="42" t="s">
        <v>2068</v>
      </c>
      <c r="F1051" s="31" t="n">
        <f aca="false">WBS!P250</f>
        <v>3</v>
      </c>
      <c r="G1051" s="14" t="str">
        <f aca="false">WBS!H250</f>
        <v>P3</v>
      </c>
      <c r="H1051" s="14" t="str">
        <f aca="false">WBS!G250</f>
        <v>Should</v>
      </c>
      <c r="I1051" s="6" t="s">
        <v>4395</v>
      </c>
      <c r="J1051" s="14"/>
      <c r="K1051" s="6"/>
      <c r="L1051" s="41" t="s">
        <v>2065</v>
      </c>
    </row>
    <row r="1052" customFormat="false" ht="15" hidden="false" customHeight="false" outlineLevel="0" collapsed="false">
      <c r="A1052" s="14" t="s">
        <v>4399</v>
      </c>
      <c r="B1052" s="14" t="s">
        <v>1855</v>
      </c>
      <c r="C1052" s="14" t="s">
        <v>1777</v>
      </c>
      <c r="D1052" s="28" t="s">
        <v>4400</v>
      </c>
      <c r="E1052" s="22" t="s">
        <v>2071</v>
      </c>
      <c r="F1052" s="31" t="n">
        <f aca="false">WBS!Q250</f>
        <v>1</v>
      </c>
      <c r="G1052" s="14" t="str">
        <f aca="false">WBS!H250</f>
        <v>P3</v>
      </c>
      <c r="H1052" s="14" t="str">
        <f aca="false">WBS!G250</f>
        <v>Should</v>
      </c>
      <c r="I1052" s="6" t="s">
        <v>4395</v>
      </c>
      <c r="J1052" s="14"/>
      <c r="K1052" s="6"/>
      <c r="L1052" s="41" t="s">
        <v>2065</v>
      </c>
    </row>
    <row r="1053" customFormat="false" ht="15" hidden="false" customHeight="false" outlineLevel="0" collapsed="false">
      <c r="A1053" s="14" t="s">
        <v>4401</v>
      </c>
      <c r="B1053" s="14" t="s">
        <v>1855</v>
      </c>
      <c r="C1053" s="14" t="s">
        <v>1777</v>
      </c>
      <c r="D1053" s="28" t="s">
        <v>4402</v>
      </c>
      <c r="E1053" s="43" t="s">
        <v>96</v>
      </c>
      <c r="F1053" s="31" t="n">
        <f aca="false">WBS!T250</f>
        <v>1.4</v>
      </c>
      <c r="G1053" s="14" t="str">
        <f aca="false">WBS!H250</f>
        <v>P3</v>
      </c>
      <c r="H1053" s="14" t="str">
        <f aca="false">WBS!G250</f>
        <v>Should</v>
      </c>
      <c r="I1053" s="6" t="s">
        <v>4403</v>
      </c>
      <c r="J1053" s="14"/>
      <c r="K1053" s="6"/>
      <c r="L1053" s="41" t="s">
        <v>2065</v>
      </c>
    </row>
    <row r="1054" customFormat="false" ht="15" hidden="false" customHeight="false" outlineLevel="0" collapsed="false">
      <c r="A1054" s="14" t="s">
        <v>4404</v>
      </c>
      <c r="B1054" s="14" t="s">
        <v>1861</v>
      </c>
      <c r="C1054" s="14" t="s">
        <v>1777</v>
      </c>
      <c r="D1054" s="28" t="s">
        <v>4405</v>
      </c>
      <c r="E1054" s="40" t="s">
        <v>91</v>
      </c>
      <c r="F1054" s="31" t="n">
        <f aca="false">WBS!R251</f>
        <v>0.7</v>
      </c>
      <c r="G1054" s="14" t="str">
        <f aca="false">WBS!H251</f>
        <v>P3</v>
      </c>
      <c r="H1054" s="14" t="str">
        <f aca="false">WBS!G251</f>
        <v>Should</v>
      </c>
      <c r="I1054" s="6" t="s">
        <v>352</v>
      </c>
      <c r="J1054" s="14"/>
      <c r="K1054" s="6"/>
      <c r="L1054" s="41" t="s">
        <v>2065</v>
      </c>
    </row>
    <row r="1055" customFormat="false" ht="15" hidden="false" customHeight="false" outlineLevel="0" collapsed="false">
      <c r="A1055" s="14" t="s">
        <v>4406</v>
      </c>
      <c r="B1055" s="14" t="s">
        <v>1861</v>
      </c>
      <c r="C1055" s="14" t="s">
        <v>1777</v>
      </c>
      <c r="D1055" s="28" t="s">
        <v>4407</v>
      </c>
      <c r="E1055" s="42" t="s">
        <v>2068</v>
      </c>
      <c r="F1055" s="31" t="n">
        <f aca="false">WBS!P251</f>
        <v>3</v>
      </c>
      <c r="G1055" s="14" t="str">
        <f aca="false">WBS!H251</f>
        <v>P3</v>
      </c>
      <c r="H1055" s="14" t="str">
        <f aca="false">WBS!G251</f>
        <v>Should</v>
      </c>
      <c r="I1055" s="6" t="s">
        <v>4404</v>
      </c>
      <c r="J1055" s="14"/>
      <c r="K1055" s="6"/>
      <c r="L1055" s="41" t="s">
        <v>2065</v>
      </c>
    </row>
    <row r="1056" customFormat="false" ht="15" hidden="false" customHeight="false" outlineLevel="0" collapsed="false">
      <c r="A1056" s="14" t="s">
        <v>4408</v>
      </c>
      <c r="B1056" s="14" t="s">
        <v>1861</v>
      </c>
      <c r="C1056" s="14" t="s">
        <v>1777</v>
      </c>
      <c r="D1056" s="28" t="s">
        <v>4409</v>
      </c>
      <c r="E1056" s="22" t="s">
        <v>2071</v>
      </c>
      <c r="F1056" s="31" t="n">
        <f aca="false">WBS!Q251</f>
        <v>3</v>
      </c>
      <c r="G1056" s="14" t="str">
        <f aca="false">WBS!H251</f>
        <v>P3</v>
      </c>
      <c r="H1056" s="14" t="str">
        <f aca="false">WBS!G251</f>
        <v>Should</v>
      </c>
      <c r="I1056" s="6" t="s">
        <v>4404</v>
      </c>
      <c r="J1056" s="14"/>
      <c r="K1056" s="6"/>
      <c r="L1056" s="41" t="s">
        <v>2065</v>
      </c>
    </row>
    <row r="1057" customFormat="false" ht="15" hidden="false" customHeight="false" outlineLevel="0" collapsed="false">
      <c r="A1057" s="14" t="s">
        <v>4410</v>
      </c>
      <c r="B1057" s="14" t="s">
        <v>1861</v>
      </c>
      <c r="C1057" s="14" t="s">
        <v>1777</v>
      </c>
      <c r="D1057" s="28" t="s">
        <v>4411</v>
      </c>
      <c r="E1057" s="43" t="s">
        <v>96</v>
      </c>
      <c r="F1057" s="31" t="n">
        <f aca="false">WBS!T251</f>
        <v>2.1</v>
      </c>
      <c r="G1057" s="14" t="str">
        <f aca="false">WBS!H251</f>
        <v>P3</v>
      </c>
      <c r="H1057" s="14" t="str">
        <f aca="false">WBS!G251</f>
        <v>Should</v>
      </c>
      <c r="I1057" s="6" t="s">
        <v>4412</v>
      </c>
      <c r="J1057" s="14"/>
      <c r="K1057" s="6"/>
      <c r="L1057" s="41" t="s">
        <v>2065</v>
      </c>
    </row>
    <row r="1058" customFormat="false" ht="15" hidden="false" customHeight="false" outlineLevel="0" collapsed="false">
      <c r="A1058" s="14" t="s">
        <v>4413</v>
      </c>
      <c r="B1058" s="14" t="s">
        <v>1868</v>
      </c>
      <c r="C1058" s="14" t="s">
        <v>1777</v>
      </c>
      <c r="D1058" s="28" t="s">
        <v>4414</v>
      </c>
      <c r="E1058" s="40" t="s">
        <v>91</v>
      </c>
      <c r="F1058" s="31" t="n">
        <f aca="false">WBS!R252</f>
        <v>0.7</v>
      </c>
      <c r="G1058" s="14" t="str">
        <f aca="false">WBS!H252</f>
        <v>P4</v>
      </c>
      <c r="H1058" s="14" t="str">
        <f aca="false">WBS!G252</f>
        <v>Nice-to-have</v>
      </c>
      <c r="I1058" s="6" t="s">
        <v>178</v>
      </c>
      <c r="J1058" s="14"/>
      <c r="K1058" s="6"/>
      <c r="L1058" s="41" t="s">
        <v>2065</v>
      </c>
    </row>
    <row r="1059" customFormat="false" ht="15" hidden="false" customHeight="false" outlineLevel="0" collapsed="false">
      <c r="A1059" s="14" t="s">
        <v>4415</v>
      </c>
      <c r="B1059" s="14" t="s">
        <v>1868</v>
      </c>
      <c r="C1059" s="14" t="s">
        <v>1777</v>
      </c>
      <c r="D1059" s="28" t="s">
        <v>4416</v>
      </c>
      <c r="E1059" s="42" t="s">
        <v>2068</v>
      </c>
      <c r="F1059" s="31" t="n">
        <f aca="false">WBS!P252</f>
        <v>3</v>
      </c>
      <c r="G1059" s="14" t="str">
        <f aca="false">WBS!H252</f>
        <v>P4</v>
      </c>
      <c r="H1059" s="14" t="str">
        <f aca="false">WBS!G252</f>
        <v>Nice-to-have</v>
      </c>
      <c r="I1059" s="6" t="s">
        <v>4413</v>
      </c>
      <c r="J1059" s="14"/>
      <c r="K1059" s="6"/>
      <c r="L1059" s="41" t="s">
        <v>2065</v>
      </c>
    </row>
    <row r="1060" customFormat="false" ht="15" hidden="false" customHeight="false" outlineLevel="0" collapsed="false">
      <c r="A1060" s="14" t="s">
        <v>4417</v>
      </c>
      <c r="B1060" s="14" t="s">
        <v>1868</v>
      </c>
      <c r="C1060" s="14" t="s">
        <v>1777</v>
      </c>
      <c r="D1060" s="28" t="s">
        <v>4418</v>
      </c>
      <c r="E1060" s="22" t="s">
        <v>2071</v>
      </c>
      <c r="F1060" s="31" t="n">
        <f aca="false">WBS!Q252</f>
        <v>3</v>
      </c>
      <c r="G1060" s="14" t="str">
        <f aca="false">WBS!H252</f>
        <v>P4</v>
      </c>
      <c r="H1060" s="14" t="str">
        <f aca="false">WBS!G252</f>
        <v>Nice-to-have</v>
      </c>
      <c r="I1060" s="6" t="s">
        <v>4413</v>
      </c>
      <c r="J1060" s="14"/>
      <c r="K1060" s="6"/>
      <c r="L1060" s="41" t="s">
        <v>2065</v>
      </c>
    </row>
    <row r="1061" customFormat="false" ht="15" hidden="false" customHeight="false" outlineLevel="0" collapsed="false">
      <c r="A1061" s="14" t="s">
        <v>4419</v>
      </c>
      <c r="B1061" s="14" t="s">
        <v>1868</v>
      </c>
      <c r="C1061" s="14" t="s">
        <v>1777</v>
      </c>
      <c r="D1061" s="28" t="s">
        <v>4420</v>
      </c>
      <c r="E1061" s="43" t="s">
        <v>96</v>
      </c>
      <c r="F1061" s="31" t="n">
        <f aca="false">WBS!T252</f>
        <v>2.1</v>
      </c>
      <c r="G1061" s="14" t="str">
        <f aca="false">WBS!H252</f>
        <v>P4</v>
      </c>
      <c r="H1061" s="14" t="str">
        <f aca="false">WBS!G252</f>
        <v>Nice-to-have</v>
      </c>
      <c r="I1061" s="6" t="s">
        <v>4421</v>
      </c>
      <c r="J1061" s="14"/>
      <c r="K1061" s="6"/>
      <c r="L1061" s="41" t="s">
        <v>2065</v>
      </c>
    </row>
    <row r="1062" customFormat="false" ht="15" hidden="false" customHeight="false" outlineLevel="0" collapsed="false">
      <c r="A1062" s="14" t="s">
        <v>4422</v>
      </c>
      <c r="B1062" s="14" t="s">
        <v>1874</v>
      </c>
      <c r="C1062" s="14" t="s">
        <v>1875</v>
      </c>
      <c r="D1062" s="28" t="s">
        <v>4423</v>
      </c>
      <c r="E1062" s="40" t="s">
        <v>91</v>
      </c>
      <c r="F1062" s="31" t="n">
        <f aca="false">WBS!R253</f>
        <v>0.7</v>
      </c>
      <c r="G1062" s="14" t="str">
        <f aca="false">WBS!H253</f>
        <v>P2</v>
      </c>
      <c r="H1062" s="14" t="str">
        <f aca="false">WBS!G253</f>
        <v>Must</v>
      </c>
      <c r="I1062" s="6" t="s">
        <v>178</v>
      </c>
      <c r="J1062" s="14"/>
      <c r="K1062" s="6"/>
      <c r="L1062" s="41" t="s">
        <v>2065</v>
      </c>
    </row>
    <row r="1063" customFormat="false" ht="15" hidden="false" customHeight="false" outlineLevel="0" collapsed="false">
      <c r="A1063" s="14" t="s">
        <v>4424</v>
      </c>
      <c r="B1063" s="14" t="s">
        <v>1874</v>
      </c>
      <c r="C1063" s="14" t="s">
        <v>1875</v>
      </c>
      <c r="D1063" s="28" t="s">
        <v>4425</v>
      </c>
      <c r="E1063" s="42" t="s">
        <v>2068</v>
      </c>
      <c r="F1063" s="31" t="n">
        <f aca="false">WBS!P253</f>
        <v>3</v>
      </c>
      <c r="G1063" s="14" t="str">
        <f aca="false">WBS!H253</f>
        <v>P2</v>
      </c>
      <c r="H1063" s="14" t="str">
        <f aca="false">WBS!G253</f>
        <v>Must</v>
      </c>
      <c r="I1063" s="6" t="s">
        <v>4422</v>
      </c>
      <c r="J1063" s="14"/>
      <c r="K1063" s="6"/>
      <c r="L1063" s="41" t="s">
        <v>2065</v>
      </c>
    </row>
    <row r="1064" customFormat="false" ht="15" hidden="false" customHeight="false" outlineLevel="0" collapsed="false">
      <c r="A1064" s="14" t="s">
        <v>4426</v>
      </c>
      <c r="B1064" s="14" t="s">
        <v>1874</v>
      </c>
      <c r="C1064" s="14" t="s">
        <v>1875</v>
      </c>
      <c r="D1064" s="28" t="s">
        <v>4427</v>
      </c>
      <c r="E1064" s="22" t="s">
        <v>2071</v>
      </c>
      <c r="F1064" s="31" t="n">
        <f aca="false">WBS!Q253</f>
        <v>3</v>
      </c>
      <c r="G1064" s="14" t="str">
        <f aca="false">WBS!H253</f>
        <v>P2</v>
      </c>
      <c r="H1064" s="14" t="str">
        <f aca="false">WBS!G253</f>
        <v>Must</v>
      </c>
      <c r="I1064" s="6" t="s">
        <v>4422</v>
      </c>
      <c r="J1064" s="14"/>
      <c r="K1064" s="6"/>
      <c r="L1064" s="41" t="s">
        <v>2065</v>
      </c>
    </row>
    <row r="1065" customFormat="false" ht="15" hidden="false" customHeight="false" outlineLevel="0" collapsed="false">
      <c r="A1065" s="14" t="s">
        <v>4428</v>
      </c>
      <c r="B1065" s="14" t="s">
        <v>1874</v>
      </c>
      <c r="C1065" s="14" t="s">
        <v>1875</v>
      </c>
      <c r="D1065" s="28" t="s">
        <v>4429</v>
      </c>
      <c r="E1065" s="43" t="s">
        <v>96</v>
      </c>
      <c r="F1065" s="31" t="n">
        <f aca="false">WBS!T253</f>
        <v>2.1</v>
      </c>
      <c r="G1065" s="14" t="str">
        <f aca="false">WBS!H253</f>
        <v>P2</v>
      </c>
      <c r="H1065" s="14" t="str">
        <f aca="false">WBS!G253</f>
        <v>Must</v>
      </c>
      <c r="I1065" s="6" t="s">
        <v>4430</v>
      </c>
      <c r="J1065" s="14"/>
      <c r="K1065" s="6"/>
      <c r="L1065" s="41" t="s">
        <v>2065</v>
      </c>
    </row>
    <row r="1066" customFormat="false" ht="15" hidden="false" customHeight="false" outlineLevel="0" collapsed="false">
      <c r="A1066" s="14" t="s">
        <v>4431</v>
      </c>
      <c r="B1066" s="14" t="s">
        <v>1883</v>
      </c>
      <c r="C1066" s="14" t="s">
        <v>1875</v>
      </c>
      <c r="D1066" s="28" t="s">
        <v>4432</v>
      </c>
      <c r="E1066" s="40" t="s">
        <v>91</v>
      </c>
      <c r="F1066" s="31" t="n">
        <f aca="false">WBS!R254</f>
        <v>0.7</v>
      </c>
      <c r="G1066" s="14" t="str">
        <f aca="false">WBS!H254</f>
        <v>P2</v>
      </c>
      <c r="H1066" s="14" t="str">
        <f aca="false">WBS!G254</f>
        <v>Must</v>
      </c>
      <c r="I1066" s="6" t="s">
        <v>472</v>
      </c>
      <c r="J1066" s="14"/>
      <c r="K1066" s="6"/>
      <c r="L1066" s="41" t="s">
        <v>2065</v>
      </c>
    </row>
    <row r="1067" customFormat="false" ht="15" hidden="false" customHeight="false" outlineLevel="0" collapsed="false">
      <c r="A1067" s="14" t="s">
        <v>4433</v>
      </c>
      <c r="B1067" s="14" t="s">
        <v>1883</v>
      </c>
      <c r="C1067" s="14" t="s">
        <v>1875</v>
      </c>
      <c r="D1067" s="28" t="s">
        <v>4434</v>
      </c>
      <c r="E1067" s="42" t="s">
        <v>2068</v>
      </c>
      <c r="F1067" s="31" t="n">
        <f aca="false">WBS!P254</f>
        <v>3</v>
      </c>
      <c r="G1067" s="14" t="str">
        <f aca="false">WBS!H254</f>
        <v>P2</v>
      </c>
      <c r="H1067" s="14" t="str">
        <f aca="false">WBS!G254</f>
        <v>Must</v>
      </c>
      <c r="I1067" s="6" t="s">
        <v>4431</v>
      </c>
      <c r="J1067" s="14"/>
      <c r="K1067" s="6"/>
      <c r="L1067" s="41" t="s">
        <v>2065</v>
      </c>
    </row>
    <row r="1068" customFormat="false" ht="15" hidden="false" customHeight="false" outlineLevel="0" collapsed="false">
      <c r="A1068" s="14" t="s">
        <v>4435</v>
      </c>
      <c r="B1068" s="14" t="s">
        <v>1883</v>
      </c>
      <c r="C1068" s="14" t="s">
        <v>1875</v>
      </c>
      <c r="D1068" s="28" t="s">
        <v>4436</v>
      </c>
      <c r="E1068" s="22" t="s">
        <v>2071</v>
      </c>
      <c r="F1068" s="31" t="n">
        <f aca="false">WBS!Q254</f>
        <v>3</v>
      </c>
      <c r="G1068" s="14" t="str">
        <f aca="false">WBS!H254</f>
        <v>P2</v>
      </c>
      <c r="H1068" s="14" t="str">
        <f aca="false">WBS!G254</f>
        <v>Must</v>
      </c>
      <c r="I1068" s="6" t="s">
        <v>4431</v>
      </c>
      <c r="J1068" s="14"/>
      <c r="K1068" s="6"/>
      <c r="L1068" s="41" t="s">
        <v>2065</v>
      </c>
    </row>
    <row r="1069" customFormat="false" ht="15" hidden="false" customHeight="false" outlineLevel="0" collapsed="false">
      <c r="A1069" s="14" t="s">
        <v>4437</v>
      </c>
      <c r="B1069" s="14" t="s">
        <v>1883</v>
      </c>
      <c r="C1069" s="14" t="s">
        <v>1875</v>
      </c>
      <c r="D1069" s="28" t="s">
        <v>4438</v>
      </c>
      <c r="E1069" s="43" t="s">
        <v>96</v>
      </c>
      <c r="F1069" s="31" t="n">
        <f aca="false">WBS!T254</f>
        <v>2.1</v>
      </c>
      <c r="G1069" s="14" t="str">
        <f aca="false">WBS!H254</f>
        <v>P2</v>
      </c>
      <c r="H1069" s="14" t="str">
        <f aca="false">WBS!G254</f>
        <v>Must</v>
      </c>
      <c r="I1069" s="6" t="s">
        <v>4439</v>
      </c>
      <c r="J1069" s="14"/>
      <c r="K1069" s="6"/>
      <c r="L1069" s="41" t="s">
        <v>2065</v>
      </c>
    </row>
    <row r="1070" customFormat="false" ht="15" hidden="false" customHeight="false" outlineLevel="0" collapsed="false">
      <c r="A1070" s="14" t="s">
        <v>4440</v>
      </c>
      <c r="B1070" s="14" t="s">
        <v>1890</v>
      </c>
      <c r="C1070" s="14" t="s">
        <v>1875</v>
      </c>
      <c r="D1070" s="28" t="s">
        <v>4441</v>
      </c>
      <c r="E1070" s="40" t="s">
        <v>91</v>
      </c>
      <c r="F1070" s="31" t="n">
        <f aca="false">WBS!R255</f>
        <v>0.7</v>
      </c>
      <c r="G1070" s="14" t="str">
        <f aca="false">WBS!H255</f>
        <v>P2</v>
      </c>
      <c r="H1070" s="14" t="str">
        <f aca="false">WBS!G255</f>
        <v>Must</v>
      </c>
      <c r="I1070" s="6" t="s">
        <v>1897</v>
      </c>
      <c r="J1070" s="14"/>
      <c r="K1070" s="6"/>
      <c r="L1070" s="41" t="s">
        <v>2065</v>
      </c>
    </row>
    <row r="1071" customFormat="false" ht="15" hidden="false" customHeight="false" outlineLevel="0" collapsed="false">
      <c r="A1071" s="14" t="s">
        <v>4442</v>
      </c>
      <c r="B1071" s="14" t="s">
        <v>1890</v>
      </c>
      <c r="C1071" s="14" t="s">
        <v>1875</v>
      </c>
      <c r="D1071" s="28" t="s">
        <v>4443</v>
      </c>
      <c r="E1071" s="42" t="s">
        <v>2068</v>
      </c>
      <c r="F1071" s="31" t="n">
        <f aca="false">WBS!P255</f>
        <v>3</v>
      </c>
      <c r="G1071" s="14" t="str">
        <f aca="false">WBS!H255</f>
        <v>P2</v>
      </c>
      <c r="H1071" s="14" t="str">
        <f aca="false">WBS!G255</f>
        <v>Must</v>
      </c>
      <c r="I1071" s="6" t="s">
        <v>4440</v>
      </c>
      <c r="J1071" s="14"/>
      <c r="K1071" s="6"/>
      <c r="L1071" s="41" t="s">
        <v>2065</v>
      </c>
    </row>
    <row r="1072" customFormat="false" ht="15" hidden="false" customHeight="false" outlineLevel="0" collapsed="false">
      <c r="A1072" s="14" t="s">
        <v>4444</v>
      </c>
      <c r="B1072" s="14" t="s">
        <v>1890</v>
      </c>
      <c r="C1072" s="14" t="s">
        <v>1875</v>
      </c>
      <c r="D1072" s="28" t="s">
        <v>4445</v>
      </c>
      <c r="E1072" s="22" t="s">
        <v>2071</v>
      </c>
      <c r="F1072" s="31" t="n">
        <f aca="false">WBS!Q255</f>
        <v>3</v>
      </c>
      <c r="G1072" s="14" t="str">
        <f aca="false">WBS!H255</f>
        <v>P2</v>
      </c>
      <c r="H1072" s="14" t="str">
        <f aca="false">WBS!G255</f>
        <v>Must</v>
      </c>
      <c r="I1072" s="6" t="s">
        <v>4440</v>
      </c>
      <c r="J1072" s="14"/>
      <c r="K1072" s="6"/>
      <c r="L1072" s="41" t="s">
        <v>2065</v>
      </c>
    </row>
    <row r="1073" customFormat="false" ht="15" hidden="false" customHeight="false" outlineLevel="0" collapsed="false">
      <c r="A1073" s="14" t="s">
        <v>4446</v>
      </c>
      <c r="B1073" s="14" t="s">
        <v>1890</v>
      </c>
      <c r="C1073" s="14" t="s">
        <v>1875</v>
      </c>
      <c r="D1073" s="28" t="s">
        <v>4447</v>
      </c>
      <c r="E1073" s="43" t="s">
        <v>96</v>
      </c>
      <c r="F1073" s="31" t="n">
        <f aca="false">WBS!T255</f>
        <v>2.1</v>
      </c>
      <c r="G1073" s="14" t="str">
        <f aca="false">WBS!H255</f>
        <v>P2</v>
      </c>
      <c r="H1073" s="14" t="str">
        <f aca="false">WBS!G255</f>
        <v>Must</v>
      </c>
      <c r="I1073" s="6" t="s">
        <v>4448</v>
      </c>
      <c r="J1073" s="14"/>
      <c r="K1073" s="6"/>
      <c r="L1073" s="41" t="s">
        <v>2065</v>
      </c>
    </row>
    <row r="1074" customFormat="false" ht="15" hidden="false" customHeight="false" outlineLevel="0" collapsed="false">
      <c r="A1074" s="14" t="s">
        <v>4449</v>
      </c>
      <c r="B1074" s="14" t="s">
        <v>1898</v>
      </c>
      <c r="C1074" s="14" t="s">
        <v>1875</v>
      </c>
      <c r="D1074" s="28" t="s">
        <v>4450</v>
      </c>
      <c r="E1074" s="40" t="s">
        <v>91</v>
      </c>
      <c r="F1074" s="31" t="n">
        <f aca="false">WBS!R256</f>
        <v>0.7</v>
      </c>
      <c r="G1074" s="14" t="str">
        <f aca="false">WBS!H256</f>
        <v>P2</v>
      </c>
      <c r="H1074" s="14" t="str">
        <f aca="false">WBS!G256</f>
        <v>Must</v>
      </c>
      <c r="I1074" s="6" t="s">
        <v>1787</v>
      </c>
      <c r="J1074" s="14"/>
      <c r="K1074" s="6"/>
      <c r="L1074" s="41" t="s">
        <v>2065</v>
      </c>
    </row>
    <row r="1075" customFormat="false" ht="15" hidden="false" customHeight="false" outlineLevel="0" collapsed="false">
      <c r="A1075" s="14" t="s">
        <v>4451</v>
      </c>
      <c r="B1075" s="14" t="s">
        <v>1898</v>
      </c>
      <c r="C1075" s="14" t="s">
        <v>1875</v>
      </c>
      <c r="D1075" s="28" t="s">
        <v>4452</v>
      </c>
      <c r="E1075" s="42" t="s">
        <v>2068</v>
      </c>
      <c r="F1075" s="31" t="n">
        <f aca="false">WBS!P256</f>
        <v>3</v>
      </c>
      <c r="G1075" s="14" t="str">
        <f aca="false">WBS!H256</f>
        <v>P2</v>
      </c>
      <c r="H1075" s="14" t="str">
        <f aca="false">WBS!G256</f>
        <v>Must</v>
      </c>
      <c r="I1075" s="6" t="s">
        <v>4449</v>
      </c>
      <c r="J1075" s="14"/>
      <c r="K1075" s="6"/>
      <c r="L1075" s="41" t="s">
        <v>2065</v>
      </c>
    </row>
    <row r="1076" customFormat="false" ht="15" hidden="false" customHeight="false" outlineLevel="0" collapsed="false">
      <c r="A1076" s="14" t="s">
        <v>4453</v>
      </c>
      <c r="B1076" s="14" t="s">
        <v>1898</v>
      </c>
      <c r="C1076" s="14" t="s">
        <v>1875</v>
      </c>
      <c r="D1076" s="28" t="s">
        <v>4454</v>
      </c>
      <c r="E1076" s="22" t="s">
        <v>2071</v>
      </c>
      <c r="F1076" s="31" t="n">
        <f aca="false">WBS!Q256</f>
        <v>3</v>
      </c>
      <c r="G1076" s="14" t="str">
        <f aca="false">WBS!H256</f>
        <v>P2</v>
      </c>
      <c r="H1076" s="14" t="str">
        <f aca="false">WBS!G256</f>
        <v>Must</v>
      </c>
      <c r="I1076" s="6" t="s">
        <v>4449</v>
      </c>
      <c r="J1076" s="14"/>
      <c r="K1076" s="6"/>
      <c r="L1076" s="41" t="s">
        <v>2065</v>
      </c>
    </row>
    <row r="1077" customFormat="false" ht="15" hidden="false" customHeight="false" outlineLevel="0" collapsed="false">
      <c r="A1077" s="14" t="s">
        <v>4455</v>
      </c>
      <c r="B1077" s="14" t="s">
        <v>1898</v>
      </c>
      <c r="C1077" s="14" t="s">
        <v>1875</v>
      </c>
      <c r="D1077" s="28" t="s">
        <v>4456</v>
      </c>
      <c r="E1077" s="43" t="s">
        <v>96</v>
      </c>
      <c r="F1077" s="31" t="n">
        <f aca="false">WBS!T256</f>
        <v>2.1</v>
      </c>
      <c r="G1077" s="14" t="str">
        <f aca="false">WBS!H256</f>
        <v>P2</v>
      </c>
      <c r="H1077" s="14" t="str">
        <f aca="false">WBS!G256</f>
        <v>Must</v>
      </c>
      <c r="I1077" s="6" t="s">
        <v>4457</v>
      </c>
      <c r="J1077" s="14"/>
      <c r="K1077" s="6"/>
      <c r="L1077" s="41" t="s">
        <v>2065</v>
      </c>
    </row>
    <row r="1078" customFormat="false" ht="15" hidden="false" customHeight="false" outlineLevel="0" collapsed="false">
      <c r="A1078" s="14" t="s">
        <v>4458</v>
      </c>
      <c r="B1078" s="14" t="s">
        <v>1905</v>
      </c>
      <c r="C1078" s="14" t="s">
        <v>1875</v>
      </c>
      <c r="D1078" s="28" t="s">
        <v>4315</v>
      </c>
      <c r="E1078" s="40" t="s">
        <v>91</v>
      </c>
      <c r="F1078" s="31" t="n">
        <f aca="false">WBS!R257</f>
        <v>0.5</v>
      </c>
      <c r="G1078" s="14" t="str">
        <f aca="false">WBS!H257</f>
        <v>P2</v>
      </c>
      <c r="H1078" s="14" t="str">
        <f aca="false">WBS!G257</f>
        <v>Must</v>
      </c>
      <c r="I1078" s="6" t="s">
        <v>1890</v>
      </c>
      <c r="J1078" s="14"/>
      <c r="K1078" s="6"/>
      <c r="L1078" s="41" t="s">
        <v>2065</v>
      </c>
    </row>
    <row r="1079" customFormat="false" ht="15" hidden="false" customHeight="false" outlineLevel="0" collapsed="false">
      <c r="A1079" s="14" t="s">
        <v>4459</v>
      </c>
      <c r="B1079" s="14" t="s">
        <v>1905</v>
      </c>
      <c r="C1079" s="14" t="s">
        <v>1875</v>
      </c>
      <c r="D1079" s="28" t="s">
        <v>4460</v>
      </c>
      <c r="E1079" s="42" t="s">
        <v>2068</v>
      </c>
      <c r="F1079" s="31" t="n">
        <f aca="false">WBS!P257</f>
        <v>3</v>
      </c>
      <c r="G1079" s="14" t="str">
        <f aca="false">WBS!H257</f>
        <v>P2</v>
      </c>
      <c r="H1079" s="14" t="str">
        <f aca="false">WBS!G257</f>
        <v>Must</v>
      </c>
      <c r="I1079" s="6" t="s">
        <v>4458</v>
      </c>
      <c r="J1079" s="14"/>
      <c r="K1079" s="6"/>
      <c r="L1079" s="41" t="s">
        <v>2065</v>
      </c>
    </row>
    <row r="1080" customFormat="false" ht="15" hidden="false" customHeight="false" outlineLevel="0" collapsed="false">
      <c r="A1080" s="14" t="s">
        <v>4461</v>
      </c>
      <c r="B1080" s="14" t="s">
        <v>1905</v>
      </c>
      <c r="C1080" s="14" t="s">
        <v>1875</v>
      </c>
      <c r="D1080" s="28" t="s">
        <v>4462</v>
      </c>
      <c r="E1080" s="22" t="s">
        <v>2071</v>
      </c>
      <c r="F1080" s="31" t="n">
        <f aca="false">WBS!Q257</f>
        <v>1</v>
      </c>
      <c r="G1080" s="14" t="str">
        <f aca="false">WBS!H257</f>
        <v>P2</v>
      </c>
      <c r="H1080" s="14" t="str">
        <f aca="false">WBS!G257</f>
        <v>Must</v>
      </c>
      <c r="I1080" s="6" t="s">
        <v>4458</v>
      </c>
      <c r="J1080" s="14"/>
      <c r="K1080" s="6"/>
      <c r="L1080" s="41" t="s">
        <v>2065</v>
      </c>
    </row>
    <row r="1081" customFormat="false" ht="15" hidden="false" customHeight="false" outlineLevel="0" collapsed="false">
      <c r="A1081" s="14" t="s">
        <v>4463</v>
      </c>
      <c r="B1081" s="14" t="s">
        <v>1905</v>
      </c>
      <c r="C1081" s="14" t="s">
        <v>1875</v>
      </c>
      <c r="D1081" s="28" t="s">
        <v>4464</v>
      </c>
      <c r="E1081" s="43" t="s">
        <v>96</v>
      </c>
      <c r="F1081" s="31" t="n">
        <f aca="false">WBS!T257</f>
        <v>1.4</v>
      </c>
      <c r="G1081" s="14" t="str">
        <f aca="false">WBS!H257</f>
        <v>P2</v>
      </c>
      <c r="H1081" s="14" t="str">
        <f aca="false">WBS!G257</f>
        <v>Must</v>
      </c>
      <c r="I1081" s="6" t="s">
        <v>4465</v>
      </c>
      <c r="J1081" s="14"/>
      <c r="K1081" s="6"/>
      <c r="L1081" s="41" t="s">
        <v>2065</v>
      </c>
    </row>
    <row r="1082" customFormat="false" ht="15" hidden="false" customHeight="false" outlineLevel="0" collapsed="false">
      <c r="A1082" s="14" t="s">
        <v>4466</v>
      </c>
      <c r="B1082" s="14" t="s">
        <v>1910</v>
      </c>
      <c r="C1082" s="14" t="s">
        <v>1875</v>
      </c>
      <c r="D1082" s="28" t="s">
        <v>4467</v>
      </c>
      <c r="E1082" s="40" t="s">
        <v>91</v>
      </c>
      <c r="F1082" s="31" t="n">
        <f aca="false">WBS!R258</f>
        <v>0.5</v>
      </c>
      <c r="G1082" s="14" t="str">
        <f aca="false">WBS!H258</f>
        <v>P2</v>
      </c>
      <c r="H1082" s="14" t="str">
        <f aca="false">WBS!G258</f>
        <v>Must</v>
      </c>
      <c r="I1082" s="6" t="s">
        <v>1808</v>
      </c>
      <c r="J1082" s="14"/>
      <c r="K1082" s="6"/>
      <c r="L1082" s="41" t="s">
        <v>2065</v>
      </c>
    </row>
    <row r="1083" customFormat="false" ht="15" hidden="false" customHeight="false" outlineLevel="0" collapsed="false">
      <c r="A1083" s="14" t="s">
        <v>4468</v>
      </c>
      <c r="B1083" s="14" t="s">
        <v>1910</v>
      </c>
      <c r="C1083" s="14" t="s">
        <v>1875</v>
      </c>
      <c r="D1083" s="28" t="s">
        <v>4469</v>
      </c>
      <c r="E1083" s="42" t="s">
        <v>2068</v>
      </c>
      <c r="F1083" s="31" t="n">
        <f aca="false">WBS!P258</f>
        <v>1</v>
      </c>
      <c r="G1083" s="14" t="str">
        <f aca="false">WBS!H258</f>
        <v>P2</v>
      </c>
      <c r="H1083" s="14" t="str">
        <f aca="false">WBS!G258</f>
        <v>Must</v>
      </c>
      <c r="I1083" s="6" t="s">
        <v>4466</v>
      </c>
      <c r="J1083" s="14"/>
      <c r="K1083" s="6"/>
      <c r="L1083" s="41" t="s">
        <v>2065</v>
      </c>
    </row>
    <row r="1084" customFormat="false" ht="15" hidden="false" customHeight="false" outlineLevel="0" collapsed="false">
      <c r="A1084" s="14" t="s">
        <v>4470</v>
      </c>
      <c r="B1084" s="14" t="s">
        <v>1910</v>
      </c>
      <c r="C1084" s="14" t="s">
        <v>1875</v>
      </c>
      <c r="D1084" s="28" t="s">
        <v>4471</v>
      </c>
      <c r="E1084" s="22" t="s">
        <v>2071</v>
      </c>
      <c r="F1084" s="31" t="n">
        <f aca="false">WBS!Q258</f>
        <v>3</v>
      </c>
      <c r="G1084" s="14" t="str">
        <f aca="false">WBS!H258</f>
        <v>P2</v>
      </c>
      <c r="H1084" s="14" t="str">
        <f aca="false">WBS!G258</f>
        <v>Must</v>
      </c>
      <c r="I1084" s="6" t="s">
        <v>4466</v>
      </c>
      <c r="J1084" s="14"/>
      <c r="K1084" s="6"/>
      <c r="L1084" s="41" t="s">
        <v>2065</v>
      </c>
    </row>
    <row r="1085" customFormat="false" ht="15" hidden="false" customHeight="false" outlineLevel="0" collapsed="false">
      <c r="A1085" s="14" t="s">
        <v>4472</v>
      </c>
      <c r="B1085" s="14" t="s">
        <v>1910</v>
      </c>
      <c r="C1085" s="14" t="s">
        <v>1875</v>
      </c>
      <c r="D1085" s="28" t="s">
        <v>4473</v>
      </c>
      <c r="E1085" s="43" t="s">
        <v>96</v>
      </c>
      <c r="F1085" s="31" t="n">
        <f aca="false">WBS!T258</f>
        <v>1.4</v>
      </c>
      <c r="G1085" s="14" t="str">
        <f aca="false">WBS!H258</f>
        <v>P2</v>
      </c>
      <c r="H1085" s="14" t="str">
        <f aca="false">WBS!G258</f>
        <v>Must</v>
      </c>
      <c r="I1085" s="6" t="s">
        <v>4474</v>
      </c>
      <c r="J1085" s="14"/>
      <c r="K1085" s="6"/>
      <c r="L1085" s="41" t="s">
        <v>2065</v>
      </c>
    </row>
    <row r="1086" customFormat="false" ht="15" hidden="false" customHeight="false" outlineLevel="0" collapsed="false">
      <c r="A1086" s="14" t="s">
        <v>4475</v>
      </c>
      <c r="B1086" s="14" t="s">
        <v>1917</v>
      </c>
      <c r="C1086" s="14" t="s">
        <v>1875</v>
      </c>
      <c r="D1086" s="28" t="s">
        <v>4476</v>
      </c>
      <c r="E1086" s="40" t="s">
        <v>91</v>
      </c>
      <c r="F1086" s="31" t="n">
        <f aca="false">WBS!R259</f>
        <v>1</v>
      </c>
      <c r="G1086" s="14" t="str">
        <f aca="false">WBS!H259</f>
        <v>P3</v>
      </c>
      <c r="H1086" s="14" t="str">
        <f aca="false">WBS!G259</f>
        <v>Should</v>
      </c>
      <c r="I1086" s="6" t="s">
        <v>241</v>
      </c>
      <c r="J1086" s="14"/>
      <c r="K1086" s="6"/>
      <c r="L1086" s="41" t="s">
        <v>2065</v>
      </c>
    </row>
    <row r="1087" customFormat="false" ht="15" hidden="false" customHeight="false" outlineLevel="0" collapsed="false">
      <c r="A1087" s="14" t="s">
        <v>4477</v>
      </c>
      <c r="B1087" s="14" t="s">
        <v>1917</v>
      </c>
      <c r="C1087" s="14" t="s">
        <v>1875</v>
      </c>
      <c r="D1087" s="28" t="s">
        <v>4478</v>
      </c>
      <c r="E1087" s="42" t="s">
        <v>2068</v>
      </c>
      <c r="F1087" s="31" t="n">
        <f aca="false">WBS!P259</f>
        <v>3</v>
      </c>
      <c r="G1087" s="14" t="str">
        <f aca="false">WBS!H259</f>
        <v>P3</v>
      </c>
      <c r="H1087" s="14" t="str">
        <f aca="false">WBS!G259</f>
        <v>Should</v>
      </c>
      <c r="I1087" s="6" t="s">
        <v>4475</v>
      </c>
      <c r="J1087" s="14"/>
      <c r="K1087" s="6"/>
      <c r="L1087" s="41" t="s">
        <v>2065</v>
      </c>
    </row>
    <row r="1088" customFormat="false" ht="15" hidden="false" customHeight="false" outlineLevel="0" collapsed="false">
      <c r="A1088" s="14" t="s">
        <v>4479</v>
      </c>
      <c r="B1088" s="14" t="s">
        <v>1917</v>
      </c>
      <c r="C1088" s="14" t="s">
        <v>1875</v>
      </c>
      <c r="D1088" s="28" t="s">
        <v>4480</v>
      </c>
      <c r="E1088" s="22" t="s">
        <v>2071</v>
      </c>
      <c r="F1088" s="31" t="n">
        <f aca="false">WBS!Q259</f>
        <v>5</v>
      </c>
      <c r="G1088" s="14" t="str">
        <f aca="false">WBS!H259</f>
        <v>P3</v>
      </c>
      <c r="H1088" s="14" t="str">
        <f aca="false">WBS!G259</f>
        <v>Should</v>
      </c>
      <c r="I1088" s="6" t="s">
        <v>4475</v>
      </c>
      <c r="J1088" s="14"/>
      <c r="K1088" s="6"/>
      <c r="L1088" s="41" t="s">
        <v>2065</v>
      </c>
    </row>
    <row r="1089" customFormat="false" ht="15" hidden="false" customHeight="false" outlineLevel="0" collapsed="false">
      <c r="A1089" s="14" t="s">
        <v>4481</v>
      </c>
      <c r="B1089" s="14" t="s">
        <v>1917</v>
      </c>
      <c r="C1089" s="14" t="s">
        <v>1875</v>
      </c>
      <c r="D1089" s="28" t="s">
        <v>4482</v>
      </c>
      <c r="E1089" s="43" t="s">
        <v>96</v>
      </c>
      <c r="F1089" s="31" t="n">
        <f aca="false">WBS!T259</f>
        <v>2.8</v>
      </c>
      <c r="G1089" s="14" t="str">
        <f aca="false">WBS!H259</f>
        <v>P3</v>
      </c>
      <c r="H1089" s="14" t="str">
        <f aca="false">WBS!G259</f>
        <v>Should</v>
      </c>
      <c r="I1089" s="6" t="s">
        <v>4483</v>
      </c>
      <c r="J1089" s="14"/>
      <c r="K1089" s="6"/>
      <c r="L1089" s="41" t="s">
        <v>2065</v>
      </c>
    </row>
    <row r="1090" customFormat="false" ht="15" hidden="false" customHeight="false" outlineLevel="0" collapsed="false">
      <c r="A1090" s="14" t="s">
        <v>4484</v>
      </c>
      <c r="B1090" s="14" t="s">
        <v>1924</v>
      </c>
      <c r="C1090" s="14" t="s">
        <v>1875</v>
      </c>
      <c r="D1090" s="28" t="s">
        <v>4485</v>
      </c>
      <c r="E1090" s="40" t="s">
        <v>91</v>
      </c>
      <c r="F1090" s="31" t="n">
        <f aca="false">WBS!R260</f>
        <v>0.7</v>
      </c>
      <c r="G1090" s="14" t="str">
        <f aca="false">WBS!H260</f>
        <v>P3</v>
      </c>
      <c r="H1090" s="14" t="str">
        <f aca="false">WBS!G260</f>
        <v>Should</v>
      </c>
      <c r="I1090" s="6" t="s">
        <v>1929</v>
      </c>
      <c r="J1090" s="14"/>
      <c r="K1090" s="6"/>
      <c r="L1090" s="41" t="s">
        <v>2065</v>
      </c>
    </row>
    <row r="1091" customFormat="false" ht="15" hidden="false" customHeight="false" outlineLevel="0" collapsed="false">
      <c r="A1091" s="14" t="s">
        <v>4486</v>
      </c>
      <c r="B1091" s="14" t="s">
        <v>1924</v>
      </c>
      <c r="C1091" s="14" t="s">
        <v>1875</v>
      </c>
      <c r="D1091" s="28" t="s">
        <v>4487</v>
      </c>
      <c r="E1091" s="42" t="s">
        <v>2068</v>
      </c>
      <c r="F1091" s="31" t="n">
        <f aca="false">WBS!P260</f>
        <v>3</v>
      </c>
      <c r="G1091" s="14" t="str">
        <f aca="false">WBS!H260</f>
        <v>P3</v>
      </c>
      <c r="H1091" s="14" t="str">
        <f aca="false">WBS!G260</f>
        <v>Should</v>
      </c>
      <c r="I1091" s="6" t="s">
        <v>4484</v>
      </c>
      <c r="J1091" s="14"/>
      <c r="K1091" s="6"/>
      <c r="L1091" s="41" t="s">
        <v>2065</v>
      </c>
    </row>
    <row r="1092" customFormat="false" ht="15" hidden="false" customHeight="false" outlineLevel="0" collapsed="false">
      <c r="A1092" s="14" t="s">
        <v>4488</v>
      </c>
      <c r="B1092" s="14" t="s">
        <v>1924</v>
      </c>
      <c r="C1092" s="14" t="s">
        <v>1875</v>
      </c>
      <c r="D1092" s="28" t="s">
        <v>4328</v>
      </c>
      <c r="E1092" s="22" t="s">
        <v>2071</v>
      </c>
      <c r="F1092" s="31" t="n">
        <f aca="false">WBS!Q260</f>
        <v>3</v>
      </c>
      <c r="G1092" s="14" t="str">
        <f aca="false">WBS!H260</f>
        <v>P3</v>
      </c>
      <c r="H1092" s="14" t="str">
        <f aca="false">WBS!G260</f>
        <v>Should</v>
      </c>
      <c r="I1092" s="6" t="s">
        <v>4484</v>
      </c>
      <c r="J1092" s="14"/>
      <c r="K1092" s="6"/>
      <c r="L1092" s="41" t="s">
        <v>2065</v>
      </c>
    </row>
    <row r="1093" customFormat="false" ht="15" hidden="false" customHeight="false" outlineLevel="0" collapsed="false">
      <c r="A1093" s="14" t="s">
        <v>4489</v>
      </c>
      <c r="B1093" s="14" t="s">
        <v>1924</v>
      </c>
      <c r="C1093" s="14" t="s">
        <v>1875</v>
      </c>
      <c r="D1093" s="28" t="s">
        <v>4490</v>
      </c>
      <c r="E1093" s="43" t="s">
        <v>96</v>
      </c>
      <c r="F1093" s="31" t="n">
        <f aca="false">WBS!T260</f>
        <v>2.1</v>
      </c>
      <c r="G1093" s="14" t="str">
        <f aca="false">WBS!H260</f>
        <v>P3</v>
      </c>
      <c r="H1093" s="14" t="str">
        <f aca="false">WBS!G260</f>
        <v>Should</v>
      </c>
      <c r="I1093" s="6" t="s">
        <v>4491</v>
      </c>
      <c r="J1093" s="14"/>
      <c r="K1093" s="6"/>
      <c r="L1093" s="41" t="s">
        <v>2065</v>
      </c>
    </row>
    <row r="1094" customFormat="false" ht="15" hidden="false" customHeight="false" outlineLevel="0" collapsed="false">
      <c r="A1094" s="14" t="s">
        <v>4492</v>
      </c>
      <c r="B1094" s="14" t="s">
        <v>1930</v>
      </c>
      <c r="C1094" s="14" t="s">
        <v>1875</v>
      </c>
      <c r="D1094" s="28" t="s">
        <v>4369</v>
      </c>
      <c r="E1094" s="40" t="s">
        <v>91</v>
      </c>
      <c r="F1094" s="31" t="n">
        <f aca="false">WBS!R261</f>
        <v>0.2</v>
      </c>
      <c r="G1094" s="14" t="str">
        <f aca="false">WBS!H261</f>
        <v>P3</v>
      </c>
      <c r="H1094" s="14" t="str">
        <f aca="false">WBS!G261</f>
        <v>Should</v>
      </c>
      <c r="I1094" s="6" t="s">
        <v>1835</v>
      </c>
      <c r="J1094" s="14"/>
      <c r="K1094" s="6"/>
      <c r="L1094" s="41" t="s">
        <v>2065</v>
      </c>
    </row>
    <row r="1095" customFormat="false" ht="15" hidden="false" customHeight="false" outlineLevel="0" collapsed="false">
      <c r="A1095" s="14" t="s">
        <v>4493</v>
      </c>
      <c r="B1095" s="14" t="s">
        <v>1930</v>
      </c>
      <c r="C1095" s="14" t="s">
        <v>1875</v>
      </c>
      <c r="D1095" s="28" t="s">
        <v>4494</v>
      </c>
      <c r="E1095" s="42" t="s">
        <v>2068</v>
      </c>
      <c r="F1095" s="31" t="n">
        <f aca="false">WBS!P261</f>
        <v>1</v>
      </c>
      <c r="G1095" s="14" t="str">
        <f aca="false">WBS!H261</f>
        <v>P3</v>
      </c>
      <c r="H1095" s="14" t="str">
        <f aca="false">WBS!G261</f>
        <v>Should</v>
      </c>
      <c r="I1095" s="6" t="s">
        <v>4492</v>
      </c>
      <c r="J1095" s="14"/>
      <c r="K1095" s="6"/>
      <c r="L1095" s="41" t="s">
        <v>2065</v>
      </c>
    </row>
    <row r="1096" customFormat="false" ht="15" hidden="false" customHeight="false" outlineLevel="0" collapsed="false">
      <c r="A1096" s="14" t="s">
        <v>4495</v>
      </c>
      <c r="B1096" s="14" t="s">
        <v>1930</v>
      </c>
      <c r="C1096" s="14" t="s">
        <v>1875</v>
      </c>
      <c r="D1096" s="28" t="s">
        <v>4496</v>
      </c>
      <c r="E1096" s="22" t="s">
        <v>2071</v>
      </c>
      <c r="F1096" s="31" t="n">
        <f aca="false">WBS!Q261</f>
        <v>1</v>
      </c>
      <c r="G1096" s="14" t="str">
        <f aca="false">WBS!H261</f>
        <v>P3</v>
      </c>
      <c r="H1096" s="14" t="str">
        <f aca="false">WBS!G261</f>
        <v>Should</v>
      </c>
      <c r="I1096" s="6" t="s">
        <v>4492</v>
      </c>
      <c r="J1096" s="14"/>
      <c r="K1096" s="6"/>
      <c r="L1096" s="41" t="s">
        <v>2065</v>
      </c>
    </row>
    <row r="1097" customFormat="false" ht="15" hidden="false" customHeight="false" outlineLevel="0" collapsed="false">
      <c r="A1097" s="14" t="s">
        <v>4497</v>
      </c>
      <c r="B1097" s="14" t="s">
        <v>1930</v>
      </c>
      <c r="C1097" s="14" t="s">
        <v>1875</v>
      </c>
      <c r="D1097" s="28" t="s">
        <v>4375</v>
      </c>
      <c r="E1097" s="43" t="s">
        <v>96</v>
      </c>
      <c r="F1097" s="31" t="n">
        <f aca="false">WBS!T261</f>
        <v>0.7</v>
      </c>
      <c r="G1097" s="14" t="str">
        <f aca="false">WBS!H261</f>
        <v>P3</v>
      </c>
      <c r="H1097" s="14" t="str">
        <f aca="false">WBS!G261</f>
        <v>Should</v>
      </c>
      <c r="I1097" s="6" t="s">
        <v>4498</v>
      </c>
      <c r="J1097" s="14"/>
      <c r="K1097" s="6"/>
      <c r="L1097" s="41" t="s">
        <v>2065</v>
      </c>
    </row>
    <row r="1098" customFormat="false" ht="15" hidden="false" customHeight="false" outlineLevel="0" collapsed="false">
      <c r="A1098" s="14" t="s">
        <v>4499</v>
      </c>
      <c r="B1098" s="14" t="s">
        <v>1933</v>
      </c>
      <c r="C1098" s="14" t="s">
        <v>1875</v>
      </c>
      <c r="D1098" s="28" t="s">
        <v>4500</v>
      </c>
      <c r="E1098" s="40" t="s">
        <v>91</v>
      </c>
      <c r="F1098" s="31" t="n">
        <f aca="false">WBS!R262</f>
        <v>0.2</v>
      </c>
      <c r="G1098" s="14" t="str">
        <f aca="false">WBS!H262</f>
        <v>P3</v>
      </c>
      <c r="H1098" s="14" t="str">
        <f aca="false">WBS!G262</f>
        <v>Should</v>
      </c>
      <c r="I1098" s="6" t="s">
        <v>1840</v>
      </c>
      <c r="J1098" s="14"/>
      <c r="K1098" s="6"/>
      <c r="L1098" s="41" t="s">
        <v>2065</v>
      </c>
    </row>
    <row r="1099" customFormat="false" ht="15" hidden="false" customHeight="false" outlineLevel="0" collapsed="false">
      <c r="A1099" s="14" t="s">
        <v>4501</v>
      </c>
      <c r="B1099" s="14" t="s">
        <v>1933</v>
      </c>
      <c r="C1099" s="14" t="s">
        <v>1875</v>
      </c>
      <c r="D1099" s="28" t="s">
        <v>4502</v>
      </c>
      <c r="E1099" s="42" t="s">
        <v>2068</v>
      </c>
      <c r="F1099" s="31" t="n">
        <f aca="false">WBS!P262</f>
        <v>1</v>
      </c>
      <c r="G1099" s="14" t="str">
        <f aca="false">WBS!H262</f>
        <v>P3</v>
      </c>
      <c r="H1099" s="14" t="str">
        <f aca="false">WBS!G262</f>
        <v>Should</v>
      </c>
      <c r="I1099" s="6" t="s">
        <v>4499</v>
      </c>
      <c r="J1099" s="14"/>
      <c r="K1099" s="6"/>
      <c r="L1099" s="41" t="s">
        <v>2065</v>
      </c>
    </row>
    <row r="1100" customFormat="false" ht="15" hidden="false" customHeight="false" outlineLevel="0" collapsed="false">
      <c r="A1100" s="14" t="s">
        <v>4503</v>
      </c>
      <c r="B1100" s="14" t="s">
        <v>1933</v>
      </c>
      <c r="C1100" s="14" t="s">
        <v>1875</v>
      </c>
      <c r="D1100" s="28" t="s">
        <v>4504</v>
      </c>
      <c r="E1100" s="22" t="s">
        <v>2071</v>
      </c>
      <c r="F1100" s="31" t="n">
        <f aca="false">WBS!Q262</f>
        <v>1</v>
      </c>
      <c r="G1100" s="14" t="str">
        <f aca="false">WBS!H262</f>
        <v>P3</v>
      </c>
      <c r="H1100" s="14" t="str">
        <f aca="false">WBS!G262</f>
        <v>Should</v>
      </c>
      <c r="I1100" s="6" t="s">
        <v>4499</v>
      </c>
      <c r="J1100" s="14"/>
      <c r="K1100" s="6"/>
      <c r="L1100" s="41" t="s">
        <v>2065</v>
      </c>
    </row>
    <row r="1101" customFormat="false" ht="15" hidden="false" customHeight="false" outlineLevel="0" collapsed="false">
      <c r="A1101" s="14" t="s">
        <v>4505</v>
      </c>
      <c r="B1101" s="14" t="s">
        <v>1933</v>
      </c>
      <c r="C1101" s="14" t="s">
        <v>1875</v>
      </c>
      <c r="D1101" s="28" t="s">
        <v>4506</v>
      </c>
      <c r="E1101" s="43" t="s">
        <v>96</v>
      </c>
      <c r="F1101" s="31" t="n">
        <f aca="false">WBS!T262</f>
        <v>0.7</v>
      </c>
      <c r="G1101" s="14" t="str">
        <f aca="false">WBS!H262</f>
        <v>P3</v>
      </c>
      <c r="H1101" s="14" t="str">
        <f aca="false">WBS!G262</f>
        <v>Should</v>
      </c>
      <c r="I1101" s="6" t="s">
        <v>4507</v>
      </c>
      <c r="J1101" s="14"/>
      <c r="K1101" s="6"/>
      <c r="L1101" s="41" t="s">
        <v>2065</v>
      </c>
    </row>
    <row r="1102" customFormat="false" ht="15" hidden="false" customHeight="false" outlineLevel="0" collapsed="false">
      <c r="A1102" s="14" t="s">
        <v>4508</v>
      </c>
      <c r="B1102" s="14" t="s">
        <v>1939</v>
      </c>
      <c r="C1102" s="14" t="s">
        <v>1875</v>
      </c>
      <c r="D1102" s="28" t="s">
        <v>4387</v>
      </c>
      <c r="E1102" s="40" t="s">
        <v>91</v>
      </c>
      <c r="F1102" s="31" t="n">
        <f aca="false">WBS!R263</f>
        <v>0.2</v>
      </c>
      <c r="G1102" s="14" t="str">
        <f aca="false">WBS!H263</f>
        <v>P3</v>
      </c>
      <c r="H1102" s="14" t="str">
        <f aca="false">WBS!G263</f>
        <v>Should</v>
      </c>
      <c r="I1102" s="6" t="s">
        <v>1846</v>
      </c>
      <c r="J1102" s="14"/>
      <c r="K1102" s="6"/>
      <c r="L1102" s="41" t="s">
        <v>2065</v>
      </c>
    </row>
    <row r="1103" customFormat="false" ht="15" hidden="false" customHeight="false" outlineLevel="0" collapsed="false">
      <c r="A1103" s="14" t="s">
        <v>4509</v>
      </c>
      <c r="B1103" s="14" t="s">
        <v>1939</v>
      </c>
      <c r="C1103" s="14" t="s">
        <v>1875</v>
      </c>
      <c r="D1103" s="28" t="s">
        <v>4510</v>
      </c>
      <c r="E1103" s="42" t="s">
        <v>2068</v>
      </c>
      <c r="F1103" s="31" t="n">
        <f aca="false">WBS!P263</f>
        <v>1</v>
      </c>
      <c r="G1103" s="14" t="str">
        <f aca="false">WBS!H263</f>
        <v>P3</v>
      </c>
      <c r="H1103" s="14" t="str">
        <f aca="false">WBS!G263</f>
        <v>Should</v>
      </c>
      <c r="I1103" s="6" t="s">
        <v>4508</v>
      </c>
      <c r="J1103" s="14"/>
      <c r="K1103" s="6"/>
      <c r="L1103" s="41" t="s">
        <v>2065</v>
      </c>
    </row>
    <row r="1104" customFormat="false" ht="15" hidden="false" customHeight="false" outlineLevel="0" collapsed="false">
      <c r="A1104" s="14" t="s">
        <v>4511</v>
      </c>
      <c r="B1104" s="14" t="s">
        <v>1939</v>
      </c>
      <c r="C1104" s="14" t="s">
        <v>1875</v>
      </c>
      <c r="D1104" s="28" t="s">
        <v>4512</v>
      </c>
      <c r="E1104" s="22" t="s">
        <v>2071</v>
      </c>
      <c r="F1104" s="31" t="n">
        <f aca="false">WBS!Q263</f>
        <v>1</v>
      </c>
      <c r="G1104" s="14" t="str">
        <f aca="false">WBS!H263</f>
        <v>P3</v>
      </c>
      <c r="H1104" s="14" t="str">
        <f aca="false">WBS!G263</f>
        <v>Should</v>
      </c>
      <c r="I1104" s="6" t="s">
        <v>4508</v>
      </c>
      <c r="J1104" s="14"/>
      <c r="K1104" s="6"/>
      <c r="L1104" s="41" t="s">
        <v>2065</v>
      </c>
    </row>
    <row r="1105" customFormat="false" ht="15" hidden="false" customHeight="false" outlineLevel="0" collapsed="false">
      <c r="A1105" s="14" t="s">
        <v>4513</v>
      </c>
      <c r="B1105" s="14" t="s">
        <v>1939</v>
      </c>
      <c r="C1105" s="14" t="s">
        <v>1875</v>
      </c>
      <c r="D1105" s="28" t="s">
        <v>4514</v>
      </c>
      <c r="E1105" s="43" t="s">
        <v>96</v>
      </c>
      <c r="F1105" s="31" t="n">
        <f aca="false">WBS!T263</f>
        <v>0.7</v>
      </c>
      <c r="G1105" s="14" t="str">
        <f aca="false">WBS!H263</f>
        <v>P3</v>
      </c>
      <c r="H1105" s="14" t="str">
        <f aca="false">WBS!G263</f>
        <v>Should</v>
      </c>
      <c r="I1105" s="6" t="s">
        <v>4515</v>
      </c>
      <c r="J1105" s="14"/>
      <c r="K1105" s="6"/>
      <c r="L1105" s="41" t="s">
        <v>2065</v>
      </c>
    </row>
    <row r="1106" customFormat="false" ht="15" hidden="false" customHeight="false" outlineLevel="0" collapsed="false">
      <c r="A1106" s="14" t="s">
        <v>4516</v>
      </c>
      <c r="B1106" s="14" t="s">
        <v>1944</v>
      </c>
      <c r="C1106" s="14" t="s">
        <v>1875</v>
      </c>
      <c r="D1106" s="28" t="s">
        <v>4517</v>
      </c>
      <c r="E1106" s="40" t="s">
        <v>91</v>
      </c>
      <c r="F1106" s="31" t="n">
        <f aca="false">WBS!R264</f>
        <v>0.7</v>
      </c>
      <c r="G1106" s="14" t="str">
        <f aca="false">WBS!H264</f>
        <v>P3</v>
      </c>
      <c r="H1106" s="14" t="str">
        <f aca="false">WBS!G264</f>
        <v>Should</v>
      </c>
      <c r="I1106" s="6" t="s">
        <v>1054</v>
      </c>
      <c r="J1106" s="14"/>
      <c r="K1106" s="6"/>
      <c r="L1106" s="41" t="s">
        <v>2065</v>
      </c>
    </row>
    <row r="1107" customFormat="false" ht="15" hidden="false" customHeight="false" outlineLevel="0" collapsed="false">
      <c r="A1107" s="14" t="s">
        <v>4518</v>
      </c>
      <c r="B1107" s="14" t="s">
        <v>1944</v>
      </c>
      <c r="C1107" s="14" t="s">
        <v>1875</v>
      </c>
      <c r="D1107" s="28" t="s">
        <v>4519</v>
      </c>
      <c r="E1107" s="42" t="s">
        <v>2068</v>
      </c>
      <c r="F1107" s="31" t="n">
        <f aca="false">WBS!P264</f>
        <v>3</v>
      </c>
      <c r="G1107" s="14" t="str">
        <f aca="false">WBS!H264</f>
        <v>P3</v>
      </c>
      <c r="H1107" s="14" t="str">
        <f aca="false">WBS!G264</f>
        <v>Should</v>
      </c>
      <c r="I1107" s="6" t="s">
        <v>4516</v>
      </c>
      <c r="J1107" s="14"/>
      <c r="K1107" s="6"/>
      <c r="L1107" s="41" t="s">
        <v>2065</v>
      </c>
    </row>
    <row r="1108" customFormat="false" ht="15" hidden="false" customHeight="false" outlineLevel="0" collapsed="false">
      <c r="A1108" s="14" t="s">
        <v>4520</v>
      </c>
      <c r="B1108" s="14" t="s">
        <v>1944</v>
      </c>
      <c r="C1108" s="14" t="s">
        <v>1875</v>
      </c>
      <c r="D1108" s="28" t="s">
        <v>4521</v>
      </c>
      <c r="E1108" s="22" t="s">
        <v>2071</v>
      </c>
      <c r="F1108" s="31" t="n">
        <f aca="false">WBS!Q264</f>
        <v>3</v>
      </c>
      <c r="G1108" s="14" t="str">
        <f aca="false">WBS!H264</f>
        <v>P3</v>
      </c>
      <c r="H1108" s="14" t="str">
        <f aca="false">WBS!G264</f>
        <v>Should</v>
      </c>
      <c r="I1108" s="6" t="s">
        <v>4516</v>
      </c>
      <c r="J1108" s="14"/>
      <c r="K1108" s="6"/>
      <c r="L1108" s="41" t="s">
        <v>2065</v>
      </c>
    </row>
    <row r="1109" customFormat="false" ht="15" hidden="false" customHeight="false" outlineLevel="0" collapsed="false">
      <c r="A1109" s="14" t="s">
        <v>4522</v>
      </c>
      <c r="B1109" s="14" t="s">
        <v>1944</v>
      </c>
      <c r="C1109" s="14" t="s">
        <v>1875</v>
      </c>
      <c r="D1109" s="28" t="s">
        <v>4523</v>
      </c>
      <c r="E1109" s="43" t="s">
        <v>96</v>
      </c>
      <c r="F1109" s="31" t="n">
        <f aca="false">WBS!T264</f>
        <v>2.1</v>
      </c>
      <c r="G1109" s="14" t="str">
        <f aca="false">WBS!H264</f>
        <v>P3</v>
      </c>
      <c r="H1109" s="14" t="str">
        <f aca="false">WBS!G264</f>
        <v>Should</v>
      </c>
      <c r="I1109" s="6" t="s">
        <v>4524</v>
      </c>
      <c r="J1109" s="14"/>
      <c r="K1109" s="6"/>
      <c r="L1109" s="41" t="s">
        <v>2065</v>
      </c>
    </row>
    <row r="1110" customFormat="false" ht="15" hidden="false" customHeight="false" outlineLevel="0" collapsed="false">
      <c r="A1110" s="14" t="s">
        <v>4525</v>
      </c>
      <c r="B1110" s="14" t="s">
        <v>1950</v>
      </c>
      <c r="C1110" s="14" t="s">
        <v>1875</v>
      </c>
      <c r="D1110" s="28" t="s">
        <v>4526</v>
      </c>
      <c r="E1110" s="40" t="s">
        <v>91</v>
      </c>
      <c r="F1110" s="31" t="n">
        <f aca="false">WBS!R265</f>
        <v>1</v>
      </c>
      <c r="G1110" s="14" t="str">
        <f aca="false">WBS!H265</f>
        <v>P4</v>
      </c>
      <c r="H1110" s="14" t="str">
        <f aca="false">WBS!G265</f>
        <v>Nice-to-have</v>
      </c>
      <c r="I1110" s="6" t="s">
        <v>1910</v>
      </c>
      <c r="J1110" s="14"/>
      <c r="K1110" s="6"/>
      <c r="L1110" s="41" t="s">
        <v>2065</v>
      </c>
    </row>
    <row r="1111" customFormat="false" ht="15" hidden="false" customHeight="false" outlineLevel="0" collapsed="false">
      <c r="A1111" s="14" t="s">
        <v>4527</v>
      </c>
      <c r="B1111" s="14" t="s">
        <v>1950</v>
      </c>
      <c r="C1111" s="14" t="s">
        <v>1875</v>
      </c>
      <c r="D1111" s="28" t="s">
        <v>4528</v>
      </c>
      <c r="E1111" s="42" t="s">
        <v>2068</v>
      </c>
      <c r="F1111" s="31" t="n">
        <f aca="false">WBS!P265</f>
        <v>5</v>
      </c>
      <c r="G1111" s="14" t="str">
        <f aca="false">WBS!H265</f>
        <v>P4</v>
      </c>
      <c r="H1111" s="14" t="str">
        <f aca="false">WBS!G265</f>
        <v>Nice-to-have</v>
      </c>
      <c r="I1111" s="6" t="s">
        <v>4525</v>
      </c>
      <c r="J1111" s="14"/>
      <c r="K1111" s="6"/>
      <c r="L1111" s="41" t="s">
        <v>2065</v>
      </c>
    </row>
    <row r="1112" customFormat="false" ht="15" hidden="false" customHeight="false" outlineLevel="0" collapsed="false">
      <c r="A1112" s="14" t="s">
        <v>4529</v>
      </c>
      <c r="B1112" s="14" t="s">
        <v>1950</v>
      </c>
      <c r="C1112" s="14" t="s">
        <v>1875</v>
      </c>
      <c r="D1112" s="28" t="s">
        <v>4530</v>
      </c>
      <c r="E1112" s="22" t="s">
        <v>2071</v>
      </c>
      <c r="F1112" s="31" t="n">
        <f aca="false">WBS!Q265</f>
        <v>3</v>
      </c>
      <c r="G1112" s="14" t="str">
        <f aca="false">WBS!H265</f>
        <v>P4</v>
      </c>
      <c r="H1112" s="14" t="str">
        <f aca="false">WBS!G265</f>
        <v>Nice-to-have</v>
      </c>
      <c r="I1112" s="6" t="s">
        <v>4525</v>
      </c>
      <c r="J1112" s="14"/>
      <c r="K1112" s="6"/>
      <c r="L1112" s="41" t="s">
        <v>2065</v>
      </c>
    </row>
    <row r="1113" customFormat="false" ht="15" hidden="false" customHeight="false" outlineLevel="0" collapsed="false">
      <c r="A1113" s="14" t="s">
        <v>4531</v>
      </c>
      <c r="B1113" s="14" t="s">
        <v>1950</v>
      </c>
      <c r="C1113" s="14" t="s">
        <v>1875</v>
      </c>
      <c r="D1113" s="28" t="s">
        <v>4532</v>
      </c>
      <c r="E1113" s="43" t="s">
        <v>96</v>
      </c>
      <c r="F1113" s="31" t="n">
        <f aca="false">WBS!T265</f>
        <v>2.8</v>
      </c>
      <c r="G1113" s="14" t="str">
        <f aca="false">WBS!H265</f>
        <v>P4</v>
      </c>
      <c r="H1113" s="14" t="str">
        <f aca="false">WBS!G265</f>
        <v>Nice-to-have</v>
      </c>
      <c r="I1113" s="6" t="s">
        <v>4533</v>
      </c>
      <c r="J1113" s="14"/>
      <c r="K1113" s="6"/>
      <c r="L1113" s="41" t="s">
        <v>2065</v>
      </c>
    </row>
    <row r="1114" customFormat="false" ht="15" hidden="false" customHeight="false" outlineLevel="0" collapsed="false">
      <c r="A1114" s="14" t="s">
        <v>4534</v>
      </c>
      <c r="B1114" s="14" t="s">
        <v>1957</v>
      </c>
      <c r="C1114" s="14" t="s">
        <v>1875</v>
      </c>
      <c r="D1114" s="28" t="s">
        <v>4535</v>
      </c>
      <c r="E1114" s="40" t="s">
        <v>91</v>
      </c>
      <c r="F1114" s="31" t="n">
        <f aca="false">WBS!R266</f>
        <v>0.7</v>
      </c>
      <c r="G1114" s="14" t="str">
        <f aca="false">WBS!H266</f>
        <v>P4</v>
      </c>
      <c r="H1114" s="14" t="str">
        <f aca="false">WBS!G266</f>
        <v>Nice-to-have</v>
      </c>
      <c r="I1114" s="6" t="s">
        <v>1890</v>
      </c>
      <c r="J1114" s="14"/>
      <c r="K1114" s="6"/>
      <c r="L1114" s="41" t="s">
        <v>2065</v>
      </c>
    </row>
    <row r="1115" customFormat="false" ht="15" hidden="false" customHeight="false" outlineLevel="0" collapsed="false">
      <c r="A1115" s="14" t="s">
        <v>4536</v>
      </c>
      <c r="B1115" s="14" t="s">
        <v>1957</v>
      </c>
      <c r="C1115" s="14" t="s">
        <v>1875</v>
      </c>
      <c r="D1115" s="28" t="s">
        <v>4537</v>
      </c>
      <c r="E1115" s="42" t="s">
        <v>2068</v>
      </c>
      <c r="F1115" s="31" t="n">
        <f aca="false">WBS!P266</f>
        <v>3</v>
      </c>
      <c r="G1115" s="14" t="str">
        <f aca="false">WBS!H266</f>
        <v>P4</v>
      </c>
      <c r="H1115" s="14" t="str">
        <f aca="false">WBS!G266</f>
        <v>Nice-to-have</v>
      </c>
      <c r="I1115" s="6" t="s">
        <v>4534</v>
      </c>
      <c r="J1115" s="14"/>
      <c r="K1115" s="6"/>
      <c r="L1115" s="41" t="s">
        <v>2065</v>
      </c>
    </row>
    <row r="1116" customFormat="false" ht="15" hidden="false" customHeight="false" outlineLevel="0" collapsed="false">
      <c r="A1116" s="14" t="s">
        <v>4538</v>
      </c>
      <c r="B1116" s="14" t="s">
        <v>1957</v>
      </c>
      <c r="C1116" s="14" t="s">
        <v>1875</v>
      </c>
      <c r="D1116" s="28" t="s">
        <v>4539</v>
      </c>
      <c r="E1116" s="22" t="s">
        <v>2071</v>
      </c>
      <c r="F1116" s="31" t="n">
        <f aca="false">WBS!Q266</f>
        <v>3</v>
      </c>
      <c r="G1116" s="14" t="str">
        <f aca="false">WBS!H266</f>
        <v>P4</v>
      </c>
      <c r="H1116" s="14" t="str">
        <f aca="false">WBS!G266</f>
        <v>Nice-to-have</v>
      </c>
      <c r="I1116" s="6" t="s">
        <v>4534</v>
      </c>
      <c r="J1116" s="14"/>
      <c r="K1116" s="6"/>
      <c r="L1116" s="41" t="s">
        <v>2065</v>
      </c>
    </row>
    <row r="1117" customFormat="false" ht="15" hidden="false" customHeight="false" outlineLevel="0" collapsed="false">
      <c r="A1117" s="14" t="s">
        <v>4540</v>
      </c>
      <c r="B1117" s="14" t="s">
        <v>1957</v>
      </c>
      <c r="C1117" s="14" t="s">
        <v>1875</v>
      </c>
      <c r="D1117" s="28" t="s">
        <v>4541</v>
      </c>
      <c r="E1117" s="43" t="s">
        <v>96</v>
      </c>
      <c r="F1117" s="31" t="n">
        <f aca="false">WBS!T266</f>
        <v>2.1</v>
      </c>
      <c r="G1117" s="14" t="str">
        <f aca="false">WBS!H266</f>
        <v>P4</v>
      </c>
      <c r="H1117" s="14" t="str">
        <f aca="false">WBS!G266</f>
        <v>Nice-to-have</v>
      </c>
      <c r="I1117" s="6" t="s">
        <v>4542</v>
      </c>
      <c r="J1117" s="14"/>
      <c r="K1117" s="6"/>
      <c r="L1117" s="41" t="s">
        <v>2065</v>
      </c>
    </row>
    <row r="1118" customFormat="false" ht="15" hidden="false" customHeight="false" outlineLevel="0" collapsed="false">
      <c r="A1118" s="14" t="s">
        <v>4543</v>
      </c>
      <c r="B1118" s="14" t="s">
        <v>1219</v>
      </c>
      <c r="C1118" s="14" t="s">
        <v>1964</v>
      </c>
      <c r="D1118" s="28" t="s">
        <v>4544</v>
      </c>
      <c r="E1118" s="40" t="s">
        <v>91</v>
      </c>
      <c r="F1118" s="31" t="n">
        <f aca="false">WBS!R267</f>
        <v>1.8</v>
      </c>
      <c r="G1118" s="14" t="str">
        <f aca="false">WBS!H267</f>
        <v>P2</v>
      </c>
      <c r="H1118" s="14" t="str">
        <f aca="false">WBS!G267</f>
        <v>Must</v>
      </c>
      <c r="I1118" s="6" t="s">
        <v>1972</v>
      </c>
      <c r="J1118" s="14"/>
      <c r="K1118" s="6"/>
      <c r="L1118" s="41" t="s">
        <v>2065</v>
      </c>
    </row>
    <row r="1119" customFormat="false" ht="15" hidden="false" customHeight="false" outlineLevel="0" collapsed="false">
      <c r="A1119" s="14" t="s">
        <v>4545</v>
      </c>
      <c r="B1119" s="14" t="s">
        <v>1219</v>
      </c>
      <c r="C1119" s="14" t="s">
        <v>1964</v>
      </c>
      <c r="D1119" s="28" t="s">
        <v>4546</v>
      </c>
      <c r="E1119" s="37" t="s">
        <v>128</v>
      </c>
      <c r="F1119" s="31" t="n">
        <f aca="false">WBS!S267</f>
        <v>2</v>
      </c>
      <c r="G1119" s="14" t="str">
        <f aca="false">WBS!H267</f>
        <v>P2</v>
      </c>
      <c r="H1119" s="14" t="str">
        <f aca="false">WBS!G267</f>
        <v>Must</v>
      </c>
      <c r="I1119" s="6" t="s">
        <v>4543</v>
      </c>
      <c r="J1119" s="14"/>
      <c r="K1119" s="6"/>
      <c r="L1119" s="41" t="s">
        <v>2065</v>
      </c>
    </row>
    <row r="1120" customFormat="false" ht="22.35" hidden="false" customHeight="false" outlineLevel="0" collapsed="false">
      <c r="A1120" s="14" t="s">
        <v>4547</v>
      </c>
      <c r="B1120" s="14" t="s">
        <v>1219</v>
      </c>
      <c r="C1120" s="14" t="s">
        <v>1964</v>
      </c>
      <c r="D1120" s="28" t="s">
        <v>4548</v>
      </c>
      <c r="E1120" s="42" t="s">
        <v>2068</v>
      </c>
      <c r="F1120" s="31" t="n">
        <f aca="false">WBS!P267</f>
        <v>10</v>
      </c>
      <c r="G1120" s="14" t="str">
        <f aca="false">WBS!H267</f>
        <v>P2</v>
      </c>
      <c r="H1120" s="14" t="str">
        <f aca="false">WBS!G267</f>
        <v>Must</v>
      </c>
      <c r="I1120" s="6" t="s">
        <v>4543</v>
      </c>
      <c r="J1120" s="14"/>
      <c r="K1120" s="6"/>
      <c r="L1120" s="41" t="s">
        <v>2065</v>
      </c>
    </row>
    <row r="1121" customFormat="false" ht="15" hidden="false" customHeight="false" outlineLevel="0" collapsed="false">
      <c r="A1121" s="14" t="s">
        <v>4549</v>
      </c>
      <c r="B1121" s="14" t="s">
        <v>1219</v>
      </c>
      <c r="C1121" s="14" t="s">
        <v>1964</v>
      </c>
      <c r="D1121" s="28" t="s">
        <v>4550</v>
      </c>
      <c r="E1121" s="22" t="s">
        <v>2071</v>
      </c>
      <c r="F1121" s="31" t="n">
        <f aca="false">WBS!Q267</f>
        <v>5</v>
      </c>
      <c r="G1121" s="14" t="str">
        <f aca="false">WBS!H267</f>
        <v>P2</v>
      </c>
      <c r="H1121" s="14" t="str">
        <f aca="false">WBS!G267</f>
        <v>Must</v>
      </c>
      <c r="I1121" s="6" t="s">
        <v>4545</v>
      </c>
      <c r="J1121" s="14"/>
      <c r="K1121" s="6"/>
      <c r="L1121" s="41" t="s">
        <v>2065</v>
      </c>
    </row>
    <row r="1122" customFormat="false" ht="15" hidden="false" customHeight="false" outlineLevel="0" collapsed="false">
      <c r="A1122" s="14" t="s">
        <v>4551</v>
      </c>
      <c r="B1122" s="14" t="s">
        <v>1219</v>
      </c>
      <c r="C1122" s="14" t="s">
        <v>1964</v>
      </c>
      <c r="D1122" s="28" t="s">
        <v>4552</v>
      </c>
      <c r="E1122" s="43" t="s">
        <v>96</v>
      </c>
      <c r="F1122" s="31" t="n">
        <f aca="false">WBS!T267</f>
        <v>5.3</v>
      </c>
      <c r="G1122" s="14" t="str">
        <f aca="false">WBS!H267</f>
        <v>P2</v>
      </c>
      <c r="H1122" s="14" t="str">
        <f aca="false">WBS!G267</f>
        <v>Must</v>
      </c>
      <c r="I1122" s="6" t="s">
        <v>4553</v>
      </c>
      <c r="J1122" s="14"/>
      <c r="K1122" s="6"/>
      <c r="L1122" s="41" t="s">
        <v>2065</v>
      </c>
    </row>
    <row r="1123" customFormat="false" ht="15" hidden="false" customHeight="false" outlineLevel="0" collapsed="false">
      <c r="A1123" s="14" t="s">
        <v>4554</v>
      </c>
      <c r="B1123" s="14" t="s">
        <v>1827</v>
      </c>
      <c r="C1123" s="14" t="s">
        <v>1964</v>
      </c>
      <c r="D1123" s="28" t="s">
        <v>4555</v>
      </c>
      <c r="E1123" s="40" t="s">
        <v>91</v>
      </c>
      <c r="F1123" s="31" t="n">
        <f aca="false">WBS!R268</f>
        <v>1</v>
      </c>
      <c r="G1123" s="14" t="str">
        <f aca="false">WBS!H268</f>
        <v>P2</v>
      </c>
      <c r="H1123" s="14" t="str">
        <f aca="false">WBS!G268</f>
        <v>Must</v>
      </c>
      <c r="I1123" s="6" t="s">
        <v>1979</v>
      </c>
      <c r="J1123" s="14"/>
      <c r="K1123" s="6"/>
      <c r="L1123" s="41" t="s">
        <v>2065</v>
      </c>
    </row>
    <row r="1124" customFormat="false" ht="22.35" hidden="false" customHeight="false" outlineLevel="0" collapsed="false">
      <c r="A1124" s="14" t="s">
        <v>4556</v>
      </c>
      <c r="B1124" s="14" t="s">
        <v>1827</v>
      </c>
      <c r="C1124" s="14" t="s">
        <v>1964</v>
      </c>
      <c r="D1124" s="28" t="s">
        <v>4557</v>
      </c>
      <c r="E1124" s="42" t="s">
        <v>2068</v>
      </c>
      <c r="F1124" s="31" t="n">
        <f aca="false">WBS!P268</f>
        <v>5</v>
      </c>
      <c r="G1124" s="14" t="str">
        <f aca="false">WBS!H268</f>
        <v>P2</v>
      </c>
      <c r="H1124" s="14" t="str">
        <f aca="false">WBS!G268</f>
        <v>Must</v>
      </c>
      <c r="I1124" s="6" t="s">
        <v>4554</v>
      </c>
      <c r="J1124" s="14"/>
      <c r="K1124" s="6"/>
      <c r="L1124" s="41" t="s">
        <v>2065</v>
      </c>
    </row>
    <row r="1125" customFormat="false" ht="15" hidden="false" customHeight="false" outlineLevel="0" collapsed="false">
      <c r="A1125" s="14" t="s">
        <v>4558</v>
      </c>
      <c r="B1125" s="14" t="s">
        <v>1827</v>
      </c>
      <c r="C1125" s="14" t="s">
        <v>1964</v>
      </c>
      <c r="D1125" s="28" t="s">
        <v>4559</v>
      </c>
      <c r="E1125" s="22" t="s">
        <v>2071</v>
      </c>
      <c r="F1125" s="31" t="n">
        <f aca="false">WBS!Q268</f>
        <v>3</v>
      </c>
      <c r="G1125" s="14" t="str">
        <f aca="false">WBS!H268</f>
        <v>P2</v>
      </c>
      <c r="H1125" s="14" t="str">
        <f aca="false">WBS!G268</f>
        <v>Must</v>
      </c>
      <c r="I1125" s="6" t="s">
        <v>4554</v>
      </c>
      <c r="J1125" s="14"/>
      <c r="K1125" s="6"/>
      <c r="L1125" s="41" t="s">
        <v>2065</v>
      </c>
    </row>
    <row r="1126" customFormat="false" ht="15" hidden="false" customHeight="false" outlineLevel="0" collapsed="false">
      <c r="A1126" s="14" t="s">
        <v>4560</v>
      </c>
      <c r="B1126" s="14" t="s">
        <v>1827</v>
      </c>
      <c r="C1126" s="14" t="s">
        <v>1964</v>
      </c>
      <c r="D1126" s="28" t="s">
        <v>4561</v>
      </c>
      <c r="E1126" s="43" t="s">
        <v>96</v>
      </c>
      <c r="F1126" s="31" t="n">
        <f aca="false">WBS!T268</f>
        <v>2.8</v>
      </c>
      <c r="G1126" s="14" t="str">
        <f aca="false">WBS!H268</f>
        <v>P2</v>
      </c>
      <c r="H1126" s="14" t="str">
        <f aca="false">WBS!G268</f>
        <v>Must</v>
      </c>
      <c r="I1126" s="6" t="s">
        <v>4562</v>
      </c>
      <c r="J1126" s="14"/>
      <c r="K1126" s="6"/>
      <c r="L1126" s="41" t="s">
        <v>2065</v>
      </c>
    </row>
    <row r="1127" customFormat="false" ht="15" hidden="false" customHeight="false" outlineLevel="0" collapsed="false">
      <c r="A1127" s="14" t="s">
        <v>4563</v>
      </c>
      <c r="B1127" s="14" t="s">
        <v>1980</v>
      </c>
      <c r="C1127" s="14" t="s">
        <v>1964</v>
      </c>
      <c r="D1127" s="28" t="s">
        <v>4564</v>
      </c>
      <c r="E1127" s="40" t="s">
        <v>91</v>
      </c>
      <c r="F1127" s="31" t="n">
        <f aca="false">WBS!R269</f>
        <v>2.4</v>
      </c>
      <c r="G1127" s="14" t="str">
        <f aca="false">WBS!H269</f>
        <v>P3</v>
      </c>
      <c r="H1127" s="14" t="str">
        <f aca="false">WBS!G269</f>
        <v>Should</v>
      </c>
      <c r="I1127" s="6" t="s">
        <v>178</v>
      </c>
      <c r="J1127" s="14"/>
      <c r="K1127" s="6"/>
      <c r="L1127" s="41" t="s">
        <v>2065</v>
      </c>
    </row>
    <row r="1128" customFormat="false" ht="15" hidden="false" customHeight="false" outlineLevel="0" collapsed="false">
      <c r="A1128" s="14" t="s">
        <v>4565</v>
      </c>
      <c r="B1128" s="14" t="s">
        <v>1980</v>
      </c>
      <c r="C1128" s="14" t="s">
        <v>1964</v>
      </c>
      <c r="D1128" s="28" t="s">
        <v>4566</v>
      </c>
      <c r="E1128" s="37" t="s">
        <v>128</v>
      </c>
      <c r="F1128" s="31" t="n">
        <f aca="false">WBS!S269</f>
        <v>4</v>
      </c>
      <c r="G1128" s="14" t="str">
        <f aca="false">WBS!H269</f>
        <v>P3</v>
      </c>
      <c r="H1128" s="14" t="str">
        <f aca="false">WBS!G269</f>
        <v>Should</v>
      </c>
      <c r="I1128" s="6" t="s">
        <v>4563</v>
      </c>
      <c r="J1128" s="14"/>
      <c r="K1128" s="6"/>
      <c r="L1128" s="41" t="s">
        <v>2065</v>
      </c>
    </row>
    <row r="1129" customFormat="false" ht="22.35" hidden="false" customHeight="false" outlineLevel="0" collapsed="false">
      <c r="A1129" s="14" t="s">
        <v>4567</v>
      </c>
      <c r="B1129" s="14" t="s">
        <v>1980</v>
      </c>
      <c r="C1129" s="14" t="s">
        <v>1964</v>
      </c>
      <c r="D1129" s="28" t="s">
        <v>4568</v>
      </c>
      <c r="E1129" s="42" t="s">
        <v>2068</v>
      </c>
      <c r="F1129" s="31" t="n">
        <f aca="false">WBS!P269</f>
        <v>10</v>
      </c>
      <c r="G1129" s="14" t="str">
        <f aca="false">WBS!H269</f>
        <v>P3</v>
      </c>
      <c r="H1129" s="14" t="str">
        <f aca="false">WBS!G269</f>
        <v>Should</v>
      </c>
      <c r="I1129" s="6" t="s">
        <v>4563</v>
      </c>
      <c r="J1129" s="14"/>
      <c r="K1129" s="6"/>
      <c r="L1129" s="41" t="s">
        <v>2065</v>
      </c>
    </row>
    <row r="1130" customFormat="false" ht="15" hidden="false" customHeight="false" outlineLevel="0" collapsed="false">
      <c r="A1130" s="14" t="s">
        <v>4569</v>
      </c>
      <c r="B1130" s="14" t="s">
        <v>1980</v>
      </c>
      <c r="C1130" s="14" t="s">
        <v>1964</v>
      </c>
      <c r="D1130" s="28" t="s">
        <v>4570</v>
      </c>
      <c r="E1130" s="22" t="s">
        <v>2071</v>
      </c>
      <c r="F1130" s="31" t="n">
        <f aca="false">WBS!Q269</f>
        <v>10</v>
      </c>
      <c r="G1130" s="14" t="str">
        <f aca="false">WBS!H269</f>
        <v>P3</v>
      </c>
      <c r="H1130" s="14" t="str">
        <f aca="false">WBS!G269</f>
        <v>Should</v>
      </c>
      <c r="I1130" s="6" t="s">
        <v>4565</v>
      </c>
      <c r="J1130" s="14"/>
      <c r="K1130" s="6"/>
      <c r="L1130" s="41" t="s">
        <v>2065</v>
      </c>
    </row>
    <row r="1131" customFormat="false" ht="15" hidden="false" customHeight="false" outlineLevel="0" collapsed="false">
      <c r="A1131" s="14" t="s">
        <v>4571</v>
      </c>
      <c r="B1131" s="14" t="s">
        <v>1980</v>
      </c>
      <c r="C1131" s="14" t="s">
        <v>1964</v>
      </c>
      <c r="D1131" s="28" t="s">
        <v>4572</v>
      </c>
      <c r="E1131" s="43" t="s">
        <v>96</v>
      </c>
      <c r="F1131" s="31" t="n">
        <f aca="false">WBS!T269</f>
        <v>7</v>
      </c>
      <c r="G1131" s="14" t="str">
        <f aca="false">WBS!H269</f>
        <v>P3</v>
      </c>
      <c r="H1131" s="14" t="str">
        <f aca="false">WBS!G269</f>
        <v>Should</v>
      </c>
      <c r="I1131" s="6" t="s">
        <v>4573</v>
      </c>
      <c r="J1131" s="14"/>
      <c r="K1131" s="6"/>
      <c r="L1131" s="41" t="s">
        <v>2065</v>
      </c>
    </row>
    <row r="1132" customFormat="false" ht="15" hidden="false" customHeight="false" outlineLevel="0" collapsed="false">
      <c r="A1132" s="14" t="s">
        <v>4574</v>
      </c>
      <c r="B1132" s="14" t="s">
        <v>1988</v>
      </c>
      <c r="C1132" s="14" t="s">
        <v>1964</v>
      </c>
      <c r="D1132" s="28" t="s">
        <v>4575</v>
      </c>
      <c r="E1132" s="40" t="s">
        <v>91</v>
      </c>
      <c r="F1132" s="31" t="n">
        <f aca="false">WBS!R270</f>
        <v>0.7</v>
      </c>
      <c r="G1132" s="14" t="str">
        <f aca="false">WBS!H270</f>
        <v>P3</v>
      </c>
      <c r="H1132" s="14" t="str">
        <f aca="false">WBS!G270</f>
        <v>Should</v>
      </c>
      <c r="I1132" s="6" t="s">
        <v>192</v>
      </c>
      <c r="J1132" s="14"/>
      <c r="K1132" s="6"/>
      <c r="L1132" s="41" t="s">
        <v>2065</v>
      </c>
    </row>
    <row r="1133" customFormat="false" ht="15" hidden="false" customHeight="false" outlineLevel="0" collapsed="false">
      <c r="A1133" s="14" t="s">
        <v>4576</v>
      </c>
      <c r="B1133" s="14" t="s">
        <v>1988</v>
      </c>
      <c r="C1133" s="14" t="s">
        <v>1964</v>
      </c>
      <c r="D1133" s="28" t="s">
        <v>4577</v>
      </c>
      <c r="E1133" s="42" t="s">
        <v>2068</v>
      </c>
      <c r="F1133" s="31" t="n">
        <f aca="false">WBS!P270</f>
        <v>3</v>
      </c>
      <c r="G1133" s="14" t="str">
        <f aca="false">WBS!H270</f>
        <v>P3</v>
      </c>
      <c r="H1133" s="14" t="str">
        <f aca="false">WBS!G270</f>
        <v>Should</v>
      </c>
      <c r="I1133" s="6" t="s">
        <v>4574</v>
      </c>
      <c r="J1133" s="14"/>
      <c r="K1133" s="6"/>
      <c r="L1133" s="41" t="s">
        <v>2065</v>
      </c>
    </row>
    <row r="1134" customFormat="false" ht="15" hidden="false" customHeight="false" outlineLevel="0" collapsed="false">
      <c r="A1134" s="14" t="s">
        <v>4578</v>
      </c>
      <c r="B1134" s="14" t="s">
        <v>1988</v>
      </c>
      <c r="C1134" s="14" t="s">
        <v>1964</v>
      </c>
      <c r="D1134" s="28" t="s">
        <v>4579</v>
      </c>
      <c r="E1134" s="22" t="s">
        <v>2071</v>
      </c>
      <c r="F1134" s="31" t="n">
        <f aca="false">WBS!Q270</f>
        <v>3</v>
      </c>
      <c r="G1134" s="14" t="str">
        <f aca="false">WBS!H270</f>
        <v>P3</v>
      </c>
      <c r="H1134" s="14" t="str">
        <f aca="false">WBS!G270</f>
        <v>Should</v>
      </c>
      <c r="I1134" s="6" t="s">
        <v>4574</v>
      </c>
      <c r="J1134" s="14"/>
      <c r="K1134" s="6"/>
      <c r="L1134" s="41" t="s">
        <v>2065</v>
      </c>
    </row>
    <row r="1135" customFormat="false" ht="15" hidden="false" customHeight="false" outlineLevel="0" collapsed="false">
      <c r="A1135" s="14" t="s">
        <v>4580</v>
      </c>
      <c r="B1135" s="14" t="s">
        <v>1988</v>
      </c>
      <c r="C1135" s="14" t="s">
        <v>1964</v>
      </c>
      <c r="D1135" s="28" t="s">
        <v>4581</v>
      </c>
      <c r="E1135" s="43" t="s">
        <v>96</v>
      </c>
      <c r="F1135" s="31" t="n">
        <f aca="false">WBS!T270</f>
        <v>2.1</v>
      </c>
      <c r="G1135" s="14" t="str">
        <f aca="false">WBS!H270</f>
        <v>P3</v>
      </c>
      <c r="H1135" s="14" t="str">
        <f aca="false">WBS!G270</f>
        <v>Should</v>
      </c>
      <c r="I1135" s="6" t="s">
        <v>4582</v>
      </c>
      <c r="J1135" s="14"/>
      <c r="K1135" s="6"/>
      <c r="L1135" s="41" t="s">
        <v>2065</v>
      </c>
    </row>
    <row r="1136" customFormat="false" ht="15" hidden="false" customHeight="false" outlineLevel="0" collapsed="false">
      <c r="A1136" s="14" t="s">
        <v>4583</v>
      </c>
      <c r="B1136" s="14" t="s">
        <v>1995</v>
      </c>
      <c r="C1136" s="14" t="s">
        <v>1964</v>
      </c>
      <c r="D1136" s="28" t="s">
        <v>4584</v>
      </c>
      <c r="E1136" s="40" t="s">
        <v>91</v>
      </c>
      <c r="F1136" s="31" t="n">
        <f aca="false">WBS!R271</f>
        <v>1.2</v>
      </c>
      <c r="G1136" s="14" t="str">
        <f aca="false">WBS!H271</f>
        <v>P3</v>
      </c>
      <c r="H1136" s="14" t="str">
        <f aca="false">WBS!G271</f>
        <v>Should</v>
      </c>
      <c r="I1136" s="6" t="s">
        <v>178</v>
      </c>
      <c r="J1136" s="14"/>
      <c r="K1136" s="6"/>
      <c r="L1136" s="41" t="s">
        <v>2065</v>
      </c>
    </row>
    <row r="1137" customFormat="false" ht="15" hidden="false" customHeight="false" outlineLevel="0" collapsed="false">
      <c r="A1137" s="14" t="s">
        <v>4585</v>
      </c>
      <c r="B1137" s="14" t="s">
        <v>1995</v>
      </c>
      <c r="C1137" s="14" t="s">
        <v>1964</v>
      </c>
      <c r="D1137" s="28" t="s">
        <v>4586</v>
      </c>
      <c r="E1137" s="37" t="s">
        <v>128</v>
      </c>
      <c r="F1137" s="31" t="n">
        <f aca="false">WBS!S271</f>
        <v>2</v>
      </c>
      <c r="G1137" s="14" t="str">
        <f aca="false">WBS!H271</f>
        <v>P3</v>
      </c>
      <c r="H1137" s="14" t="str">
        <f aca="false">WBS!G271</f>
        <v>Should</v>
      </c>
      <c r="I1137" s="6" t="s">
        <v>4583</v>
      </c>
      <c r="J1137" s="14"/>
      <c r="K1137" s="6"/>
      <c r="L1137" s="41" t="s">
        <v>2065</v>
      </c>
    </row>
    <row r="1138" customFormat="false" ht="15" hidden="false" customHeight="false" outlineLevel="0" collapsed="false">
      <c r="A1138" s="14" t="s">
        <v>4587</v>
      </c>
      <c r="B1138" s="14" t="s">
        <v>1995</v>
      </c>
      <c r="C1138" s="14" t="s">
        <v>1964</v>
      </c>
      <c r="D1138" s="28" t="s">
        <v>4588</v>
      </c>
      <c r="E1138" s="42" t="s">
        <v>2068</v>
      </c>
      <c r="F1138" s="31" t="n">
        <f aca="false">WBS!P271</f>
        <v>5</v>
      </c>
      <c r="G1138" s="14" t="str">
        <f aca="false">WBS!H271</f>
        <v>P3</v>
      </c>
      <c r="H1138" s="14" t="str">
        <f aca="false">WBS!G271</f>
        <v>Should</v>
      </c>
      <c r="I1138" s="6" t="s">
        <v>4583</v>
      </c>
      <c r="J1138" s="14"/>
      <c r="K1138" s="6"/>
      <c r="L1138" s="41" t="s">
        <v>2065</v>
      </c>
    </row>
    <row r="1139" customFormat="false" ht="15" hidden="false" customHeight="false" outlineLevel="0" collapsed="false">
      <c r="A1139" s="14" t="s">
        <v>4589</v>
      </c>
      <c r="B1139" s="14" t="s">
        <v>1995</v>
      </c>
      <c r="C1139" s="14" t="s">
        <v>1964</v>
      </c>
      <c r="D1139" s="28" t="s">
        <v>4590</v>
      </c>
      <c r="E1139" s="22" t="s">
        <v>2071</v>
      </c>
      <c r="F1139" s="31" t="n">
        <f aca="false">WBS!Q271</f>
        <v>5</v>
      </c>
      <c r="G1139" s="14" t="str">
        <f aca="false">WBS!H271</f>
        <v>P3</v>
      </c>
      <c r="H1139" s="14" t="str">
        <f aca="false">WBS!G271</f>
        <v>Should</v>
      </c>
      <c r="I1139" s="6" t="s">
        <v>4585</v>
      </c>
      <c r="J1139" s="14"/>
      <c r="K1139" s="6"/>
      <c r="L1139" s="41" t="s">
        <v>2065</v>
      </c>
    </row>
    <row r="1140" customFormat="false" ht="15" hidden="false" customHeight="false" outlineLevel="0" collapsed="false">
      <c r="A1140" s="14" t="s">
        <v>4591</v>
      </c>
      <c r="B1140" s="14" t="s">
        <v>1995</v>
      </c>
      <c r="C1140" s="14" t="s">
        <v>1964</v>
      </c>
      <c r="D1140" s="28" t="s">
        <v>4592</v>
      </c>
      <c r="E1140" s="43" t="s">
        <v>96</v>
      </c>
      <c r="F1140" s="31" t="n">
        <f aca="false">WBS!T271</f>
        <v>3.5</v>
      </c>
      <c r="G1140" s="14" t="str">
        <f aca="false">WBS!H271</f>
        <v>P3</v>
      </c>
      <c r="H1140" s="14" t="str">
        <f aca="false">WBS!G271</f>
        <v>Should</v>
      </c>
      <c r="I1140" s="6" t="s">
        <v>4593</v>
      </c>
      <c r="J1140" s="14"/>
      <c r="K1140" s="6"/>
      <c r="L1140" s="41" t="s">
        <v>2065</v>
      </c>
    </row>
    <row r="1141" customFormat="false" ht="15" hidden="false" customHeight="false" outlineLevel="0" collapsed="false">
      <c r="A1141" s="14" t="s">
        <v>4594</v>
      </c>
      <c r="B1141" s="14" t="s">
        <v>2002</v>
      </c>
      <c r="C1141" s="14" t="s">
        <v>1964</v>
      </c>
      <c r="D1141" s="28" t="s">
        <v>4595</v>
      </c>
      <c r="E1141" s="40" t="s">
        <v>91</v>
      </c>
      <c r="F1141" s="31" t="n">
        <f aca="false">WBS!R272</f>
        <v>0.7</v>
      </c>
      <c r="G1141" s="14" t="str">
        <f aca="false">WBS!H272</f>
        <v>P3</v>
      </c>
      <c r="H1141" s="14" t="str">
        <f aca="false">WBS!G272</f>
        <v>Should</v>
      </c>
      <c r="I1141" s="6" t="s">
        <v>1411</v>
      </c>
      <c r="J1141" s="14"/>
      <c r="K1141" s="6"/>
      <c r="L1141" s="41" t="s">
        <v>2065</v>
      </c>
    </row>
    <row r="1142" customFormat="false" ht="15" hidden="false" customHeight="false" outlineLevel="0" collapsed="false">
      <c r="A1142" s="14" t="s">
        <v>4596</v>
      </c>
      <c r="B1142" s="14" t="s">
        <v>2002</v>
      </c>
      <c r="C1142" s="14" t="s">
        <v>1964</v>
      </c>
      <c r="D1142" s="28" t="s">
        <v>4597</v>
      </c>
      <c r="E1142" s="42" t="s">
        <v>2068</v>
      </c>
      <c r="F1142" s="31" t="n">
        <f aca="false">WBS!P272</f>
        <v>3</v>
      </c>
      <c r="G1142" s="14" t="str">
        <f aca="false">WBS!H272</f>
        <v>P3</v>
      </c>
      <c r="H1142" s="14" t="str">
        <f aca="false">WBS!G272</f>
        <v>Should</v>
      </c>
      <c r="I1142" s="6" t="s">
        <v>4594</v>
      </c>
      <c r="J1142" s="14"/>
      <c r="K1142" s="6"/>
      <c r="L1142" s="41" t="s">
        <v>2065</v>
      </c>
    </row>
    <row r="1143" customFormat="false" ht="15" hidden="false" customHeight="false" outlineLevel="0" collapsed="false">
      <c r="A1143" s="14" t="s">
        <v>4598</v>
      </c>
      <c r="B1143" s="14" t="s">
        <v>2002</v>
      </c>
      <c r="C1143" s="14" t="s">
        <v>1964</v>
      </c>
      <c r="D1143" s="28" t="s">
        <v>4599</v>
      </c>
      <c r="E1143" s="22" t="s">
        <v>2071</v>
      </c>
      <c r="F1143" s="31" t="n">
        <f aca="false">WBS!Q272</f>
        <v>3</v>
      </c>
      <c r="G1143" s="14" t="str">
        <f aca="false">WBS!H272</f>
        <v>P3</v>
      </c>
      <c r="H1143" s="14" t="str">
        <f aca="false">WBS!G272</f>
        <v>Should</v>
      </c>
      <c r="I1143" s="6" t="s">
        <v>4594</v>
      </c>
      <c r="J1143" s="14"/>
      <c r="K1143" s="6"/>
      <c r="L1143" s="41" t="s">
        <v>2065</v>
      </c>
    </row>
    <row r="1144" customFormat="false" ht="15" hidden="false" customHeight="false" outlineLevel="0" collapsed="false">
      <c r="A1144" s="14" t="s">
        <v>4600</v>
      </c>
      <c r="B1144" s="14" t="s">
        <v>2002</v>
      </c>
      <c r="C1144" s="14" t="s">
        <v>1964</v>
      </c>
      <c r="D1144" s="28" t="s">
        <v>4601</v>
      </c>
      <c r="E1144" s="43" t="s">
        <v>96</v>
      </c>
      <c r="F1144" s="31" t="n">
        <f aca="false">WBS!T272</f>
        <v>2.1</v>
      </c>
      <c r="G1144" s="14" t="str">
        <f aca="false">WBS!H272</f>
        <v>P3</v>
      </c>
      <c r="H1144" s="14" t="str">
        <f aca="false">WBS!G272</f>
        <v>Should</v>
      </c>
      <c r="I1144" s="6" t="s">
        <v>4602</v>
      </c>
      <c r="J1144" s="14"/>
      <c r="K1144" s="6"/>
      <c r="L1144" s="41" t="s">
        <v>2065</v>
      </c>
    </row>
    <row r="1145" customFormat="false" ht="15" hidden="false" customHeight="false" outlineLevel="0" collapsed="false">
      <c r="A1145" s="14" t="s">
        <v>4603</v>
      </c>
      <c r="B1145" s="14" t="s">
        <v>2008</v>
      </c>
      <c r="C1145" s="14" t="s">
        <v>1964</v>
      </c>
      <c r="D1145" s="28" t="s">
        <v>4604</v>
      </c>
      <c r="E1145" s="40" t="s">
        <v>91</v>
      </c>
      <c r="F1145" s="31" t="n">
        <f aca="false">WBS!R273</f>
        <v>0.7</v>
      </c>
      <c r="G1145" s="14" t="str">
        <f aca="false">WBS!H273</f>
        <v>P3</v>
      </c>
      <c r="H1145" s="14" t="str">
        <f aca="false">WBS!G273</f>
        <v>Should</v>
      </c>
      <c r="I1145" s="6" t="s">
        <v>185</v>
      </c>
      <c r="J1145" s="14"/>
      <c r="K1145" s="6"/>
      <c r="L1145" s="41" t="s">
        <v>2065</v>
      </c>
    </row>
    <row r="1146" customFormat="false" ht="15" hidden="false" customHeight="false" outlineLevel="0" collapsed="false">
      <c r="A1146" s="14" t="s">
        <v>4605</v>
      </c>
      <c r="B1146" s="14" t="s">
        <v>2008</v>
      </c>
      <c r="C1146" s="14" t="s">
        <v>1964</v>
      </c>
      <c r="D1146" s="28" t="s">
        <v>4606</v>
      </c>
      <c r="E1146" s="42" t="s">
        <v>2068</v>
      </c>
      <c r="F1146" s="31" t="n">
        <f aca="false">WBS!P273</f>
        <v>3</v>
      </c>
      <c r="G1146" s="14" t="str">
        <f aca="false">WBS!H273</f>
        <v>P3</v>
      </c>
      <c r="H1146" s="14" t="str">
        <f aca="false">WBS!G273</f>
        <v>Should</v>
      </c>
      <c r="I1146" s="6" t="s">
        <v>4603</v>
      </c>
      <c r="J1146" s="14"/>
      <c r="K1146" s="6"/>
      <c r="L1146" s="41" t="s">
        <v>2065</v>
      </c>
    </row>
    <row r="1147" customFormat="false" ht="15" hidden="false" customHeight="false" outlineLevel="0" collapsed="false">
      <c r="A1147" s="14" t="s">
        <v>4607</v>
      </c>
      <c r="B1147" s="14" t="s">
        <v>2008</v>
      </c>
      <c r="C1147" s="14" t="s">
        <v>1964</v>
      </c>
      <c r="D1147" s="28" t="s">
        <v>4608</v>
      </c>
      <c r="E1147" s="22" t="s">
        <v>2071</v>
      </c>
      <c r="F1147" s="31" t="n">
        <f aca="false">WBS!Q273</f>
        <v>3</v>
      </c>
      <c r="G1147" s="14" t="str">
        <f aca="false">WBS!H273</f>
        <v>P3</v>
      </c>
      <c r="H1147" s="14" t="str">
        <f aca="false">WBS!G273</f>
        <v>Should</v>
      </c>
      <c r="I1147" s="6" t="s">
        <v>4603</v>
      </c>
      <c r="J1147" s="14"/>
      <c r="K1147" s="6"/>
      <c r="L1147" s="41" t="s">
        <v>2065</v>
      </c>
    </row>
    <row r="1148" customFormat="false" ht="15" hidden="false" customHeight="false" outlineLevel="0" collapsed="false">
      <c r="A1148" s="14" t="s">
        <v>4609</v>
      </c>
      <c r="B1148" s="14" t="s">
        <v>2008</v>
      </c>
      <c r="C1148" s="14" t="s">
        <v>1964</v>
      </c>
      <c r="D1148" s="28" t="s">
        <v>4610</v>
      </c>
      <c r="E1148" s="43" t="s">
        <v>96</v>
      </c>
      <c r="F1148" s="31" t="n">
        <f aca="false">WBS!T273</f>
        <v>2.1</v>
      </c>
      <c r="G1148" s="14" t="str">
        <f aca="false">WBS!H273</f>
        <v>P3</v>
      </c>
      <c r="H1148" s="14" t="str">
        <f aca="false">WBS!G273</f>
        <v>Should</v>
      </c>
      <c r="I1148" s="6" t="s">
        <v>4611</v>
      </c>
      <c r="J1148" s="14"/>
      <c r="K1148" s="6"/>
      <c r="L1148" s="41" t="s">
        <v>2065</v>
      </c>
    </row>
    <row r="1149" customFormat="false" ht="15" hidden="false" customHeight="false" outlineLevel="0" collapsed="false">
      <c r="A1149" s="14" t="s">
        <v>4612</v>
      </c>
      <c r="B1149" s="14" t="s">
        <v>2015</v>
      </c>
      <c r="C1149" s="14" t="s">
        <v>1964</v>
      </c>
      <c r="D1149" s="28" t="s">
        <v>4613</v>
      </c>
      <c r="E1149" s="40" t="s">
        <v>91</v>
      </c>
      <c r="F1149" s="31" t="n">
        <f aca="false">WBS!R274</f>
        <v>1.6</v>
      </c>
      <c r="G1149" s="14" t="str">
        <f aca="false">WBS!H274</f>
        <v>P3</v>
      </c>
      <c r="H1149" s="14" t="str">
        <f aca="false">WBS!G274</f>
        <v>Should</v>
      </c>
      <c r="I1149" s="6" t="s">
        <v>270</v>
      </c>
      <c r="J1149" s="14"/>
      <c r="K1149" s="6"/>
      <c r="L1149" s="41" t="s">
        <v>2065</v>
      </c>
    </row>
    <row r="1150" customFormat="false" ht="22.35" hidden="false" customHeight="false" outlineLevel="0" collapsed="false">
      <c r="A1150" s="14" t="s">
        <v>4614</v>
      </c>
      <c r="B1150" s="14" t="s">
        <v>2015</v>
      </c>
      <c r="C1150" s="14" t="s">
        <v>1964</v>
      </c>
      <c r="D1150" s="28" t="s">
        <v>4615</v>
      </c>
      <c r="E1150" s="42" t="s">
        <v>2068</v>
      </c>
      <c r="F1150" s="31" t="n">
        <f aca="false">WBS!P274</f>
        <v>10</v>
      </c>
      <c r="G1150" s="14" t="str">
        <f aca="false">WBS!H274</f>
        <v>P3</v>
      </c>
      <c r="H1150" s="14" t="str">
        <f aca="false">WBS!G274</f>
        <v>Should</v>
      </c>
      <c r="I1150" s="6" t="s">
        <v>4612</v>
      </c>
      <c r="J1150" s="14"/>
      <c r="K1150" s="6"/>
      <c r="L1150" s="41" t="s">
        <v>2065</v>
      </c>
    </row>
    <row r="1151" customFormat="false" ht="15" hidden="false" customHeight="false" outlineLevel="0" collapsed="false">
      <c r="A1151" s="14" t="s">
        <v>4616</v>
      </c>
      <c r="B1151" s="14" t="s">
        <v>2015</v>
      </c>
      <c r="C1151" s="14" t="s">
        <v>1964</v>
      </c>
      <c r="D1151" s="28" t="s">
        <v>4617</v>
      </c>
      <c r="E1151" s="22" t="s">
        <v>2071</v>
      </c>
      <c r="F1151" s="31" t="n">
        <f aca="false">WBS!Q274</f>
        <v>3</v>
      </c>
      <c r="G1151" s="14" t="str">
        <f aca="false">WBS!H274</f>
        <v>P3</v>
      </c>
      <c r="H1151" s="14" t="str">
        <f aca="false">WBS!G274</f>
        <v>Should</v>
      </c>
      <c r="I1151" s="6" t="s">
        <v>4612</v>
      </c>
      <c r="J1151" s="14"/>
      <c r="K1151" s="6"/>
      <c r="L1151" s="41" t="s">
        <v>2065</v>
      </c>
    </row>
    <row r="1152" customFormat="false" ht="15" hidden="false" customHeight="false" outlineLevel="0" collapsed="false">
      <c r="A1152" s="14" t="s">
        <v>4618</v>
      </c>
      <c r="B1152" s="14" t="s">
        <v>2015</v>
      </c>
      <c r="C1152" s="14" t="s">
        <v>1964</v>
      </c>
      <c r="D1152" s="28" t="s">
        <v>4619</v>
      </c>
      <c r="E1152" s="43" t="s">
        <v>96</v>
      </c>
      <c r="F1152" s="31" t="n">
        <f aca="false">WBS!T274</f>
        <v>4.6</v>
      </c>
      <c r="G1152" s="14" t="str">
        <f aca="false">WBS!H274</f>
        <v>P3</v>
      </c>
      <c r="H1152" s="14" t="str">
        <f aca="false">WBS!G274</f>
        <v>Should</v>
      </c>
      <c r="I1152" s="6" t="s">
        <v>4620</v>
      </c>
      <c r="J1152" s="14"/>
      <c r="K1152" s="6"/>
      <c r="L1152" s="41" t="s">
        <v>2065</v>
      </c>
    </row>
    <row r="1153" customFormat="false" ht="15" hidden="false" customHeight="false" outlineLevel="0" collapsed="false">
      <c r="A1153" s="14" t="s">
        <v>4621</v>
      </c>
      <c r="B1153" s="14" t="s">
        <v>2021</v>
      </c>
      <c r="C1153" s="14" t="s">
        <v>1964</v>
      </c>
      <c r="D1153" s="28" t="s">
        <v>4622</v>
      </c>
      <c r="E1153" s="40" t="s">
        <v>91</v>
      </c>
      <c r="F1153" s="31" t="n">
        <f aca="false">WBS!R275</f>
        <v>1.6</v>
      </c>
      <c r="G1153" s="14" t="str">
        <f aca="false">WBS!H275</f>
        <v>P4</v>
      </c>
      <c r="H1153" s="14" t="str">
        <f aca="false">WBS!G275</f>
        <v>Nice-to-have</v>
      </c>
      <c r="I1153" s="6" t="s">
        <v>222</v>
      </c>
      <c r="J1153" s="14"/>
      <c r="K1153" s="6"/>
      <c r="L1153" s="41" t="s">
        <v>2065</v>
      </c>
    </row>
    <row r="1154" customFormat="false" ht="15" hidden="false" customHeight="false" outlineLevel="0" collapsed="false">
      <c r="A1154" s="14" t="s">
        <v>4623</v>
      </c>
      <c r="B1154" s="14" t="s">
        <v>2021</v>
      </c>
      <c r="C1154" s="14" t="s">
        <v>1964</v>
      </c>
      <c r="D1154" s="28" t="s">
        <v>4624</v>
      </c>
      <c r="E1154" s="42" t="s">
        <v>2068</v>
      </c>
      <c r="F1154" s="31" t="n">
        <f aca="false">WBS!P275</f>
        <v>10</v>
      </c>
      <c r="G1154" s="14" t="str">
        <f aca="false">WBS!H275</f>
        <v>P4</v>
      </c>
      <c r="H1154" s="14" t="str">
        <f aca="false">WBS!G275</f>
        <v>Nice-to-have</v>
      </c>
      <c r="I1154" s="6" t="s">
        <v>4621</v>
      </c>
      <c r="J1154" s="14"/>
      <c r="K1154" s="6"/>
      <c r="L1154" s="41" t="s">
        <v>2065</v>
      </c>
    </row>
    <row r="1155" customFormat="false" ht="15" hidden="false" customHeight="false" outlineLevel="0" collapsed="false">
      <c r="A1155" s="14" t="s">
        <v>4625</v>
      </c>
      <c r="B1155" s="14" t="s">
        <v>2021</v>
      </c>
      <c r="C1155" s="14" t="s">
        <v>1964</v>
      </c>
      <c r="D1155" s="28" t="s">
        <v>4626</v>
      </c>
      <c r="E1155" s="22" t="s">
        <v>2071</v>
      </c>
      <c r="F1155" s="31" t="n">
        <f aca="false">WBS!Q275</f>
        <v>3</v>
      </c>
      <c r="G1155" s="14" t="str">
        <f aca="false">WBS!H275</f>
        <v>P4</v>
      </c>
      <c r="H1155" s="14" t="str">
        <f aca="false">WBS!G275</f>
        <v>Nice-to-have</v>
      </c>
      <c r="I1155" s="6" t="s">
        <v>4621</v>
      </c>
      <c r="J1155" s="14"/>
      <c r="K1155" s="6"/>
      <c r="L1155" s="41" t="s">
        <v>2065</v>
      </c>
    </row>
    <row r="1156" customFormat="false" ht="15" hidden="false" customHeight="false" outlineLevel="0" collapsed="false">
      <c r="A1156" s="14" t="s">
        <v>4627</v>
      </c>
      <c r="B1156" s="14" t="s">
        <v>2021</v>
      </c>
      <c r="C1156" s="14" t="s">
        <v>1964</v>
      </c>
      <c r="D1156" s="28" t="s">
        <v>4628</v>
      </c>
      <c r="E1156" s="43" t="s">
        <v>96</v>
      </c>
      <c r="F1156" s="31" t="n">
        <f aca="false">WBS!T275</f>
        <v>4.6</v>
      </c>
      <c r="G1156" s="14" t="str">
        <f aca="false">WBS!H275</f>
        <v>P4</v>
      </c>
      <c r="H1156" s="14" t="str">
        <f aca="false">WBS!G275</f>
        <v>Nice-to-have</v>
      </c>
      <c r="I1156" s="6" t="s">
        <v>4629</v>
      </c>
      <c r="J1156" s="14"/>
      <c r="K1156" s="6"/>
      <c r="L1156" s="41" t="s">
        <v>2065</v>
      </c>
    </row>
    <row r="1157" customFormat="false" ht="15" hidden="false" customHeight="false" outlineLevel="0" collapsed="false">
      <c r="A1157" s="14" t="s">
        <v>4630</v>
      </c>
      <c r="B1157" s="14" t="s">
        <v>2028</v>
      </c>
      <c r="C1157" s="14" t="s">
        <v>1964</v>
      </c>
      <c r="D1157" s="28" t="s">
        <v>4631</v>
      </c>
      <c r="E1157" s="40" t="s">
        <v>91</v>
      </c>
      <c r="F1157" s="31" t="n">
        <f aca="false">WBS!R276</f>
        <v>1</v>
      </c>
      <c r="G1157" s="14" t="str">
        <f aca="false">WBS!H276</f>
        <v>P4</v>
      </c>
      <c r="H1157" s="14" t="str">
        <f aca="false">WBS!G276</f>
        <v>Nice-to-have</v>
      </c>
      <c r="I1157" s="6" t="s">
        <v>777</v>
      </c>
      <c r="J1157" s="14"/>
      <c r="K1157" s="6"/>
      <c r="L1157" s="41" t="s">
        <v>2065</v>
      </c>
    </row>
    <row r="1158" customFormat="false" ht="15" hidden="false" customHeight="false" outlineLevel="0" collapsed="false">
      <c r="A1158" s="14" t="s">
        <v>4632</v>
      </c>
      <c r="B1158" s="14" t="s">
        <v>2028</v>
      </c>
      <c r="C1158" s="14" t="s">
        <v>1964</v>
      </c>
      <c r="D1158" s="28" t="s">
        <v>4633</v>
      </c>
      <c r="E1158" s="42" t="s">
        <v>2068</v>
      </c>
      <c r="F1158" s="31" t="n">
        <f aca="false">WBS!P276</f>
        <v>5</v>
      </c>
      <c r="G1158" s="14" t="str">
        <f aca="false">WBS!H276</f>
        <v>P4</v>
      </c>
      <c r="H1158" s="14" t="str">
        <f aca="false">WBS!G276</f>
        <v>Nice-to-have</v>
      </c>
      <c r="I1158" s="6" t="s">
        <v>4630</v>
      </c>
      <c r="J1158" s="14"/>
      <c r="K1158" s="6"/>
      <c r="L1158" s="41" t="s">
        <v>2065</v>
      </c>
    </row>
    <row r="1159" customFormat="false" ht="15" hidden="false" customHeight="false" outlineLevel="0" collapsed="false">
      <c r="A1159" s="14" t="s">
        <v>4634</v>
      </c>
      <c r="B1159" s="14" t="s">
        <v>2028</v>
      </c>
      <c r="C1159" s="14" t="s">
        <v>1964</v>
      </c>
      <c r="D1159" s="28" t="s">
        <v>4635</v>
      </c>
      <c r="E1159" s="22" t="s">
        <v>2071</v>
      </c>
      <c r="F1159" s="31" t="n">
        <f aca="false">WBS!Q276</f>
        <v>3</v>
      </c>
      <c r="G1159" s="14" t="str">
        <f aca="false">WBS!H276</f>
        <v>P4</v>
      </c>
      <c r="H1159" s="14" t="str">
        <f aca="false">WBS!G276</f>
        <v>Nice-to-have</v>
      </c>
      <c r="I1159" s="6" t="s">
        <v>4630</v>
      </c>
      <c r="J1159" s="14"/>
      <c r="K1159" s="6"/>
      <c r="L1159" s="41" t="s">
        <v>2065</v>
      </c>
    </row>
    <row r="1160" customFormat="false" ht="15" hidden="false" customHeight="false" outlineLevel="0" collapsed="false">
      <c r="A1160" s="14" t="s">
        <v>4636</v>
      </c>
      <c r="B1160" s="14" t="s">
        <v>2028</v>
      </c>
      <c r="C1160" s="14" t="s">
        <v>1964</v>
      </c>
      <c r="D1160" s="28" t="s">
        <v>4637</v>
      </c>
      <c r="E1160" s="43" t="s">
        <v>96</v>
      </c>
      <c r="F1160" s="31" t="n">
        <f aca="false">WBS!T276</f>
        <v>2.8</v>
      </c>
      <c r="G1160" s="14" t="str">
        <f aca="false">WBS!H276</f>
        <v>P4</v>
      </c>
      <c r="H1160" s="14" t="str">
        <f aca="false">WBS!G276</f>
        <v>Nice-to-have</v>
      </c>
      <c r="I1160" s="6" t="s">
        <v>4638</v>
      </c>
      <c r="J1160" s="14"/>
      <c r="K1160" s="6"/>
      <c r="L1160" s="41" t="s">
        <v>2065</v>
      </c>
    </row>
    <row r="1161" customFormat="false" ht="15" hidden="false" customHeight="false" outlineLevel="0" collapsed="false">
      <c r="A1161" s="14" t="s">
        <v>4639</v>
      </c>
      <c r="B1161" s="14" t="s">
        <v>2034</v>
      </c>
      <c r="C1161" s="14" t="s">
        <v>1964</v>
      </c>
      <c r="D1161" s="28" t="s">
        <v>4640</v>
      </c>
      <c r="E1161" s="40" t="s">
        <v>91</v>
      </c>
      <c r="F1161" s="31" t="n">
        <f aca="false">WBS!R277</f>
        <v>0.7</v>
      </c>
      <c r="G1161" s="14" t="str">
        <f aca="false">WBS!H277</f>
        <v>P4</v>
      </c>
      <c r="H1161" s="14" t="str">
        <f aca="false">WBS!G277</f>
        <v>Nice-to-have</v>
      </c>
      <c r="I1161" s="6" t="s">
        <v>178</v>
      </c>
      <c r="J1161" s="14"/>
      <c r="K1161" s="6"/>
      <c r="L1161" s="41" t="s">
        <v>2065</v>
      </c>
    </row>
    <row r="1162" customFormat="false" ht="22.35" hidden="false" customHeight="false" outlineLevel="0" collapsed="false">
      <c r="A1162" s="14" t="s">
        <v>4641</v>
      </c>
      <c r="B1162" s="14" t="s">
        <v>2034</v>
      </c>
      <c r="C1162" s="14" t="s">
        <v>1964</v>
      </c>
      <c r="D1162" s="28" t="s">
        <v>4642</v>
      </c>
      <c r="E1162" s="42" t="s">
        <v>2068</v>
      </c>
      <c r="F1162" s="31" t="n">
        <f aca="false">WBS!P277</f>
        <v>3</v>
      </c>
      <c r="G1162" s="14" t="str">
        <f aca="false">WBS!H277</f>
        <v>P4</v>
      </c>
      <c r="H1162" s="14" t="str">
        <f aca="false">WBS!G277</f>
        <v>Nice-to-have</v>
      </c>
      <c r="I1162" s="6" t="s">
        <v>4639</v>
      </c>
      <c r="J1162" s="14"/>
      <c r="K1162" s="6"/>
      <c r="L1162" s="41" t="s">
        <v>2065</v>
      </c>
    </row>
    <row r="1163" customFormat="false" ht="15" hidden="false" customHeight="false" outlineLevel="0" collapsed="false">
      <c r="A1163" s="14" t="s">
        <v>4643</v>
      </c>
      <c r="B1163" s="14" t="s">
        <v>2034</v>
      </c>
      <c r="C1163" s="14" t="s">
        <v>1964</v>
      </c>
      <c r="D1163" s="28" t="s">
        <v>4644</v>
      </c>
      <c r="E1163" s="22" t="s">
        <v>2071</v>
      </c>
      <c r="F1163" s="31" t="n">
        <f aca="false">WBS!Q277</f>
        <v>3</v>
      </c>
      <c r="G1163" s="14" t="str">
        <f aca="false">WBS!H277</f>
        <v>P4</v>
      </c>
      <c r="H1163" s="14" t="str">
        <f aca="false">WBS!G277</f>
        <v>Nice-to-have</v>
      </c>
      <c r="I1163" s="6" t="s">
        <v>4639</v>
      </c>
      <c r="J1163" s="14"/>
      <c r="K1163" s="6"/>
      <c r="L1163" s="41" t="s">
        <v>2065</v>
      </c>
    </row>
    <row r="1164" customFormat="false" ht="15" hidden="false" customHeight="false" outlineLevel="0" collapsed="false">
      <c r="A1164" s="14" t="s">
        <v>4645</v>
      </c>
      <c r="B1164" s="14" t="s">
        <v>2034</v>
      </c>
      <c r="C1164" s="14" t="s">
        <v>1964</v>
      </c>
      <c r="D1164" s="28" t="s">
        <v>4646</v>
      </c>
      <c r="E1164" s="43" t="s">
        <v>96</v>
      </c>
      <c r="F1164" s="31" t="n">
        <f aca="false">WBS!T277</f>
        <v>2.1</v>
      </c>
      <c r="G1164" s="14" t="str">
        <f aca="false">WBS!H277</f>
        <v>P4</v>
      </c>
      <c r="H1164" s="14" t="str">
        <f aca="false">WBS!G277</f>
        <v>Nice-to-have</v>
      </c>
      <c r="I1164" s="6" t="s">
        <v>4647</v>
      </c>
      <c r="J1164" s="14"/>
      <c r="K1164" s="6"/>
      <c r="L1164" s="41" t="s">
        <v>2065</v>
      </c>
    </row>
    <row r="1165" customFormat="false" ht="15" hidden="false" customHeight="false" outlineLevel="0" collapsed="false">
      <c r="A1165" s="14" t="s">
        <v>4648</v>
      </c>
      <c r="B1165" s="14" t="s">
        <v>2041</v>
      </c>
      <c r="C1165" s="14" t="s">
        <v>1964</v>
      </c>
      <c r="D1165" s="28" t="s">
        <v>4649</v>
      </c>
      <c r="E1165" s="40" t="s">
        <v>91</v>
      </c>
      <c r="F1165" s="31" t="n">
        <f aca="false">WBS!R278</f>
        <v>1.8</v>
      </c>
      <c r="G1165" s="14" t="str">
        <f aca="false">WBS!H278</f>
        <v>P4</v>
      </c>
      <c r="H1165" s="14" t="str">
        <f aca="false">WBS!G278</f>
        <v>Nice-to-have</v>
      </c>
      <c r="I1165" s="6" t="s">
        <v>284</v>
      </c>
      <c r="J1165" s="14"/>
      <c r="K1165" s="6"/>
      <c r="L1165" s="41" t="s">
        <v>2065</v>
      </c>
    </row>
    <row r="1166" customFormat="false" ht="15" hidden="false" customHeight="false" outlineLevel="0" collapsed="false">
      <c r="A1166" s="14" t="s">
        <v>4650</v>
      </c>
      <c r="B1166" s="14" t="s">
        <v>2041</v>
      </c>
      <c r="C1166" s="14" t="s">
        <v>1964</v>
      </c>
      <c r="D1166" s="28" t="s">
        <v>4651</v>
      </c>
      <c r="E1166" s="37" t="s">
        <v>128</v>
      </c>
      <c r="F1166" s="31" t="n">
        <f aca="false">WBS!S278</f>
        <v>2</v>
      </c>
      <c r="G1166" s="14" t="str">
        <f aca="false">WBS!H278</f>
        <v>P4</v>
      </c>
      <c r="H1166" s="14" t="str">
        <f aca="false">WBS!G278</f>
        <v>Nice-to-have</v>
      </c>
      <c r="I1166" s="6" t="s">
        <v>4648</v>
      </c>
      <c r="J1166" s="14"/>
      <c r="K1166" s="6"/>
      <c r="L1166" s="41" t="s">
        <v>2065</v>
      </c>
    </row>
    <row r="1167" customFormat="false" ht="22.35" hidden="false" customHeight="false" outlineLevel="0" collapsed="false">
      <c r="A1167" s="14" t="s">
        <v>4652</v>
      </c>
      <c r="B1167" s="14" t="s">
        <v>2041</v>
      </c>
      <c r="C1167" s="14" t="s">
        <v>1964</v>
      </c>
      <c r="D1167" s="28" t="s">
        <v>4653</v>
      </c>
      <c r="E1167" s="42" t="s">
        <v>2068</v>
      </c>
      <c r="F1167" s="31" t="n">
        <f aca="false">WBS!P278</f>
        <v>10</v>
      </c>
      <c r="G1167" s="14" t="str">
        <f aca="false">WBS!H278</f>
        <v>P4</v>
      </c>
      <c r="H1167" s="14" t="str">
        <f aca="false">WBS!G278</f>
        <v>Nice-to-have</v>
      </c>
      <c r="I1167" s="6" t="s">
        <v>4648</v>
      </c>
      <c r="J1167" s="14"/>
      <c r="K1167" s="6"/>
      <c r="L1167" s="41" t="s">
        <v>2065</v>
      </c>
    </row>
    <row r="1168" customFormat="false" ht="15" hidden="false" customHeight="false" outlineLevel="0" collapsed="false">
      <c r="A1168" s="14" t="s">
        <v>4654</v>
      </c>
      <c r="B1168" s="14" t="s">
        <v>2041</v>
      </c>
      <c r="C1168" s="14" t="s">
        <v>1964</v>
      </c>
      <c r="D1168" s="28" t="s">
        <v>4655</v>
      </c>
      <c r="E1168" s="22" t="s">
        <v>2071</v>
      </c>
      <c r="F1168" s="31" t="n">
        <f aca="false">WBS!Q278</f>
        <v>5</v>
      </c>
      <c r="G1168" s="14" t="str">
        <f aca="false">WBS!H278</f>
        <v>P4</v>
      </c>
      <c r="H1168" s="14" t="str">
        <f aca="false">WBS!G278</f>
        <v>Nice-to-have</v>
      </c>
      <c r="I1168" s="6" t="s">
        <v>4650</v>
      </c>
      <c r="J1168" s="14"/>
      <c r="K1168" s="6"/>
      <c r="L1168" s="41" t="s">
        <v>2065</v>
      </c>
    </row>
    <row r="1169" customFormat="false" ht="15" hidden="false" customHeight="false" outlineLevel="0" collapsed="false">
      <c r="A1169" s="14" t="s">
        <v>4656</v>
      </c>
      <c r="B1169" s="14" t="s">
        <v>2041</v>
      </c>
      <c r="C1169" s="14" t="s">
        <v>1964</v>
      </c>
      <c r="D1169" s="28" t="s">
        <v>4657</v>
      </c>
      <c r="E1169" s="43" t="s">
        <v>96</v>
      </c>
      <c r="F1169" s="31" t="n">
        <f aca="false">WBS!T278</f>
        <v>5.3</v>
      </c>
      <c r="G1169" s="14" t="str">
        <f aca="false">WBS!H278</f>
        <v>P4</v>
      </c>
      <c r="H1169" s="14" t="str">
        <f aca="false">WBS!G278</f>
        <v>Nice-to-have</v>
      </c>
      <c r="I1169" s="6" t="s">
        <v>4658</v>
      </c>
      <c r="J1169" s="14"/>
      <c r="K1169" s="6"/>
      <c r="L1169" s="41" t="s">
        <v>2065</v>
      </c>
    </row>
    <row r="1170" customFormat="false" ht="15" hidden="false" customHeight="false" outlineLevel="0" collapsed="false">
      <c r="A1170" s="14" t="s">
        <v>4659</v>
      </c>
      <c r="B1170" s="14" t="s">
        <v>1576</v>
      </c>
      <c r="C1170" s="14" t="s">
        <v>1964</v>
      </c>
      <c r="D1170" s="28" t="s">
        <v>4660</v>
      </c>
      <c r="E1170" s="40" t="s">
        <v>91</v>
      </c>
      <c r="F1170" s="31" t="n">
        <f aca="false">WBS!R279</f>
        <v>0.7</v>
      </c>
      <c r="G1170" s="14" t="str">
        <f aca="false">WBS!H279</f>
        <v>P4</v>
      </c>
      <c r="H1170" s="14" t="str">
        <f aca="false">WBS!G279</f>
        <v>Nice-to-have</v>
      </c>
      <c r="I1170" s="6" t="s">
        <v>178</v>
      </c>
      <c r="J1170" s="14"/>
      <c r="K1170" s="6"/>
      <c r="L1170" s="41" t="s">
        <v>2065</v>
      </c>
    </row>
    <row r="1171" customFormat="false" ht="15" hidden="false" customHeight="false" outlineLevel="0" collapsed="false">
      <c r="A1171" s="14" t="s">
        <v>4661</v>
      </c>
      <c r="B1171" s="14" t="s">
        <v>1576</v>
      </c>
      <c r="C1171" s="14" t="s">
        <v>1964</v>
      </c>
      <c r="D1171" s="28" t="s">
        <v>4662</v>
      </c>
      <c r="E1171" s="42" t="s">
        <v>2068</v>
      </c>
      <c r="F1171" s="31" t="n">
        <f aca="false">WBS!P279</f>
        <v>3</v>
      </c>
      <c r="G1171" s="14" t="str">
        <f aca="false">WBS!H279</f>
        <v>P4</v>
      </c>
      <c r="H1171" s="14" t="str">
        <f aca="false">WBS!G279</f>
        <v>Nice-to-have</v>
      </c>
      <c r="I1171" s="6" t="s">
        <v>4659</v>
      </c>
      <c r="J1171" s="14"/>
      <c r="K1171" s="6"/>
      <c r="L1171" s="41" t="s">
        <v>2065</v>
      </c>
    </row>
    <row r="1172" customFormat="false" ht="15" hidden="false" customHeight="false" outlineLevel="0" collapsed="false">
      <c r="A1172" s="14" t="s">
        <v>4663</v>
      </c>
      <c r="B1172" s="14" t="s">
        <v>1576</v>
      </c>
      <c r="C1172" s="14" t="s">
        <v>1964</v>
      </c>
      <c r="D1172" s="28" t="s">
        <v>4664</v>
      </c>
      <c r="E1172" s="22" t="s">
        <v>2071</v>
      </c>
      <c r="F1172" s="31" t="n">
        <f aca="false">WBS!Q279</f>
        <v>3</v>
      </c>
      <c r="G1172" s="14" t="str">
        <f aca="false">WBS!H279</f>
        <v>P4</v>
      </c>
      <c r="H1172" s="14" t="str">
        <f aca="false">WBS!G279</f>
        <v>Nice-to-have</v>
      </c>
      <c r="I1172" s="6" t="s">
        <v>4659</v>
      </c>
      <c r="J1172" s="14"/>
      <c r="K1172" s="6"/>
      <c r="L1172" s="41" t="s">
        <v>2065</v>
      </c>
    </row>
    <row r="1173" customFormat="false" ht="15" hidden="false" customHeight="false" outlineLevel="0" collapsed="false">
      <c r="A1173" s="14" t="s">
        <v>4665</v>
      </c>
      <c r="B1173" s="14" t="s">
        <v>1576</v>
      </c>
      <c r="C1173" s="14" t="s">
        <v>1964</v>
      </c>
      <c r="D1173" s="28" t="s">
        <v>4666</v>
      </c>
      <c r="E1173" s="43" t="s">
        <v>96</v>
      </c>
      <c r="F1173" s="31" t="n">
        <f aca="false">WBS!T279</f>
        <v>2.1</v>
      </c>
      <c r="G1173" s="14" t="str">
        <f aca="false">WBS!H279</f>
        <v>P4</v>
      </c>
      <c r="H1173" s="14" t="str">
        <f aca="false">WBS!G279</f>
        <v>Nice-to-have</v>
      </c>
      <c r="I1173" s="6" t="s">
        <v>4667</v>
      </c>
      <c r="J1173" s="14"/>
      <c r="K1173" s="6"/>
      <c r="L1173" s="41" t="s">
        <v>2065</v>
      </c>
    </row>
    <row r="1174" customFormat="false" ht="22.35" hidden="false" customHeight="false" outlineLevel="0" collapsed="false">
      <c r="A1174" s="14" t="s">
        <v>4668</v>
      </c>
      <c r="B1174" s="14" t="s">
        <v>4669</v>
      </c>
      <c r="C1174" s="14" t="s">
        <v>4670</v>
      </c>
      <c r="D1174" s="28" t="s">
        <v>4671</v>
      </c>
      <c r="E1174" s="14" t="s">
        <v>89</v>
      </c>
      <c r="F1174" s="31" t="n">
        <f aca="false">Project_Tasks!G5</f>
        <v>18</v>
      </c>
      <c r="G1174" s="14" t="str">
        <f aca="false">Project_Tasks!B5</f>
        <v>P0</v>
      </c>
      <c r="H1174" s="14" t="s">
        <v>143</v>
      </c>
      <c r="I1174" s="6" t="s">
        <v>79</v>
      </c>
      <c r="J1174" s="14"/>
      <c r="K1174" s="6"/>
      <c r="L1174" s="41" t="s">
        <v>2065</v>
      </c>
    </row>
    <row r="1175" customFormat="false" ht="22.35" hidden="false" customHeight="false" outlineLevel="0" collapsed="false">
      <c r="A1175" s="14" t="s">
        <v>4672</v>
      </c>
      <c r="B1175" s="14" t="s">
        <v>4669</v>
      </c>
      <c r="C1175" s="14" t="s">
        <v>4670</v>
      </c>
      <c r="D1175" s="28" t="s">
        <v>4671</v>
      </c>
      <c r="E1175" s="14" t="s">
        <v>97</v>
      </c>
      <c r="F1175" s="31" t="n">
        <f aca="false">Project_Tasks!M5</f>
        <v>30</v>
      </c>
      <c r="G1175" s="14" t="str">
        <f aca="false">Project_Tasks!B5</f>
        <v>P0</v>
      </c>
      <c r="H1175" s="14" t="s">
        <v>143</v>
      </c>
      <c r="I1175" s="6" t="s">
        <v>79</v>
      </c>
      <c r="J1175" s="14"/>
      <c r="K1175" s="6"/>
      <c r="L1175" s="41" t="s">
        <v>2065</v>
      </c>
    </row>
    <row r="1176" customFormat="false" ht="15" hidden="false" customHeight="false" outlineLevel="0" collapsed="false">
      <c r="A1176" s="14" t="s">
        <v>4673</v>
      </c>
      <c r="B1176" s="14" t="s">
        <v>4674</v>
      </c>
      <c r="C1176" s="14" t="s">
        <v>4670</v>
      </c>
      <c r="D1176" s="28" t="s">
        <v>4675</v>
      </c>
      <c r="E1176" s="14" t="s">
        <v>89</v>
      </c>
      <c r="F1176" s="31" t="n">
        <f aca="false">Project_Tasks!G6</f>
        <v>27</v>
      </c>
      <c r="G1176" s="14" t="str">
        <f aca="false">Project_Tasks!B6</f>
        <v>P1</v>
      </c>
      <c r="H1176" s="14" t="s">
        <v>143</v>
      </c>
      <c r="I1176" s="6" t="s">
        <v>79</v>
      </c>
      <c r="J1176" s="14"/>
      <c r="K1176" s="6"/>
      <c r="L1176" s="41" t="s">
        <v>2065</v>
      </c>
    </row>
    <row r="1177" customFormat="false" ht="15" hidden="false" customHeight="false" outlineLevel="0" collapsed="false">
      <c r="A1177" s="14" t="s">
        <v>4676</v>
      </c>
      <c r="B1177" s="14" t="s">
        <v>4674</v>
      </c>
      <c r="C1177" s="14" t="s">
        <v>4670</v>
      </c>
      <c r="D1177" s="28" t="s">
        <v>4675</v>
      </c>
      <c r="E1177" s="14" t="s">
        <v>97</v>
      </c>
      <c r="F1177" s="31" t="n">
        <f aca="false">Project_Tasks!M6</f>
        <v>45</v>
      </c>
      <c r="G1177" s="14" t="str">
        <f aca="false">Project_Tasks!B6</f>
        <v>P1</v>
      </c>
      <c r="H1177" s="14" t="s">
        <v>143</v>
      </c>
      <c r="I1177" s="6" t="s">
        <v>79</v>
      </c>
      <c r="J1177" s="14"/>
      <c r="K1177" s="6"/>
      <c r="L1177" s="41" t="s">
        <v>2065</v>
      </c>
    </row>
    <row r="1178" customFormat="false" ht="15" hidden="false" customHeight="false" outlineLevel="0" collapsed="false">
      <c r="A1178" s="14" t="s">
        <v>4677</v>
      </c>
      <c r="B1178" s="14" t="s">
        <v>4678</v>
      </c>
      <c r="C1178" s="14" t="s">
        <v>4670</v>
      </c>
      <c r="D1178" s="28" t="s">
        <v>4679</v>
      </c>
      <c r="E1178" s="14" t="s">
        <v>89</v>
      </c>
      <c r="F1178" s="31" t="n">
        <f aca="false">Project_Tasks!G7</f>
        <v>15</v>
      </c>
      <c r="G1178" s="14" t="str">
        <f aca="false">Project_Tasks!B7</f>
        <v>P2</v>
      </c>
      <c r="H1178" s="14" t="s">
        <v>143</v>
      </c>
      <c r="I1178" s="6" t="s">
        <v>79</v>
      </c>
      <c r="J1178" s="14"/>
      <c r="K1178" s="6"/>
      <c r="L1178" s="41" t="s">
        <v>2065</v>
      </c>
    </row>
    <row r="1179" customFormat="false" ht="15" hidden="false" customHeight="false" outlineLevel="0" collapsed="false">
      <c r="A1179" s="14" t="s">
        <v>4680</v>
      </c>
      <c r="B1179" s="14" t="s">
        <v>4678</v>
      </c>
      <c r="C1179" s="14" t="s">
        <v>4670</v>
      </c>
      <c r="D1179" s="28" t="s">
        <v>4679</v>
      </c>
      <c r="E1179" s="14" t="s">
        <v>97</v>
      </c>
      <c r="F1179" s="31" t="n">
        <f aca="false">Project_Tasks!M7</f>
        <v>25</v>
      </c>
      <c r="G1179" s="14" t="str">
        <f aca="false">Project_Tasks!B7</f>
        <v>P2</v>
      </c>
      <c r="H1179" s="14" t="s">
        <v>143</v>
      </c>
      <c r="I1179" s="6" t="s">
        <v>79</v>
      </c>
      <c r="J1179" s="14"/>
      <c r="K1179" s="6"/>
      <c r="L1179" s="41" t="s">
        <v>2065</v>
      </c>
    </row>
    <row r="1180" customFormat="false" ht="15" hidden="false" customHeight="false" outlineLevel="0" collapsed="false">
      <c r="A1180" s="14" t="s">
        <v>4681</v>
      </c>
      <c r="B1180" s="14" t="s">
        <v>4682</v>
      </c>
      <c r="C1180" s="14" t="s">
        <v>4670</v>
      </c>
      <c r="D1180" s="28" t="s">
        <v>4683</v>
      </c>
      <c r="E1180" s="14" t="s">
        <v>89</v>
      </c>
      <c r="F1180" s="31" t="n">
        <f aca="false">Project_Tasks!G8</f>
        <v>24</v>
      </c>
      <c r="G1180" s="14" t="str">
        <f aca="false">Project_Tasks!B8</f>
        <v>P3</v>
      </c>
      <c r="H1180" s="14" t="s">
        <v>143</v>
      </c>
      <c r="I1180" s="6" t="s">
        <v>79</v>
      </c>
      <c r="J1180" s="14"/>
      <c r="K1180" s="6"/>
      <c r="L1180" s="41" t="s">
        <v>2065</v>
      </c>
    </row>
    <row r="1181" customFormat="false" ht="15" hidden="false" customHeight="false" outlineLevel="0" collapsed="false">
      <c r="A1181" s="14" t="s">
        <v>4684</v>
      </c>
      <c r="B1181" s="14" t="s">
        <v>4682</v>
      </c>
      <c r="C1181" s="14" t="s">
        <v>4670</v>
      </c>
      <c r="D1181" s="28" t="s">
        <v>4683</v>
      </c>
      <c r="E1181" s="14" t="s">
        <v>97</v>
      </c>
      <c r="F1181" s="31" t="n">
        <f aca="false">Project_Tasks!M8</f>
        <v>40</v>
      </c>
      <c r="G1181" s="14" t="str">
        <f aca="false">Project_Tasks!B8</f>
        <v>P3</v>
      </c>
      <c r="H1181" s="14" t="s">
        <v>143</v>
      </c>
      <c r="I1181" s="6" t="s">
        <v>79</v>
      </c>
      <c r="J1181" s="14"/>
      <c r="K1181" s="6"/>
      <c r="L1181" s="41" t="s">
        <v>2065</v>
      </c>
    </row>
    <row r="1182" customFormat="false" ht="15" hidden="false" customHeight="false" outlineLevel="0" collapsed="false">
      <c r="A1182" s="14" t="s">
        <v>4685</v>
      </c>
      <c r="B1182" s="14" t="s">
        <v>4686</v>
      </c>
      <c r="C1182" s="14" t="s">
        <v>4670</v>
      </c>
      <c r="D1182" s="28" t="s">
        <v>4687</v>
      </c>
      <c r="E1182" s="14" t="s">
        <v>89</v>
      </c>
      <c r="F1182" s="31" t="n">
        <f aca="false">Project_Tasks!G9</f>
        <v>12</v>
      </c>
      <c r="G1182" s="14" t="str">
        <f aca="false">Project_Tasks!B9</f>
        <v>P4</v>
      </c>
      <c r="H1182" s="14" t="s">
        <v>143</v>
      </c>
      <c r="I1182" s="6" t="s">
        <v>79</v>
      </c>
      <c r="J1182" s="14"/>
      <c r="K1182" s="6"/>
      <c r="L1182" s="41" t="s">
        <v>2065</v>
      </c>
    </row>
    <row r="1183" customFormat="false" ht="15" hidden="false" customHeight="false" outlineLevel="0" collapsed="false">
      <c r="A1183" s="14" t="s">
        <v>4688</v>
      </c>
      <c r="B1183" s="14" t="s">
        <v>4686</v>
      </c>
      <c r="C1183" s="14" t="s">
        <v>4670</v>
      </c>
      <c r="D1183" s="28" t="s">
        <v>4687</v>
      </c>
      <c r="E1183" s="14" t="s">
        <v>97</v>
      </c>
      <c r="F1183" s="31" t="n">
        <f aca="false">Project_Tasks!M9</f>
        <v>20</v>
      </c>
      <c r="G1183" s="14" t="str">
        <f aca="false">Project_Tasks!B9</f>
        <v>P4</v>
      </c>
      <c r="H1183" s="14" t="s">
        <v>143</v>
      </c>
      <c r="I1183" s="6" t="s">
        <v>79</v>
      </c>
      <c r="J1183" s="14"/>
      <c r="K1183" s="6"/>
      <c r="L1183" s="41" t="s">
        <v>2065</v>
      </c>
    </row>
    <row r="1184" customFormat="false" ht="15" hidden="false" customHeight="false" outlineLevel="0" collapsed="false">
      <c r="A1184" s="14" t="s">
        <v>4689</v>
      </c>
      <c r="B1184" s="14" t="s">
        <v>4690</v>
      </c>
      <c r="C1184" s="14" t="s">
        <v>4670</v>
      </c>
      <c r="D1184" s="28" t="s">
        <v>4691</v>
      </c>
      <c r="E1184" s="14" t="s">
        <v>89</v>
      </c>
      <c r="F1184" s="31" t="n">
        <f aca="false">Project_Tasks!G10</f>
        <v>5</v>
      </c>
      <c r="G1184" s="14" t="str">
        <f aca="false">Project_Tasks!B10</f>
        <v>P0</v>
      </c>
      <c r="H1184" s="14" t="s">
        <v>143</v>
      </c>
      <c r="I1184" s="6" t="s">
        <v>79</v>
      </c>
      <c r="J1184" s="14"/>
      <c r="K1184" s="6"/>
      <c r="L1184" s="41" t="s">
        <v>2065</v>
      </c>
    </row>
    <row r="1185" customFormat="false" ht="15" hidden="false" customHeight="false" outlineLevel="0" collapsed="false">
      <c r="A1185" s="14" t="s">
        <v>4692</v>
      </c>
      <c r="B1185" s="14" t="s">
        <v>4690</v>
      </c>
      <c r="C1185" s="14" t="s">
        <v>4670</v>
      </c>
      <c r="D1185" s="28" t="s">
        <v>4691</v>
      </c>
      <c r="E1185" s="14" t="s">
        <v>91</v>
      </c>
      <c r="F1185" s="31" t="n">
        <f aca="false">Project_Tasks!H10</f>
        <v>1</v>
      </c>
      <c r="G1185" s="14" t="str">
        <f aca="false">Project_Tasks!B10</f>
        <v>P0</v>
      </c>
      <c r="H1185" s="14" t="s">
        <v>143</v>
      </c>
      <c r="I1185" s="6" t="s">
        <v>79</v>
      </c>
      <c r="J1185" s="14"/>
      <c r="K1185" s="6"/>
      <c r="L1185" s="41" t="s">
        <v>2065</v>
      </c>
    </row>
    <row r="1186" customFormat="false" ht="15" hidden="false" customHeight="false" outlineLevel="0" collapsed="false">
      <c r="A1186" s="14" t="s">
        <v>4693</v>
      </c>
      <c r="B1186" s="14" t="s">
        <v>4694</v>
      </c>
      <c r="C1186" s="14" t="s">
        <v>4670</v>
      </c>
      <c r="D1186" s="28" t="s">
        <v>4695</v>
      </c>
      <c r="E1186" s="14" t="s">
        <v>89</v>
      </c>
      <c r="F1186" s="31" t="n">
        <f aca="false">Project_Tasks!G11</f>
        <v>8</v>
      </c>
      <c r="G1186" s="14" t="str">
        <f aca="false">Project_Tasks!B11</f>
        <v>P0</v>
      </c>
      <c r="H1186" s="14" t="s">
        <v>143</v>
      </c>
      <c r="I1186" s="6" t="s">
        <v>4690</v>
      </c>
      <c r="J1186" s="14"/>
      <c r="K1186" s="6"/>
      <c r="L1186" s="41" t="s">
        <v>2065</v>
      </c>
    </row>
    <row r="1187" customFormat="false" ht="15" hidden="false" customHeight="false" outlineLevel="0" collapsed="false">
      <c r="A1187" s="14" t="s">
        <v>4696</v>
      </c>
      <c r="B1187" s="14" t="s">
        <v>4694</v>
      </c>
      <c r="C1187" s="14" t="s">
        <v>4670</v>
      </c>
      <c r="D1187" s="28" t="s">
        <v>4695</v>
      </c>
      <c r="E1187" s="14" t="s">
        <v>91</v>
      </c>
      <c r="F1187" s="31" t="n">
        <f aca="false">Project_Tasks!H11</f>
        <v>16</v>
      </c>
      <c r="G1187" s="14" t="str">
        <f aca="false">Project_Tasks!B11</f>
        <v>P0</v>
      </c>
      <c r="H1187" s="14" t="s">
        <v>143</v>
      </c>
      <c r="I1187" s="6" t="s">
        <v>4690</v>
      </c>
      <c r="J1187" s="14"/>
      <c r="K1187" s="6"/>
      <c r="L1187" s="41" t="s">
        <v>2065</v>
      </c>
    </row>
    <row r="1188" customFormat="false" ht="15" hidden="false" customHeight="false" outlineLevel="0" collapsed="false">
      <c r="A1188" s="14" t="s">
        <v>4697</v>
      </c>
      <c r="B1188" s="14" t="s">
        <v>4694</v>
      </c>
      <c r="C1188" s="14" t="s">
        <v>4670</v>
      </c>
      <c r="D1188" s="28" t="s">
        <v>4695</v>
      </c>
      <c r="E1188" s="14" t="s">
        <v>128</v>
      </c>
      <c r="F1188" s="31" t="n">
        <f aca="false">Project_Tasks!I11</f>
        <v>4</v>
      </c>
      <c r="G1188" s="14" t="str">
        <f aca="false">Project_Tasks!B11</f>
        <v>P0</v>
      </c>
      <c r="H1188" s="14" t="s">
        <v>143</v>
      </c>
      <c r="I1188" s="6" t="s">
        <v>4690</v>
      </c>
      <c r="J1188" s="14"/>
      <c r="K1188" s="6"/>
      <c r="L1188" s="41" t="s">
        <v>2065</v>
      </c>
    </row>
    <row r="1189" customFormat="false" ht="15" hidden="false" customHeight="false" outlineLevel="0" collapsed="false">
      <c r="A1189" s="14" t="s">
        <v>4698</v>
      </c>
      <c r="B1189" s="14" t="s">
        <v>4694</v>
      </c>
      <c r="C1189" s="14" t="s">
        <v>4670</v>
      </c>
      <c r="D1189" s="28" t="s">
        <v>4695</v>
      </c>
      <c r="E1189" s="14" t="s">
        <v>4699</v>
      </c>
      <c r="F1189" s="31" t="n">
        <f aca="false">Project_Tasks!N11</f>
        <v>8</v>
      </c>
      <c r="G1189" s="14" t="str">
        <f aca="false">Project_Tasks!B11</f>
        <v>P0</v>
      </c>
      <c r="H1189" s="14" t="s">
        <v>143</v>
      </c>
      <c r="I1189" s="6" t="s">
        <v>4690</v>
      </c>
      <c r="J1189" s="14"/>
      <c r="K1189" s="6"/>
      <c r="L1189" s="41" t="s">
        <v>2065</v>
      </c>
    </row>
    <row r="1190" customFormat="false" ht="22.35" hidden="false" customHeight="false" outlineLevel="0" collapsed="false">
      <c r="A1190" s="14" t="s">
        <v>4700</v>
      </c>
      <c r="B1190" s="14" t="s">
        <v>4701</v>
      </c>
      <c r="C1190" s="14" t="s">
        <v>4670</v>
      </c>
      <c r="D1190" s="28" t="s">
        <v>4702</v>
      </c>
      <c r="E1190" s="14" t="s">
        <v>91</v>
      </c>
      <c r="F1190" s="31" t="n">
        <f aca="false">Project_Tasks!H12</f>
        <v>5</v>
      </c>
      <c r="G1190" s="14" t="str">
        <f aca="false">Project_Tasks!B12</f>
        <v>P0</v>
      </c>
      <c r="H1190" s="14" t="s">
        <v>143</v>
      </c>
      <c r="I1190" s="6" t="s">
        <v>4694</v>
      </c>
      <c r="J1190" s="14"/>
      <c r="K1190" s="6"/>
      <c r="L1190" s="41" t="s">
        <v>2065</v>
      </c>
    </row>
    <row r="1191" customFormat="false" ht="22.35" hidden="false" customHeight="false" outlineLevel="0" collapsed="false">
      <c r="A1191" s="14" t="s">
        <v>4703</v>
      </c>
      <c r="B1191" s="14" t="s">
        <v>4701</v>
      </c>
      <c r="C1191" s="14" t="s">
        <v>4670</v>
      </c>
      <c r="D1191" s="28" t="s">
        <v>4702</v>
      </c>
      <c r="E1191" s="14" t="s">
        <v>2068</v>
      </c>
      <c r="F1191" s="31" t="n">
        <f aca="false">Project_Tasks!J12</f>
        <v>3</v>
      </c>
      <c r="G1191" s="14" t="str">
        <f aca="false">Project_Tasks!B12</f>
        <v>P0</v>
      </c>
      <c r="H1191" s="14" t="s">
        <v>143</v>
      </c>
      <c r="I1191" s="6" t="s">
        <v>4694</v>
      </c>
      <c r="J1191" s="14"/>
      <c r="K1191" s="6"/>
      <c r="L1191" s="41" t="s">
        <v>2065</v>
      </c>
    </row>
    <row r="1192" customFormat="false" ht="22.35" hidden="false" customHeight="false" outlineLevel="0" collapsed="false">
      <c r="A1192" s="14" t="s">
        <v>4704</v>
      </c>
      <c r="B1192" s="14" t="s">
        <v>4701</v>
      </c>
      <c r="C1192" s="14" t="s">
        <v>4670</v>
      </c>
      <c r="D1192" s="28" t="s">
        <v>4702</v>
      </c>
      <c r="E1192" s="14" t="s">
        <v>96</v>
      </c>
      <c r="F1192" s="31" t="n">
        <f aca="false">Project_Tasks!L12</f>
        <v>2</v>
      </c>
      <c r="G1192" s="14" t="str">
        <f aca="false">Project_Tasks!B12</f>
        <v>P0</v>
      </c>
      <c r="H1192" s="14" t="s">
        <v>143</v>
      </c>
      <c r="I1192" s="6" t="s">
        <v>4694</v>
      </c>
      <c r="J1192" s="14"/>
      <c r="K1192" s="6"/>
      <c r="L1192" s="41" t="s">
        <v>2065</v>
      </c>
    </row>
    <row r="1193" customFormat="false" ht="22.35" hidden="false" customHeight="false" outlineLevel="0" collapsed="false">
      <c r="A1193" s="14" t="s">
        <v>4705</v>
      </c>
      <c r="B1193" s="14" t="s">
        <v>4706</v>
      </c>
      <c r="C1193" s="14" t="s">
        <v>4670</v>
      </c>
      <c r="D1193" s="28" t="s">
        <v>4707</v>
      </c>
      <c r="E1193" s="14" t="s">
        <v>91</v>
      </c>
      <c r="F1193" s="31" t="n">
        <f aca="false">Project_Tasks!H13</f>
        <v>8</v>
      </c>
      <c r="G1193" s="14" t="str">
        <f aca="false">Project_Tasks!B13</f>
        <v>P0</v>
      </c>
      <c r="H1193" s="14" t="s">
        <v>143</v>
      </c>
      <c r="I1193" s="6" t="s">
        <v>4694</v>
      </c>
      <c r="J1193" s="14"/>
      <c r="K1193" s="6"/>
      <c r="L1193" s="41" t="s">
        <v>2065</v>
      </c>
    </row>
    <row r="1194" customFormat="false" ht="22.35" hidden="false" customHeight="false" outlineLevel="0" collapsed="false">
      <c r="A1194" s="14" t="s">
        <v>4708</v>
      </c>
      <c r="B1194" s="14" t="s">
        <v>4706</v>
      </c>
      <c r="C1194" s="14" t="s">
        <v>4670</v>
      </c>
      <c r="D1194" s="28" t="s">
        <v>4707</v>
      </c>
      <c r="E1194" s="14" t="s">
        <v>2068</v>
      </c>
      <c r="F1194" s="31" t="n">
        <f aca="false">Project_Tasks!J13</f>
        <v>4</v>
      </c>
      <c r="G1194" s="14" t="str">
        <f aca="false">Project_Tasks!B13</f>
        <v>P0</v>
      </c>
      <c r="H1194" s="14" t="s">
        <v>143</v>
      </c>
      <c r="I1194" s="6" t="s">
        <v>4694</v>
      </c>
      <c r="J1194" s="14"/>
      <c r="K1194" s="6"/>
      <c r="L1194" s="41" t="s">
        <v>2065</v>
      </c>
    </row>
    <row r="1195" customFormat="false" ht="22.35" hidden="false" customHeight="false" outlineLevel="0" collapsed="false">
      <c r="A1195" s="14" t="s">
        <v>4709</v>
      </c>
      <c r="B1195" s="14" t="s">
        <v>4706</v>
      </c>
      <c r="C1195" s="14" t="s">
        <v>4670</v>
      </c>
      <c r="D1195" s="28" t="s">
        <v>4707</v>
      </c>
      <c r="E1195" s="14" t="s">
        <v>2071</v>
      </c>
      <c r="F1195" s="31" t="n">
        <f aca="false">Project_Tasks!K13</f>
        <v>2</v>
      </c>
      <c r="G1195" s="14" t="str">
        <f aca="false">Project_Tasks!B13</f>
        <v>P0</v>
      </c>
      <c r="H1195" s="14" t="s">
        <v>143</v>
      </c>
      <c r="I1195" s="6" t="s">
        <v>4694</v>
      </c>
      <c r="J1195" s="14"/>
      <c r="K1195" s="6"/>
      <c r="L1195" s="41" t="s">
        <v>2065</v>
      </c>
    </row>
    <row r="1196" customFormat="false" ht="22.35" hidden="false" customHeight="false" outlineLevel="0" collapsed="false">
      <c r="A1196" s="14" t="s">
        <v>4710</v>
      </c>
      <c r="B1196" s="14" t="s">
        <v>4706</v>
      </c>
      <c r="C1196" s="14" t="s">
        <v>4670</v>
      </c>
      <c r="D1196" s="28" t="s">
        <v>4707</v>
      </c>
      <c r="E1196" s="14" t="s">
        <v>97</v>
      </c>
      <c r="F1196" s="31" t="n">
        <f aca="false">Project_Tasks!M13</f>
        <v>2</v>
      </c>
      <c r="G1196" s="14" t="str">
        <f aca="false">Project_Tasks!B13</f>
        <v>P0</v>
      </c>
      <c r="H1196" s="14" t="s">
        <v>143</v>
      </c>
      <c r="I1196" s="6" t="s">
        <v>4694</v>
      </c>
      <c r="J1196" s="14"/>
      <c r="K1196" s="6"/>
      <c r="L1196" s="41" t="s">
        <v>2065</v>
      </c>
    </row>
    <row r="1197" customFormat="false" ht="15" hidden="false" customHeight="false" outlineLevel="0" collapsed="false">
      <c r="A1197" s="14" t="s">
        <v>4711</v>
      </c>
      <c r="B1197" s="14" t="s">
        <v>4712</v>
      </c>
      <c r="C1197" s="14" t="s">
        <v>4670</v>
      </c>
      <c r="D1197" s="28" t="s">
        <v>4713</v>
      </c>
      <c r="E1197" s="14" t="s">
        <v>91</v>
      </c>
      <c r="F1197" s="31" t="n">
        <f aca="false">Project_Tasks!H14</f>
        <v>8</v>
      </c>
      <c r="G1197" s="14" t="str">
        <f aca="false">Project_Tasks!B14</f>
        <v>P0</v>
      </c>
      <c r="H1197" s="14" t="s">
        <v>143</v>
      </c>
      <c r="I1197" s="6" t="s">
        <v>4706</v>
      </c>
      <c r="J1197" s="14"/>
      <c r="K1197" s="6"/>
      <c r="L1197" s="41" t="s">
        <v>2065</v>
      </c>
    </row>
    <row r="1198" customFormat="false" ht="15" hidden="false" customHeight="false" outlineLevel="0" collapsed="false">
      <c r="A1198" s="14" t="s">
        <v>4714</v>
      </c>
      <c r="B1198" s="14" t="s">
        <v>4712</v>
      </c>
      <c r="C1198" s="14" t="s">
        <v>4670</v>
      </c>
      <c r="D1198" s="28" t="s">
        <v>4713</v>
      </c>
      <c r="E1198" s="14" t="s">
        <v>2068</v>
      </c>
      <c r="F1198" s="31" t="n">
        <f aca="false">Project_Tasks!J14</f>
        <v>4</v>
      </c>
      <c r="G1198" s="14" t="str">
        <f aca="false">Project_Tasks!B14</f>
        <v>P0</v>
      </c>
      <c r="H1198" s="14" t="s">
        <v>143</v>
      </c>
      <c r="I1198" s="6" t="s">
        <v>4706</v>
      </c>
      <c r="J1198" s="14"/>
      <c r="K1198" s="6"/>
      <c r="L1198" s="41" t="s">
        <v>2065</v>
      </c>
    </row>
    <row r="1199" customFormat="false" ht="15" hidden="false" customHeight="false" outlineLevel="0" collapsed="false">
      <c r="A1199" s="14" t="s">
        <v>4715</v>
      </c>
      <c r="B1199" s="14" t="s">
        <v>4716</v>
      </c>
      <c r="C1199" s="14" t="s">
        <v>4670</v>
      </c>
      <c r="D1199" s="28" t="s">
        <v>4717</v>
      </c>
      <c r="E1199" s="14" t="s">
        <v>89</v>
      </c>
      <c r="F1199" s="31" t="n">
        <f aca="false">Project_Tasks!G15</f>
        <v>1</v>
      </c>
      <c r="G1199" s="14" t="str">
        <f aca="false">Project_Tasks!B15</f>
        <v>P0</v>
      </c>
      <c r="H1199" s="14" t="s">
        <v>143</v>
      </c>
      <c r="I1199" s="6" t="s">
        <v>4694</v>
      </c>
      <c r="J1199" s="14"/>
      <c r="K1199" s="6"/>
      <c r="L1199" s="41" t="s">
        <v>2065</v>
      </c>
    </row>
    <row r="1200" customFormat="false" ht="15" hidden="false" customHeight="false" outlineLevel="0" collapsed="false">
      <c r="A1200" s="14" t="s">
        <v>4718</v>
      </c>
      <c r="B1200" s="14" t="s">
        <v>4716</v>
      </c>
      <c r="C1200" s="14" t="s">
        <v>4670</v>
      </c>
      <c r="D1200" s="28" t="s">
        <v>4717</v>
      </c>
      <c r="E1200" s="14" t="s">
        <v>91</v>
      </c>
      <c r="F1200" s="31" t="n">
        <f aca="false">Project_Tasks!H15</f>
        <v>3</v>
      </c>
      <c r="G1200" s="14" t="str">
        <f aca="false">Project_Tasks!B15</f>
        <v>P0</v>
      </c>
      <c r="H1200" s="14" t="s">
        <v>143</v>
      </c>
      <c r="I1200" s="6" t="s">
        <v>4694</v>
      </c>
      <c r="J1200" s="14"/>
      <c r="K1200" s="6"/>
      <c r="L1200" s="41" t="s">
        <v>2065</v>
      </c>
    </row>
    <row r="1201" customFormat="false" ht="15" hidden="false" customHeight="false" outlineLevel="0" collapsed="false">
      <c r="A1201" s="14" t="s">
        <v>4719</v>
      </c>
      <c r="B1201" s="14" t="s">
        <v>4716</v>
      </c>
      <c r="C1201" s="14" t="s">
        <v>4670</v>
      </c>
      <c r="D1201" s="28" t="s">
        <v>4717</v>
      </c>
      <c r="E1201" s="14" t="s">
        <v>4699</v>
      </c>
      <c r="F1201" s="31" t="n">
        <f aca="false">Project_Tasks!N15</f>
        <v>1</v>
      </c>
      <c r="G1201" s="14" t="str">
        <f aca="false">Project_Tasks!B15</f>
        <v>P0</v>
      </c>
      <c r="H1201" s="14" t="s">
        <v>143</v>
      </c>
      <c r="I1201" s="6" t="s">
        <v>4694</v>
      </c>
      <c r="J1201" s="14"/>
      <c r="K1201" s="6"/>
      <c r="L1201" s="41" t="s">
        <v>2065</v>
      </c>
    </row>
    <row r="1202" customFormat="false" ht="15" hidden="false" customHeight="false" outlineLevel="0" collapsed="false">
      <c r="A1202" s="14" t="s">
        <v>4720</v>
      </c>
      <c r="B1202" s="14" t="s">
        <v>4721</v>
      </c>
      <c r="C1202" s="14" t="s">
        <v>4670</v>
      </c>
      <c r="D1202" s="28" t="s">
        <v>4722</v>
      </c>
      <c r="E1202" s="14" t="s">
        <v>91</v>
      </c>
      <c r="F1202" s="31" t="n">
        <f aca="false">Project_Tasks!H16</f>
        <v>2</v>
      </c>
      <c r="G1202" s="14" t="str">
        <f aca="false">Project_Tasks!B16</f>
        <v>P0</v>
      </c>
      <c r="H1202" s="14" t="s">
        <v>143</v>
      </c>
      <c r="I1202" s="6" t="s">
        <v>4694</v>
      </c>
      <c r="J1202" s="14"/>
      <c r="K1202" s="6"/>
      <c r="L1202" s="41" t="s">
        <v>2065</v>
      </c>
    </row>
    <row r="1203" customFormat="false" ht="15" hidden="false" customHeight="false" outlineLevel="0" collapsed="false">
      <c r="A1203" s="14" t="s">
        <v>4723</v>
      </c>
      <c r="B1203" s="14" t="s">
        <v>4721</v>
      </c>
      <c r="C1203" s="14" t="s">
        <v>4670</v>
      </c>
      <c r="D1203" s="28" t="s">
        <v>4722</v>
      </c>
      <c r="E1203" s="14" t="s">
        <v>128</v>
      </c>
      <c r="F1203" s="31" t="n">
        <f aca="false">Project_Tasks!I16</f>
        <v>12</v>
      </c>
      <c r="G1203" s="14" t="str">
        <f aca="false">Project_Tasks!B16</f>
        <v>P0</v>
      </c>
      <c r="H1203" s="14" t="s">
        <v>143</v>
      </c>
      <c r="I1203" s="6" t="s">
        <v>4694</v>
      </c>
      <c r="J1203" s="14"/>
      <c r="K1203" s="6"/>
      <c r="L1203" s="41" t="s">
        <v>2065</v>
      </c>
    </row>
    <row r="1204" customFormat="false" ht="15" hidden="false" customHeight="false" outlineLevel="0" collapsed="false">
      <c r="A1204" s="14" t="s">
        <v>4724</v>
      </c>
      <c r="B1204" s="14" t="s">
        <v>4721</v>
      </c>
      <c r="C1204" s="14" t="s">
        <v>4670</v>
      </c>
      <c r="D1204" s="28" t="s">
        <v>4722</v>
      </c>
      <c r="E1204" s="14" t="s">
        <v>2071</v>
      </c>
      <c r="F1204" s="31" t="n">
        <f aca="false">Project_Tasks!K16</f>
        <v>3</v>
      </c>
      <c r="G1204" s="14" t="str">
        <f aca="false">Project_Tasks!B16</f>
        <v>P0</v>
      </c>
      <c r="H1204" s="14" t="s">
        <v>143</v>
      </c>
      <c r="I1204" s="6" t="s">
        <v>4694</v>
      </c>
      <c r="J1204" s="14"/>
      <c r="K1204" s="6"/>
      <c r="L1204" s="41" t="s">
        <v>2065</v>
      </c>
    </row>
    <row r="1205" customFormat="false" ht="15" hidden="false" customHeight="false" outlineLevel="0" collapsed="false">
      <c r="A1205" s="14" t="s">
        <v>4725</v>
      </c>
      <c r="B1205" s="14" t="s">
        <v>4726</v>
      </c>
      <c r="C1205" s="14" t="s">
        <v>4670</v>
      </c>
      <c r="D1205" s="28" t="s">
        <v>4727</v>
      </c>
      <c r="E1205" s="14" t="s">
        <v>89</v>
      </c>
      <c r="F1205" s="31" t="n">
        <f aca="false">Project_Tasks!G17</f>
        <v>4</v>
      </c>
      <c r="G1205" s="14" t="str">
        <f aca="false">Project_Tasks!B17</f>
        <v>P0</v>
      </c>
      <c r="H1205" s="14" t="s">
        <v>143</v>
      </c>
      <c r="I1205" s="6" t="s">
        <v>4694</v>
      </c>
      <c r="J1205" s="14"/>
      <c r="K1205" s="6"/>
      <c r="L1205" s="41" t="s">
        <v>2065</v>
      </c>
    </row>
    <row r="1206" customFormat="false" ht="15" hidden="false" customHeight="false" outlineLevel="0" collapsed="false">
      <c r="A1206" s="14" t="s">
        <v>4728</v>
      </c>
      <c r="B1206" s="14" t="s">
        <v>4726</v>
      </c>
      <c r="C1206" s="14" t="s">
        <v>4670</v>
      </c>
      <c r="D1206" s="28" t="s">
        <v>4727</v>
      </c>
      <c r="E1206" s="14" t="s">
        <v>91</v>
      </c>
      <c r="F1206" s="31" t="n">
        <f aca="false">Project_Tasks!H17</f>
        <v>4</v>
      </c>
      <c r="G1206" s="14" t="str">
        <f aca="false">Project_Tasks!B17</f>
        <v>P0</v>
      </c>
      <c r="H1206" s="14" t="s">
        <v>143</v>
      </c>
      <c r="I1206" s="6" t="s">
        <v>4694</v>
      </c>
      <c r="J1206" s="14"/>
      <c r="K1206" s="6"/>
      <c r="L1206" s="41" t="s">
        <v>2065</v>
      </c>
    </row>
    <row r="1207" customFormat="false" ht="22.35" hidden="false" customHeight="false" outlineLevel="0" collapsed="false">
      <c r="A1207" s="14" t="s">
        <v>4729</v>
      </c>
      <c r="B1207" s="14" t="s">
        <v>4730</v>
      </c>
      <c r="C1207" s="14" t="s">
        <v>4670</v>
      </c>
      <c r="D1207" s="28" t="s">
        <v>4731</v>
      </c>
      <c r="E1207" s="14" t="s">
        <v>97</v>
      </c>
      <c r="F1207" s="31" t="n">
        <f aca="false">Project_Tasks!M18</f>
        <v>10</v>
      </c>
      <c r="G1207" s="14" t="str">
        <f aca="false">Project_Tasks!B18</f>
        <v>P0</v>
      </c>
      <c r="H1207" s="14" t="s">
        <v>143</v>
      </c>
      <c r="I1207" s="6" t="s">
        <v>4706</v>
      </c>
      <c r="J1207" s="14"/>
      <c r="K1207" s="6"/>
      <c r="L1207" s="41" t="s">
        <v>2065</v>
      </c>
    </row>
    <row r="1208" customFormat="false" ht="22.35" hidden="false" customHeight="false" outlineLevel="0" collapsed="false">
      <c r="A1208" s="14" t="s">
        <v>4732</v>
      </c>
      <c r="B1208" s="14" t="s">
        <v>4733</v>
      </c>
      <c r="C1208" s="14" t="s">
        <v>4670</v>
      </c>
      <c r="D1208" s="28" t="s">
        <v>4734</v>
      </c>
      <c r="E1208" s="14" t="s">
        <v>2068</v>
      </c>
      <c r="F1208" s="31" t="n">
        <f aca="false">Project_Tasks!J19</f>
        <v>1</v>
      </c>
      <c r="G1208" s="14" t="str">
        <f aca="false">Project_Tasks!B19</f>
        <v>P0</v>
      </c>
      <c r="H1208" s="14" t="s">
        <v>143</v>
      </c>
      <c r="I1208" s="6" t="s">
        <v>4730</v>
      </c>
      <c r="J1208" s="14"/>
      <c r="K1208" s="6"/>
      <c r="L1208" s="41" t="s">
        <v>2065</v>
      </c>
    </row>
    <row r="1209" customFormat="false" ht="22.35" hidden="false" customHeight="false" outlineLevel="0" collapsed="false">
      <c r="A1209" s="14" t="s">
        <v>4735</v>
      </c>
      <c r="B1209" s="14" t="s">
        <v>4733</v>
      </c>
      <c r="C1209" s="14" t="s">
        <v>4670</v>
      </c>
      <c r="D1209" s="28" t="s">
        <v>4734</v>
      </c>
      <c r="E1209" s="14" t="s">
        <v>2071</v>
      </c>
      <c r="F1209" s="31" t="n">
        <f aca="false">Project_Tasks!K19</f>
        <v>1</v>
      </c>
      <c r="G1209" s="14" t="str">
        <f aca="false">Project_Tasks!B19</f>
        <v>P0</v>
      </c>
      <c r="H1209" s="14" t="s">
        <v>143</v>
      </c>
      <c r="I1209" s="6" t="s">
        <v>4730</v>
      </c>
      <c r="J1209" s="14"/>
      <c r="K1209" s="6"/>
      <c r="L1209" s="41" t="s">
        <v>2065</v>
      </c>
    </row>
    <row r="1210" customFormat="false" ht="22.35" hidden="false" customHeight="false" outlineLevel="0" collapsed="false">
      <c r="A1210" s="14" t="s">
        <v>4736</v>
      </c>
      <c r="B1210" s="14" t="s">
        <v>4733</v>
      </c>
      <c r="C1210" s="14" t="s">
        <v>4670</v>
      </c>
      <c r="D1210" s="28" t="s">
        <v>4734</v>
      </c>
      <c r="E1210" s="14" t="s">
        <v>97</v>
      </c>
      <c r="F1210" s="31" t="n">
        <f aca="false">Project_Tasks!M19</f>
        <v>6</v>
      </c>
      <c r="G1210" s="14" t="str">
        <f aca="false">Project_Tasks!B19</f>
        <v>P0</v>
      </c>
      <c r="H1210" s="14" t="s">
        <v>143</v>
      </c>
      <c r="I1210" s="6" t="s">
        <v>4730</v>
      </c>
      <c r="J1210" s="14"/>
      <c r="K1210" s="6"/>
      <c r="L1210" s="41" t="s">
        <v>2065</v>
      </c>
    </row>
    <row r="1211" customFormat="false" ht="15" hidden="false" customHeight="false" outlineLevel="0" collapsed="false">
      <c r="A1211" s="14" t="s">
        <v>4737</v>
      </c>
      <c r="B1211" s="14" t="s">
        <v>4738</v>
      </c>
      <c r="C1211" s="14" t="s">
        <v>4670</v>
      </c>
      <c r="D1211" s="28" t="s">
        <v>4739</v>
      </c>
      <c r="E1211" s="14" t="s">
        <v>96</v>
      </c>
      <c r="F1211" s="31" t="n">
        <f aca="false">Project_Tasks!L20</f>
        <v>4</v>
      </c>
      <c r="G1211" s="14" t="str">
        <f aca="false">Project_Tasks!B20</f>
        <v>P0</v>
      </c>
      <c r="H1211" s="14" t="s">
        <v>143</v>
      </c>
      <c r="I1211" s="6" t="s">
        <v>4694</v>
      </c>
      <c r="J1211" s="14"/>
      <c r="K1211" s="6"/>
      <c r="L1211" s="41" t="s">
        <v>2065</v>
      </c>
    </row>
    <row r="1212" customFormat="false" ht="22.35" hidden="false" customHeight="false" outlineLevel="0" collapsed="false">
      <c r="A1212" s="14" t="s">
        <v>4740</v>
      </c>
      <c r="B1212" s="14" t="s">
        <v>4741</v>
      </c>
      <c r="C1212" s="14" t="s">
        <v>4670</v>
      </c>
      <c r="D1212" s="28" t="s">
        <v>4742</v>
      </c>
      <c r="E1212" s="14" t="s">
        <v>2068</v>
      </c>
      <c r="F1212" s="31" t="n">
        <f aca="false">Project_Tasks!J21</f>
        <v>2</v>
      </c>
      <c r="G1212" s="14" t="str">
        <f aca="false">Project_Tasks!B21</f>
        <v>P0</v>
      </c>
      <c r="H1212" s="14" t="s">
        <v>143</v>
      </c>
      <c r="I1212" s="6" t="s">
        <v>4738</v>
      </c>
      <c r="J1212" s="14"/>
      <c r="K1212" s="6"/>
      <c r="L1212" s="41" t="s">
        <v>2065</v>
      </c>
    </row>
    <row r="1213" customFormat="false" ht="22.35" hidden="false" customHeight="false" outlineLevel="0" collapsed="false">
      <c r="A1213" s="14" t="s">
        <v>4743</v>
      </c>
      <c r="B1213" s="14" t="s">
        <v>4741</v>
      </c>
      <c r="C1213" s="14" t="s">
        <v>4670</v>
      </c>
      <c r="D1213" s="28" t="s">
        <v>4742</v>
      </c>
      <c r="E1213" s="14" t="s">
        <v>96</v>
      </c>
      <c r="F1213" s="31" t="n">
        <f aca="false">Project_Tasks!L21</f>
        <v>10</v>
      </c>
      <c r="G1213" s="14" t="str">
        <f aca="false">Project_Tasks!B21</f>
        <v>P0</v>
      </c>
      <c r="H1213" s="14" t="s">
        <v>143</v>
      </c>
      <c r="I1213" s="6" t="s">
        <v>4738</v>
      </c>
      <c r="J1213" s="14"/>
      <c r="K1213" s="6"/>
      <c r="L1213" s="41" t="s">
        <v>2065</v>
      </c>
    </row>
    <row r="1214" customFormat="false" ht="22.35" hidden="false" customHeight="false" outlineLevel="0" collapsed="false">
      <c r="A1214" s="14" t="s">
        <v>4744</v>
      </c>
      <c r="B1214" s="14" t="s">
        <v>4745</v>
      </c>
      <c r="C1214" s="14" t="s">
        <v>4670</v>
      </c>
      <c r="D1214" s="28" t="s">
        <v>4746</v>
      </c>
      <c r="E1214" s="14" t="s">
        <v>91</v>
      </c>
      <c r="F1214" s="31" t="n">
        <f aca="false">Project_Tasks!H22</f>
        <v>3</v>
      </c>
      <c r="G1214" s="14" t="str">
        <f aca="false">Project_Tasks!B22</f>
        <v>P0</v>
      </c>
      <c r="H1214" s="14" t="s">
        <v>143</v>
      </c>
      <c r="I1214" s="6" t="s">
        <v>4706</v>
      </c>
      <c r="J1214" s="14"/>
      <c r="K1214" s="6"/>
      <c r="L1214" s="41" t="s">
        <v>2065</v>
      </c>
    </row>
    <row r="1215" customFormat="false" ht="22.35" hidden="false" customHeight="false" outlineLevel="0" collapsed="false">
      <c r="A1215" s="14" t="s">
        <v>4747</v>
      </c>
      <c r="B1215" s="14" t="s">
        <v>4745</v>
      </c>
      <c r="C1215" s="14" t="s">
        <v>4670</v>
      </c>
      <c r="D1215" s="28" t="s">
        <v>4746</v>
      </c>
      <c r="E1215" s="14" t="s">
        <v>2068</v>
      </c>
      <c r="F1215" s="31" t="n">
        <f aca="false">Project_Tasks!J22</f>
        <v>10</v>
      </c>
      <c r="G1215" s="14" t="str">
        <f aca="false">Project_Tasks!B22</f>
        <v>P0</v>
      </c>
      <c r="H1215" s="14" t="s">
        <v>143</v>
      </c>
      <c r="I1215" s="6" t="s">
        <v>4706</v>
      </c>
      <c r="J1215" s="14"/>
      <c r="K1215" s="6"/>
      <c r="L1215" s="41" t="s">
        <v>2065</v>
      </c>
    </row>
    <row r="1216" customFormat="false" ht="22.35" hidden="false" customHeight="false" outlineLevel="0" collapsed="false">
      <c r="A1216" s="14" t="s">
        <v>4748</v>
      </c>
      <c r="B1216" s="14" t="s">
        <v>4745</v>
      </c>
      <c r="C1216" s="14" t="s">
        <v>4670</v>
      </c>
      <c r="D1216" s="28" t="s">
        <v>4746</v>
      </c>
      <c r="E1216" s="14" t="s">
        <v>2071</v>
      </c>
      <c r="F1216" s="31" t="n">
        <f aca="false">Project_Tasks!K22</f>
        <v>3</v>
      </c>
      <c r="G1216" s="14" t="str">
        <f aca="false">Project_Tasks!B22</f>
        <v>P0</v>
      </c>
      <c r="H1216" s="14" t="s">
        <v>143</v>
      </c>
      <c r="I1216" s="6" t="s">
        <v>4706</v>
      </c>
      <c r="J1216" s="14"/>
      <c r="K1216" s="6"/>
      <c r="L1216" s="41" t="s">
        <v>2065</v>
      </c>
    </row>
    <row r="1217" customFormat="false" ht="15" hidden="false" customHeight="false" outlineLevel="0" collapsed="false">
      <c r="A1217" s="14" t="s">
        <v>4749</v>
      </c>
      <c r="B1217" s="14" t="s">
        <v>4750</v>
      </c>
      <c r="C1217" s="14" t="s">
        <v>4670</v>
      </c>
      <c r="D1217" s="28" t="s">
        <v>4751</v>
      </c>
      <c r="E1217" s="14" t="s">
        <v>91</v>
      </c>
      <c r="F1217" s="31" t="n">
        <f aca="false">Project_Tasks!H23</f>
        <v>3</v>
      </c>
      <c r="G1217" s="14" t="str">
        <f aca="false">Project_Tasks!B23</f>
        <v>P0</v>
      </c>
      <c r="H1217" s="14" t="s">
        <v>143</v>
      </c>
      <c r="I1217" s="6" t="s">
        <v>4706</v>
      </c>
      <c r="J1217" s="14"/>
      <c r="K1217" s="6"/>
      <c r="L1217" s="41" t="s">
        <v>2065</v>
      </c>
    </row>
    <row r="1218" customFormat="false" ht="15" hidden="false" customHeight="false" outlineLevel="0" collapsed="false">
      <c r="A1218" s="14" t="s">
        <v>4752</v>
      </c>
      <c r="B1218" s="14" t="s">
        <v>4750</v>
      </c>
      <c r="C1218" s="14" t="s">
        <v>4670</v>
      </c>
      <c r="D1218" s="28" t="s">
        <v>4751</v>
      </c>
      <c r="E1218" s="14" t="s">
        <v>2068</v>
      </c>
      <c r="F1218" s="31" t="n">
        <f aca="false">Project_Tasks!J23</f>
        <v>2</v>
      </c>
      <c r="G1218" s="14" t="str">
        <f aca="false">Project_Tasks!B23</f>
        <v>P0</v>
      </c>
      <c r="H1218" s="14" t="s">
        <v>143</v>
      </c>
      <c r="I1218" s="6" t="s">
        <v>4706</v>
      </c>
      <c r="J1218" s="14"/>
      <c r="K1218" s="6"/>
      <c r="L1218" s="41" t="s">
        <v>2065</v>
      </c>
    </row>
    <row r="1219" customFormat="false" ht="15" hidden="false" customHeight="false" outlineLevel="0" collapsed="false">
      <c r="A1219" s="14" t="s">
        <v>4753</v>
      </c>
      <c r="B1219" s="14" t="s">
        <v>4750</v>
      </c>
      <c r="C1219" s="14" t="s">
        <v>4670</v>
      </c>
      <c r="D1219" s="28" t="s">
        <v>4751</v>
      </c>
      <c r="E1219" s="14" t="s">
        <v>97</v>
      </c>
      <c r="F1219" s="31" t="n">
        <f aca="false">Project_Tasks!M23</f>
        <v>1</v>
      </c>
      <c r="G1219" s="14" t="str">
        <f aca="false">Project_Tasks!B23</f>
        <v>P0</v>
      </c>
      <c r="H1219" s="14" t="s">
        <v>143</v>
      </c>
      <c r="I1219" s="6" t="s">
        <v>4706</v>
      </c>
      <c r="J1219" s="14"/>
      <c r="K1219" s="6"/>
      <c r="L1219" s="41" t="s">
        <v>2065</v>
      </c>
    </row>
    <row r="1220" customFormat="false" ht="22.35" hidden="false" customHeight="false" outlineLevel="0" collapsed="false">
      <c r="A1220" s="14" t="s">
        <v>4754</v>
      </c>
      <c r="B1220" s="14" t="s">
        <v>4755</v>
      </c>
      <c r="C1220" s="14" t="s">
        <v>4670</v>
      </c>
      <c r="D1220" s="28" t="s">
        <v>4756</v>
      </c>
      <c r="E1220" s="14" t="s">
        <v>4699</v>
      </c>
      <c r="F1220" s="31" t="n">
        <f aca="false">Project_Tasks!N24</f>
        <v>20</v>
      </c>
      <c r="G1220" s="14" t="str">
        <f aca="false">Project_Tasks!B24</f>
        <v>P1</v>
      </c>
      <c r="H1220" s="14" t="s">
        <v>143</v>
      </c>
      <c r="I1220" s="6" t="s">
        <v>4694</v>
      </c>
      <c r="J1220" s="14"/>
      <c r="K1220" s="6"/>
      <c r="L1220" s="41" t="s">
        <v>2065</v>
      </c>
    </row>
    <row r="1221" customFormat="false" ht="15" hidden="false" customHeight="false" outlineLevel="0" collapsed="false">
      <c r="A1221" s="14" t="s">
        <v>4757</v>
      </c>
      <c r="B1221" s="14" t="s">
        <v>4758</v>
      </c>
      <c r="C1221" s="14" t="s">
        <v>4670</v>
      </c>
      <c r="D1221" s="28" t="s">
        <v>4759</v>
      </c>
      <c r="E1221" s="14" t="s">
        <v>91</v>
      </c>
      <c r="F1221" s="31" t="n">
        <f aca="false">Project_Tasks!H25</f>
        <v>5</v>
      </c>
      <c r="G1221" s="14" t="str">
        <f aca="false">Project_Tasks!B25</f>
        <v>P1</v>
      </c>
      <c r="H1221" s="14" t="s">
        <v>143</v>
      </c>
      <c r="I1221" s="6" t="s">
        <v>4706</v>
      </c>
      <c r="J1221" s="14"/>
      <c r="K1221" s="6"/>
      <c r="L1221" s="41" t="s">
        <v>2065</v>
      </c>
    </row>
    <row r="1222" customFormat="false" ht="15" hidden="false" customHeight="false" outlineLevel="0" collapsed="false">
      <c r="A1222" s="14" t="s">
        <v>4760</v>
      </c>
      <c r="B1222" s="14" t="s">
        <v>4758</v>
      </c>
      <c r="C1222" s="14" t="s">
        <v>4670</v>
      </c>
      <c r="D1222" s="28" t="s">
        <v>4759</v>
      </c>
      <c r="E1222" s="14" t="s">
        <v>2068</v>
      </c>
      <c r="F1222" s="31" t="n">
        <f aca="false">Project_Tasks!J25</f>
        <v>2</v>
      </c>
      <c r="G1222" s="14" t="str">
        <f aca="false">Project_Tasks!B25</f>
        <v>P1</v>
      </c>
      <c r="H1222" s="14" t="s">
        <v>143</v>
      </c>
      <c r="I1222" s="6" t="s">
        <v>4706</v>
      </c>
      <c r="J1222" s="14"/>
      <c r="K1222" s="6"/>
      <c r="L1222" s="41" t="s">
        <v>2065</v>
      </c>
    </row>
    <row r="1223" customFormat="false" ht="15" hidden="false" customHeight="false" outlineLevel="0" collapsed="false">
      <c r="A1223" s="14" t="s">
        <v>4761</v>
      </c>
      <c r="B1223" s="14" t="s">
        <v>4762</v>
      </c>
      <c r="C1223" s="14" t="s">
        <v>4670</v>
      </c>
      <c r="D1223" s="28" t="s">
        <v>4763</v>
      </c>
      <c r="E1223" s="14" t="s">
        <v>97</v>
      </c>
      <c r="F1223" s="31" t="n">
        <f aca="false">Project_Tasks!M26</f>
        <v>8</v>
      </c>
      <c r="G1223" s="14" t="str">
        <f aca="false">Project_Tasks!B26</f>
        <v>P1</v>
      </c>
      <c r="H1223" s="14" t="s">
        <v>143</v>
      </c>
      <c r="I1223" s="6" t="s">
        <v>4730</v>
      </c>
      <c r="J1223" s="14"/>
      <c r="K1223" s="6"/>
      <c r="L1223" s="41" t="s">
        <v>2065</v>
      </c>
    </row>
    <row r="1224" customFormat="false" ht="15" hidden="false" customHeight="false" outlineLevel="0" collapsed="false">
      <c r="A1224" s="14" t="s">
        <v>4764</v>
      </c>
      <c r="B1224" s="14" t="s">
        <v>4765</v>
      </c>
      <c r="C1224" s="14" t="s">
        <v>4670</v>
      </c>
      <c r="D1224" s="28" t="s">
        <v>4766</v>
      </c>
      <c r="E1224" s="14" t="s">
        <v>97</v>
      </c>
      <c r="F1224" s="31" t="n">
        <f aca="false">Project_Tasks!M27</f>
        <v>3</v>
      </c>
      <c r="G1224" s="14" t="str">
        <f aca="false">Project_Tasks!B27</f>
        <v>P1</v>
      </c>
      <c r="H1224" s="14" t="s">
        <v>143</v>
      </c>
      <c r="I1224" s="6" t="s">
        <v>4762</v>
      </c>
      <c r="J1224" s="14"/>
      <c r="K1224" s="6"/>
      <c r="L1224" s="41" t="s">
        <v>2065</v>
      </c>
    </row>
    <row r="1225" customFormat="false" ht="15" hidden="false" customHeight="false" outlineLevel="0" collapsed="false">
      <c r="A1225" s="14" t="s">
        <v>4767</v>
      </c>
      <c r="B1225" s="14" t="s">
        <v>4768</v>
      </c>
      <c r="C1225" s="14" t="s">
        <v>4670</v>
      </c>
      <c r="D1225" s="28" t="s">
        <v>4769</v>
      </c>
      <c r="E1225" s="14" t="s">
        <v>97</v>
      </c>
      <c r="F1225" s="31" t="n">
        <f aca="false">Project_Tasks!M28</f>
        <v>4</v>
      </c>
      <c r="G1225" s="14" t="str">
        <f aca="false">Project_Tasks!B28</f>
        <v>P1</v>
      </c>
      <c r="H1225" s="14" t="s">
        <v>143</v>
      </c>
      <c r="I1225" s="6" t="s">
        <v>4762</v>
      </c>
      <c r="J1225" s="14"/>
      <c r="K1225" s="6"/>
      <c r="L1225" s="41" t="s">
        <v>2065</v>
      </c>
    </row>
    <row r="1226" customFormat="false" ht="15" hidden="false" customHeight="false" outlineLevel="0" collapsed="false">
      <c r="A1226" s="14" t="s">
        <v>4770</v>
      </c>
      <c r="B1226" s="14" t="s">
        <v>4771</v>
      </c>
      <c r="C1226" s="14" t="s">
        <v>4670</v>
      </c>
      <c r="D1226" s="28" t="s">
        <v>4772</v>
      </c>
      <c r="E1226" s="14" t="s">
        <v>2068</v>
      </c>
      <c r="F1226" s="31" t="n">
        <f aca="false">Project_Tasks!J29</f>
        <v>1</v>
      </c>
      <c r="G1226" s="14" t="str">
        <f aca="false">Project_Tasks!B29</f>
        <v>P1</v>
      </c>
      <c r="H1226" s="14" t="s">
        <v>143</v>
      </c>
      <c r="I1226" s="6" t="s">
        <v>4762</v>
      </c>
      <c r="J1226" s="14"/>
      <c r="K1226" s="6"/>
      <c r="L1226" s="41" t="s">
        <v>2065</v>
      </c>
    </row>
    <row r="1227" customFormat="false" ht="15" hidden="false" customHeight="false" outlineLevel="0" collapsed="false">
      <c r="A1227" s="14" t="s">
        <v>4773</v>
      </c>
      <c r="B1227" s="14" t="s">
        <v>4771</v>
      </c>
      <c r="C1227" s="14" t="s">
        <v>4670</v>
      </c>
      <c r="D1227" s="28" t="s">
        <v>4772</v>
      </c>
      <c r="E1227" s="14" t="s">
        <v>97</v>
      </c>
      <c r="F1227" s="31" t="n">
        <f aca="false">Project_Tasks!M29</f>
        <v>4</v>
      </c>
      <c r="G1227" s="14" t="str">
        <f aca="false">Project_Tasks!B29</f>
        <v>P1</v>
      </c>
      <c r="H1227" s="14" t="s">
        <v>143</v>
      </c>
      <c r="I1227" s="6" t="s">
        <v>4762</v>
      </c>
      <c r="J1227" s="14"/>
      <c r="K1227" s="6"/>
      <c r="L1227" s="41" t="s">
        <v>2065</v>
      </c>
    </row>
    <row r="1228" customFormat="false" ht="15" hidden="false" customHeight="false" outlineLevel="0" collapsed="false">
      <c r="A1228" s="14" t="s">
        <v>4774</v>
      </c>
      <c r="B1228" s="14" t="s">
        <v>4775</v>
      </c>
      <c r="C1228" s="14" t="s">
        <v>4670</v>
      </c>
      <c r="D1228" s="28" t="s">
        <v>4776</v>
      </c>
      <c r="E1228" s="14" t="s">
        <v>2068</v>
      </c>
      <c r="F1228" s="31" t="n">
        <f aca="false">Project_Tasks!J30</f>
        <v>3</v>
      </c>
      <c r="G1228" s="14" t="str">
        <f aca="false">Project_Tasks!B30</f>
        <v>P1</v>
      </c>
      <c r="H1228" s="14" t="s">
        <v>143</v>
      </c>
      <c r="I1228" s="6" t="s">
        <v>4777</v>
      </c>
      <c r="J1228" s="14"/>
      <c r="K1228" s="6"/>
      <c r="L1228" s="41" t="s">
        <v>2065</v>
      </c>
    </row>
    <row r="1229" customFormat="false" ht="15" hidden="false" customHeight="false" outlineLevel="0" collapsed="false">
      <c r="A1229" s="14" t="s">
        <v>4778</v>
      </c>
      <c r="B1229" s="14" t="s">
        <v>4775</v>
      </c>
      <c r="C1229" s="14" t="s">
        <v>4670</v>
      </c>
      <c r="D1229" s="28" t="s">
        <v>4776</v>
      </c>
      <c r="E1229" s="14" t="s">
        <v>2071</v>
      </c>
      <c r="F1229" s="31" t="n">
        <f aca="false">Project_Tasks!K30</f>
        <v>3</v>
      </c>
      <c r="G1229" s="14" t="str">
        <f aca="false">Project_Tasks!B30</f>
        <v>P1</v>
      </c>
      <c r="H1229" s="14" t="s">
        <v>143</v>
      </c>
      <c r="I1229" s="6" t="s">
        <v>4777</v>
      </c>
      <c r="J1229" s="14"/>
      <c r="K1229" s="6"/>
      <c r="L1229" s="41" t="s">
        <v>2065</v>
      </c>
    </row>
    <row r="1230" customFormat="false" ht="15" hidden="false" customHeight="false" outlineLevel="0" collapsed="false">
      <c r="A1230" s="14" t="s">
        <v>4779</v>
      </c>
      <c r="B1230" s="14" t="s">
        <v>4775</v>
      </c>
      <c r="C1230" s="14" t="s">
        <v>4670</v>
      </c>
      <c r="D1230" s="28" t="s">
        <v>4776</v>
      </c>
      <c r="E1230" s="14" t="s">
        <v>96</v>
      </c>
      <c r="F1230" s="31" t="n">
        <f aca="false">Project_Tasks!L30</f>
        <v>12</v>
      </c>
      <c r="G1230" s="14" t="str">
        <f aca="false">Project_Tasks!B30</f>
        <v>P1</v>
      </c>
      <c r="H1230" s="14" t="s">
        <v>143</v>
      </c>
      <c r="I1230" s="6" t="s">
        <v>4777</v>
      </c>
      <c r="J1230" s="14"/>
      <c r="K1230" s="6"/>
      <c r="L1230" s="41" t="s">
        <v>2065</v>
      </c>
    </row>
    <row r="1231" customFormat="false" ht="15" hidden="false" customHeight="false" outlineLevel="0" collapsed="false">
      <c r="A1231" s="14" t="s">
        <v>4780</v>
      </c>
      <c r="B1231" s="14" t="s">
        <v>4781</v>
      </c>
      <c r="C1231" s="14" t="s">
        <v>4670</v>
      </c>
      <c r="D1231" s="28" t="s">
        <v>4782</v>
      </c>
      <c r="E1231" s="14" t="s">
        <v>2068</v>
      </c>
      <c r="F1231" s="31" t="n">
        <f aca="false">Project_Tasks!J31</f>
        <v>3</v>
      </c>
      <c r="G1231" s="14" t="str">
        <f aca="false">Project_Tasks!B31</f>
        <v>P1</v>
      </c>
      <c r="H1231" s="14" t="s">
        <v>143</v>
      </c>
      <c r="I1231" s="6" t="s">
        <v>4775</v>
      </c>
      <c r="J1231" s="14"/>
      <c r="K1231" s="6"/>
      <c r="L1231" s="41" t="s">
        <v>2065</v>
      </c>
    </row>
    <row r="1232" customFormat="false" ht="15" hidden="false" customHeight="false" outlineLevel="0" collapsed="false">
      <c r="A1232" s="14" t="s">
        <v>4783</v>
      </c>
      <c r="B1232" s="14" t="s">
        <v>4781</v>
      </c>
      <c r="C1232" s="14" t="s">
        <v>4670</v>
      </c>
      <c r="D1232" s="28" t="s">
        <v>4782</v>
      </c>
      <c r="E1232" s="14" t="s">
        <v>96</v>
      </c>
      <c r="F1232" s="31" t="n">
        <f aca="false">Project_Tasks!L31</f>
        <v>5</v>
      </c>
      <c r="G1232" s="14" t="str">
        <f aca="false">Project_Tasks!B31</f>
        <v>P1</v>
      </c>
      <c r="H1232" s="14" t="s">
        <v>143</v>
      </c>
      <c r="I1232" s="6" t="s">
        <v>4775</v>
      </c>
      <c r="J1232" s="14"/>
      <c r="K1232" s="6"/>
      <c r="L1232" s="41" t="s">
        <v>2065</v>
      </c>
    </row>
    <row r="1233" customFormat="false" ht="15" hidden="false" customHeight="false" outlineLevel="0" collapsed="false">
      <c r="A1233" s="14" t="s">
        <v>4784</v>
      </c>
      <c r="B1233" s="14" t="s">
        <v>4781</v>
      </c>
      <c r="C1233" s="14" t="s">
        <v>4670</v>
      </c>
      <c r="D1233" s="28" t="s">
        <v>4782</v>
      </c>
      <c r="E1233" s="14" t="s">
        <v>97</v>
      </c>
      <c r="F1233" s="31" t="n">
        <f aca="false">Project_Tasks!M31</f>
        <v>2</v>
      </c>
      <c r="G1233" s="14" t="str">
        <f aca="false">Project_Tasks!B31</f>
        <v>P1</v>
      </c>
      <c r="H1233" s="14" t="s">
        <v>143</v>
      </c>
      <c r="I1233" s="6" t="s">
        <v>4775</v>
      </c>
      <c r="J1233" s="14"/>
      <c r="K1233" s="6"/>
      <c r="L1233" s="41" t="s">
        <v>2065</v>
      </c>
    </row>
    <row r="1234" customFormat="false" ht="15" hidden="false" customHeight="false" outlineLevel="0" collapsed="false">
      <c r="A1234" s="14" t="s">
        <v>4785</v>
      </c>
      <c r="B1234" s="14" t="s">
        <v>4786</v>
      </c>
      <c r="C1234" s="14" t="s">
        <v>4670</v>
      </c>
      <c r="D1234" s="28" t="s">
        <v>4787</v>
      </c>
      <c r="E1234" s="14" t="s">
        <v>2068</v>
      </c>
      <c r="F1234" s="31" t="n">
        <f aca="false">Project_Tasks!J32</f>
        <v>5</v>
      </c>
      <c r="G1234" s="14" t="str">
        <f aca="false">Project_Tasks!B32</f>
        <v>P1</v>
      </c>
      <c r="H1234" s="14" t="s">
        <v>143</v>
      </c>
      <c r="I1234" s="6" t="s">
        <v>4775</v>
      </c>
      <c r="J1234" s="14"/>
      <c r="K1234" s="6"/>
      <c r="L1234" s="41" t="s">
        <v>2065</v>
      </c>
    </row>
    <row r="1235" customFormat="false" ht="15" hidden="false" customHeight="false" outlineLevel="0" collapsed="false">
      <c r="A1235" s="14" t="s">
        <v>4788</v>
      </c>
      <c r="B1235" s="14" t="s">
        <v>4786</v>
      </c>
      <c r="C1235" s="14" t="s">
        <v>4670</v>
      </c>
      <c r="D1235" s="28" t="s">
        <v>4787</v>
      </c>
      <c r="E1235" s="14" t="s">
        <v>2071</v>
      </c>
      <c r="F1235" s="31" t="n">
        <f aca="false">Project_Tasks!K32</f>
        <v>2</v>
      </c>
      <c r="G1235" s="14" t="str">
        <f aca="false">Project_Tasks!B32</f>
        <v>P1</v>
      </c>
      <c r="H1235" s="14" t="s">
        <v>143</v>
      </c>
      <c r="I1235" s="6" t="s">
        <v>4775</v>
      </c>
      <c r="J1235" s="14"/>
      <c r="K1235" s="6"/>
      <c r="L1235" s="41" t="s">
        <v>2065</v>
      </c>
    </row>
    <row r="1236" customFormat="false" ht="15" hidden="false" customHeight="false" outlineLevel="0" collapsed="false">
      <c r="A1236" s="14" t="s">
        <v>4789</v>
      </c>
      <c r="B1236" s="14" t="s">
        <v>4786</v>
      </c>
      <c r="C1236" s="14" t="s">
        <v>4670</v>
      </c>
      <c r="D1236" s="28" t="s">
        <v>4787</v>
      </c>
      <c r="E1236" s="14" t="s">
        <v>96</v>
      </c>
      <c r="F1236" s="31" t="n">
        <f aca="false">Project_Tasks!L32</f>
        <v>4</v>
      </c>
      <c r="G1236" s="14" t="str">
        <f aca="false">Project_Tasks!B32</f>
        <v>P1</v>
      </c>
      <c r="H1236" s="14" t="s">
        <v>143</v>
      </c>
      <c r="I1236" s="6" t="s">
        <v>4775</v>
      </c>
      <c r="J1236" s="14"/>
      <c r="K1236" s="6"/>
      <c r="L1236" s="41" t="s">
        <v>2065</v>
      </c>
    </row>
    <row r="1237" customFormat="false" ht="15" hidden="false" customHeight="false" outlineLevel="0" collapsed="false">
      <c r="A1237" s="14" t="s">
        <v>4790</v>
      </c>
      <c r="B1237" s="14" t="s">
        <v>4791</v>
      </c>
      <c r="C1237" s="14" t="s">
        <v>4670</v>
      </c>
      <c r="D1237" s="28" t="s">
        <v>4792</v>
      </c>
      <c r="E1237" s="14" t="s">
        <v>89</v>
      </c>
      <c r="F1237" s="31" t="n">
        <f aca="false">Project_Tasks!G33</f>
        <v>1</v>
      </c>
      <c r="G1237" s="14" t="str">
        <f aca="false">Project_Tasks!B33</f>
        <v>P1</v>
      </c>
      <c r="H1237" s="14" t="s">
        <v>143</v>
      </c>
      <c r="I1237" s="6" t="s">
        <v>4786</v>
      </c>
      <c r="J1237" s="14"/>
      <c r="K1237" s="6"/>
      <c r="L1237" s="41" t="s">
        <v>2065</v>
      </c>
    </row>
    <row r="1238" customFormat="false" ht="15" hidden="false" customHeight="false" outlineLevel="0" collapsed="false">
      <c r="A1238" s="14" t="s">
        <v>4793</v>
      </c>
      <c r="B1238" s="14" t="s">
        <v>4791</v>
      </c>
      <c r="C1238" s="14" t="s">
        <v>4670</v>
      </c>
      <c r="D1238" s="28" t="s">
        <v>4792</v>
      </c>
      <c r="E1238" s="14" t="s">
        <v>2068</v>
      </c>
      <c r="F1238" s="31" t="n">
        <f aca="false">Project_Tasks!J33</f>
        <v>5</v>
      </c>
      <c r="G1238" s="14" t="str">
        <f aca="false">Project_Tasks!B33</f>
        <v>P1</v>
      </c>
      <c r="H1238" s="14" t="s">
        <v>143</v>
      </c>
      <c r="I1238" s="6" t="s">
        <v>4786</v>
      </c>
      <c r="J1238" s="14"/>
      <c r="K1238" s="6"/>
      <c r="L1238" s="41" t="s">
        <v>2065</v>
      </c>
    </row>
    <row r="1239" customFormat="false" ht="15" hidden="false" customHeight="false" outlineLevel="0" collapsed="false">
      <c r="A1239" s="14" t="s">
        <v>4794</v>
      </c>
      <c r="B1239" s="14" t="s">
        <v>4791</v>
      </c>
      <c r="C1239" s="14" t="s">
        <v>4670</v>
      </c>
      <c r="D1239" s="28" t="s">
        <v>4792</v>
      </c>
      <c r="E1239" s="14" t="s">
        <v>2071</v>
      </c>
      <c r="F1239" s="31" t="n">
        <f aca="false">Project_Tasks!K33</f>
        <v>2</v>
      </c>
      <c r="G1239" s="14" t="str">
        <f aca="false">Project_Tasks!B33</f>
        <v>P1</v>
      </c>
      <c r="H1239" s="14" t="s">
        <v>143</v>
      </c>
      <c r="I1239" s="6" t="s">
        <v>4786</v>
      </c>
      <c r="J1239" s="14"/>
      <c r="K1239" s="6"/>
      <c r="L1239" s="41" t="s">
        <v>2065</v>
      </c>
    </row>
    <row r="1240" customFormat="false" ht="15" hidden="false" customHeight="false" outlineLevel="0" collapsed="false">
      <c r="A1240" s="14" t="s">
        <v>4795</v>
      </c>
      <c r="B1240" s="14" t="s">
        <v>4796</v>
      </c>
      <c r="C1240" s="14" t="s">
        <v>4670</v>
      </c>
      <c r="D1240" s="28" t="s">
        <v>4797</v>
      </c>
      <c r="E1240" s="14" t="s">
        <v>89</v>
      </c>
      <c r="F1240" s="31" t="n">
        <f aca="false">Project_Tasks!G34</f>
        <v>5</v>
      </c>
      <c r="G1240" s="14" t="str">
        <f aca="false">Project_Tasks!B34</f>
        <v>P1</v>
      </c>
      <c r="H1240" s="14" t="s">
        <v>143</v>
      </c>
      <c r="I1240" s="6" t="s">
        <v>4775</v>
      </c>
      <c r="J1240" s="14"/>
      <c r="K1240" s="6"/>
      <c r="L1240" s="41" t="s">
        <v>2065</v>
      </c>
    </row>
    <row r="1241" customFormat="false" ht="15" hidden="false" customHeight="false" outlineLevel="0" collapsed="false">
      <c r="A1241" s="14" t="s">
        <v>4798</v>
      </c>
      <c r="B1241" s="14" t="s">
        <v>4796</v>
      </c>
      <c r="C1241" s="14" t="s">
        <v>4670</v>
      </c>
      <c r="D1241" s="28" t="s">
        <v>4797</v>
      </c>
      <c r="E1241" s="14" t="s">
        <v>91</v>
      </c>
      <c r="F1241" s="31" t="n">
        <f aca="false">Project_Tasks!H34</f>
        <v>3</v>
      </c>
      <c r="G1241" s="14" t="str">
        <f aca="false">Project_Tasks!B34</f>
        <v>P1</v>
      </c>
      <c r="H1241" s="14" t="s">
        <v>143</v>
      </c>
      <c r="I1241" s="6" t="s">
        <v>4775</v>
      </c>
      <c r="J1241" s="14"/>
      <c r="K1241" s="6"/>
      <c r="L1241" s="41" t="s">
        <v>2065</v>
      </c>
    </row>
    <row r="1242" customFormat="false" ht="15" hidden="false" customHeight="false" outlineLevel="0" collapsed="false">
      <c r="A1242" s="14" t="s">
        <v>4799</v>
      </c>
      <c r="B1242" s="14" t="s">
        <v>4796</v>
      </c>
      <c r="C1242" s="14" t="s">
        <v>4670</v>
      </c>
      <c r="D1242" s="28" t="s">
        <v>4797</v>
      </c>
      <c r="E1242" s="14" t="s">
        <v>2068</v>
      </c>
      <c r="F1242" s="31" t="n">
        <f aca="false">Project_Tasks!J34</f>
        <v>3</v>
      </c>
      <c r="G1242" s="14" t="str">
        <f aca="false">Project_Tasks!B34</f>
        <v>P1</v>
      </c>
      <c r="H1242" s="14" t="s">
        <v>143</v>
      </c>
      <c r="I1242" s="6" t="s">
        <v>4775</v>
      </c>
      <c r="J1242" s="14"/>
      <c r="K1242" s="6"/>
      <c r="L1242" s="41" t="s">
        <v>2065</v>
      </c>
    </row>
    <row r="1243" customFormat="false" ht="15" hidden="false" customHeight="false" outlineLevel="0" collapsed="false">
      <c r="A1243" s="14" t="s">
        <v>4800</v>
      </c>
      <c r="B1243" s="14" t="s">
        <v>4796</v>
      </c>
      <c r="C1243" s="14" t="s">
        <v>4670</v>
      </c>
      <c r="D1243" s="28" t="s">
        <v>4797</v>
      </c>
      <c r="E1243" s="14" t="s">
        <v>2071</v>
      </c>
      <c r="F1243" s="31" t="n">
        <f aca="false">Project_Tasks!K34</f>
        <v>3</v>
      </c>
      <c r="G1243" s="14" t="str">
        <f aca="false">Project_Tasks!B34</f>
        <v>P1</v>
      </c>
      <c r="H1243" s="14" t="s">
        <v>143</v>
      </c>
      <c r="I1243" s="6" t="s">
        <v>4775</v>
      </c>
      <c r="J1243" s="14"/>
      <c r="K1243" s="6"/>
      <c r="L1243" s="41" t="s">
        <v>2065</v>
      </c>
    </row>
    <row r="1244" customFormat="false" ht="15" hidden="false" customHeight="false" outlineLevel="0" collapsed="false">
      <c r="A1244" s="14" t="s">
        <v>4801</v>
      </c>
      <c r="B1244" s="14" t="s">
        <v>4796</v>
      </c>
      <c r="C1244" s="14" t="s">
        <v>4670</v>
      </c>
      <c r="D1244" s="28" t="s">
        <v>4797</v>
      </c>
      <c r="E1244" s="14" t="s">
        <v>96</v>
      </c>
      <c r="F1244" s="31" t="n">
        <f aca="false">Project_Tasks!L34</f>
        <v>6</v>
      </c>
      <c r="G1244" s="14" t="str">
        <f aca="false">Project_Tasks!B34</f>
        <v>P1</v>
      </c>
      <c r="H1244" s="14" t="s">
        <v>143</v>
      </c>
      <c r="I1244" s="6" t="s">
        <v>4775</v>
      </c>
      <c r="J1244" s="14"/>
      <c r="K1244" s="6"/>
      <c r="L1244" s="41" t="s">
        <v>2065</v>
      </c>
    </row>
    <row r="1245" customFormat="false" ht="15" hidden="false" customHeight="false" outlineLevel="0" collapsed="false">
      <c r="A1245" s="14" t="s">
        <v>4802</v>
      </c>
      <c r="B1245" s="14" t="s">
        <v>4803</v>
      </c>
      <c r="C1245" s="14" t="s">
        <v>4670</v>
      </c>
      <c r="D1245" s="28" t="s">
        <v>4804</v>
      </c>
      <c r="E1245" s="14" t="s">
        <v>91</v>
      </c>
      <c r="F1245" s="31" t="n">
        <f aca="false">Project_Tasks!H35</f>
        <v>2</v>
      </c>
      <c r="G1245" s="14" t="str">
        <f aca="false">Project_Tasks!B35</f>
        <v>P1</v>
      </c>
      <c r="H1245" s="14" t="s">
        <v>143</v>
      </c>
      <c r="I1245" s="6" t="s">
        <v>4796</v>
      </c>
      <c r="J1245" s="14"/>
      <c r="K1245" s="6"/>
      <c r="L1245" s="41" t="s">
        <v>2065</v>
      </c>
    </row>
    <row r="1246" customFormat="false" ht="15" hidden="false" customHeight="false" outlineLevel="0" collapsed="false">
      <c r="A1246" s="14" t="s">
        <v>4805</v>
      </c>
      <c r="B1246" s="14" t="s">
        <v>4803</v>
      </c>
      <c r="C1246" s="14" t="s">
        <v>4670</v>
      </c>
      <c r="D1246" s="28" t="s">
        <v>4804</v>
      </c>
      <c r="E1246" s="14" t="s">
        <v>2068</v>
      </c>
      <c r="F1246" s="31" t="n">
        <f aca="false">Project_Tasks!J35</f>
        <v>5</v>
      </c>
      <c r="G1246" s="14" t="str">
        <f aca="false">Project_Tasks!B35</f>
        <v>P1</v>
      </c>
      <c r="H1246" s="14" t="s">
        <v>143</v>
      </c>
      <c r="I1246" s="6" t="s">
        <v>4796</v>
      </c>
      <c r="J1246" s="14"/>
      <c r="K1246" s="6"/>
      <c r="L1246" s="41" t="s">
        <v>2065</v>
      </c>
    </row>
    <row r="1247" customFormat="false" ht="15" hidden="false" customHeight="false" outlineLevel="0" collapsed="false">
      <c r="A1247" s="14" t="s">
        <v>4806</v>
      </c>
      <c r="B1247" s="14" t="s">
        <v>4803</v>
      </c>
      <c r="C1247" s="14" t="s">
        <v>4670</v>
      </c>
      <c r="D1247" s="28" t="s">
        <v>4804</v>
      </c>
      <c r="E1247" s="14" t="s">
        <v>96</v>
      </c>
      <c r="F1247" s="31" t="n">
        <f aca="false">Project_Tasks!L35</f>
        <v>3</v>
      </c>
      <c r="G1247" s="14" t="str">
        <f aca="false">Project_Tasks!B35</f>
        <v>P1</v>
      </c>
      <c r="H1247" s="14" t="s">
        <v>143</v>
      </c>
      <c r="I1247" s="6" t="s">
        <v>4796</v>
      </c>
      <c r="J1247" s="14"/>
      <c r="K1247" s="6"/>
      <c r="L1247" s="41" t="s">
        <v>2065</v>
      </c>
    </row>
    <row r="1248" customFormat="false" ht="15" hidden="false" customHeight="false" outlineLevel="0" collapsed="false">
      <c r="A1248" s="14" t="s">
        <v>4807</v>
      </c>
      <c r="B1248" s="14" t="s">
        <v>4808</v>
      </c>
      <c r="C1248" s="14" t="s">
        <v>4670</v>
      </c>
      <c r="D1248" s="28" t="s">
        <v>4809</v>
      </c>
      <c r="E1248" s="14" t="s">
        <v>91</v>
      </c>
      <c r="F1248" s="31" t="n">
        <f aca="false">Project_Tasks!H36</f>
        <v>2</v>
      </c>
      <c r="G1248" s="14" t="str">
        <f aca="false">Project_Tasks!B36</f>
        <v>P1</v>
      </c>
      <c r="H1248" s="14" t="s">
        <v>143</v>
      </c>
      <c r="I1248" s="6" t="s">
        <v>4796</v>
      </c>
      <c r="J1248" s="14"/>
      <c r="K1248" s="6"/>
      <c r="L1248" s="41" t="s">
        <v>2065</v>
      </c>
    </row>
    <row r="1249" customFormat="false" ht="15" hidden="false" customHeight="false" outlineLevel="0" collapsed="false">
      <c r="A1249" s="14" t="s">
        <v>4810</v>
      </c>
      <c r="B1249" s="14" t="s">
        <v>4808</v>
      </c>
      <c r="C1249" s="14" t="s">
        <v>4670</v>
      </c>
      <c r="D1249" s="28" t="s">
        <v>4809</v>
      </c>
      <c r="E1249" s="14" t="s">
        <v>4811</v>
      </c>
      <c r="F1249" s="31" t="n">
        <f aca="false">Project_Tasks!O36</f>
        <v>10</v>
      </c>
      <c r="G1249" s="14" t="str">
        <f aca="false">Project_Tasks!B36</f>
        <v>P1</v>
      </c>
      <c r="H1249" s="14" t="s">
        <v>143</v>
      </c>
      <c r="I1249" s="6" t="s">
        <v>4796</v>
      </c>
      <c r="J1249" s="14"/>
      <c r="K1249" s="6"/>
      <c r="L1249" s="41" t="s">
        <v>2065</v>
      </c>
    </row>
    <row r="1250" customFormat="false" ht="15" hidden="false" customHeight="false" outlineLevel="0" collapsed="false">
      <c r="A1250" s="14" t="s">
        <v>4812</v>
      </c>
      <c r="B1250" s="14" t="s">
        <v>4813</v>
      </c>
      <c r="C1250" s="14" t="s">
        <v>4670</v>
      </c>
      <c r="D1250" s="28" t="s">
        <v>4814</v>
      </c>
      <c r="E1250" s="14" t="s">
        <v>2068</v>
      </c>
      <c r="F1250" s="31" t="n">
        <f aca="false">Project_Tasks!J37</f>
        <v>3</v>
      </c>
      <c r="G1250" s="14" t="str">
        <f aca="false">Project_Tasks!B37</f>
        <v>P1</v>
      </c>
      <c r="H1250" s="14" t="s">
        <v>143</v>
      </c>
      <c r="I1250" s="6" t="s">
        <v>602</v>
      </c>
      <c r="J1250" s="14"/>
      <c r="K1250" s="6"/>
      <c r="L1250" s="41" t="s">
        <v>2065</v>
      </c>
    </row>
    <row r="1251" customFormat="false" ht="15" hidden="false" customHeight="false" outlineLevel="0" collapsed="false">
      <c r="A1251" s="14" t="s">
        <v>4815</v>
      </c>
      <c r="B1251" s="14" t="s">
        <v>4813</v>
      </c>
      <c r="C1251" s="14" t="s">
        <v>4670</v>
      </c>
      <c r="D1251" s="28" t="s">
        <v>4814</v>
      </c>
      <c r="E1251" s="14" t="s">
        <v>2071</v>
      </c>
      <c r="F1251" s="31" t="n">
        <f aca="false">Project_Tasks!K37</f>
        <v>2</v>
      </c>
      <c r="G1251" s="14" t="str">
        <f aca="false">Project_Tasks!B37</f>
        <v>P1</v>
      </c>
      <c r="H1251" s="14" t="s">
        <v>143</v>
      </c>
      <c r="I1251" s="6" t="s">
        <v>602</v>
      </c>
      <c r="J1251" s="14"/>
      <c r="K1251" s="6"/>
      <c r="L1251" s="41" t="s">
        <v>2065</v>
      </c>
    </row>
    <row r="1252" customFormat="false" ht="15" hidden="false" customHeight="false" outlineLevel="0" collapsed="false">
      <c r="A1252" s="14" t="s">
        <v>4816</v>
      </c>
      <c r="B1252" s="14" t="s">
        <v>4817</v>
      </c>
      <c r="C1252" s="14" t="s">
        <v>4670</v>
      </c>
      <c r="D1252" s="28" t="s">
        <v>4818</v>
      </c>
      <c r="E1252" s="14" t="s">
        <v>89</v>
      </c>
      <c r="F1252" s="31" t="n">
        <f aca="false">Project_Tasks!G38</f>
        <v>2</v>
      </c>
      <c r="G1252" s="14" t="str">
        <f aca="false">Project_Tasks!B38</f>
        <v>P1</v>
      </c>
      <c r="H1252" s="14" t="s">
        <v>143</v>
      </c>
      <c r="I1252" s="6" t="s">
        <v>4808</v>
      </c>
      <c r="J1252" s="14"/>
      <c r="K1252" s="6"/>
      <c r="L1252" s="41" t="s">
        <v>2065</v>
      </c>
    </row>
    <row r="1253" customFormat="false" ht="15" hidden="false" customHeight="false" outlineLevel="0" collapsed="false">
      <c r="A1253" s="14" t="s">
        <v>4819</v>
      </c>
      <c r="B1253" s="14" t="s">
        <v>4817</v>
      </c>
      <c r="C1253" s="14" t="s">
        <v>4670</v>
      </c>
      <c r="D1253" s="28" t="s">
        <v>4818</v>
      </c>
      <c r="E1253" s="14" t="s">
        <v>91</v>
      </c>
      <c r="F1253" s="31" t="n">
        <f aca="false">Project_Tasks!H38</f>
        <v>3</v>
      </c>
      <c r="G1253" s="14" t="str">
        <f aca="false">Project_Tasks!B38</f>
        <v>P1</v>
      </c>
      <c r="H1253" s="14" t="s">
        <v>143</v>
      </c>
      <c r="I1253" s="6" t="s">
        <v>4808</v>
      </c>
      <c r="J1253" s="14"/>
      <c r="K1253" s="6"/>
      <c r="L1253" s="41" t="s">
        <v>2065</v>
      </c>
    </row>
    <row r="1254" customFormat="false" ht="15" hidden="false" customHeight="false" outlineLevel="0" collapsed="false">
      <c r="A1254" s="14" t="s">
        <v>4820</v>
      </c>
      <c r="B1254" s="14" t="s">
        <v>4821</v>
      </c>
      <c r="C1254" s="14" t="s">
        <v>4670</v>
      </c>
      <c r="D1254" s="28" t="s">
        <v>4822</v>
      </c>
      <c r="E1254" s="14" t="s">
        <v>4699</v>
      </c>
      <c r="F1254" s="31" t="n">
        <f aca="false">Project_Tasks!N39</f>
        <v>3</v>
      </c>
      <c r="G1254" s="14" t="str">
        <f aca="false">Project_Tasks!B39</f>
        <v>P1</v>
      </c>
      <c r="H1254" s="14" t="s">
        <v>143</v>
      </c>
      <c r="I1254" s="6" t="s">
        <v>4796</v>
      </c>
      <c r="J1254" s="14"/>
      <c r="K1254" s="6"/>
      <c r="L1254" s="41" t="s">
        <v>2065</v>
      </c>
    </row>
    <row r="1255" customFormat="false" ht="15" hidden="false" customHeight="false" outlineLevel="0" collapsed="false">
      <c r="A1255" s="14" t="s">
        <v>4823</v>
      </c>
      <c r="B1255" s="14" t="s">
        <v>4824</v>
      </c>
      <c r="C1255" s="14" t="s">
        <v>4670</v>
      </c>
      <c r="D1255" s="28" t="s">
        <v>4825</v>
      </c>
      <c r="E1255" s="14" t="s">
        <v>91</v>
      </c>
      <c r="F1255" s="31" t="n">
        <f aca="false">Project_Tasks!H40</f>
        <v>2</v>
      </c>
      <c r="G1255" s="14" t="str">
        <f aca="false">Project_Tasks!B40</f>
        <v>P1</v>
      </c>
      <c r="H1255" s="14" t="s">
        <v>143</v>
      </c>
      <c r="I1255" s="6" t="s">
        <v>4706</v>
      </c>
      <c r="J1255" s="14"/>
      <c r="K1255" s="6"/>
      <c r="L1255" s="41" t="s">
        <v>2065</v>
      </c>
    </row>
    <row r="1256" customFormat="false" ht="15" hidden="false" customHeight="false" outlineLevel="0" collapsed="false">
      <c r="A1256" s="14" t="s">
        <v>4826</v>
      </c>
      <c r="B1256" s="14" t="s">
        <v>4824</v>
      </c>
      <c r="C1256" s="14" t="s">
        <v>4670</v>
      </c>
      <c r="D1256" s="28" t="s">
        <v>4825</v>
      </c>
      <c r="E1256" s="14" t="s">
        <v>97</v>
      </c>
      <c r="F1256" s="31" t="n">
        <f aca="false">Project_Tasks!M40</f>
        <v>1</v>
      </c>
      <c r="G1256" s="14" t="str">
        <f aca="false">Project_Tasks!B40</f>
        <v>P1</v>
      </c>
      <c r="H1256" s="14" t="s">
        <v>143</v>
      </c>
      <c r="I1256" s="6" t="s">
        <v>4706</v>
      </c>
      <c r="J1256" s="14"/>
      <c r="K1256" s="6"/>
      <c r="L1256" s="41" t="s">
        <v>2065</v>
      </c>
    </row>
    <row r="1257" customFormat="false" ht="15" hidden="false" customHeight="false" outlineLevel="0" collapsed="false">
      <c r="A1257" s="14" t="s">
        <v>4827</v>
      </c>
      <c r="B1257" s="14" t="s">
        <v>4824</v>
      </c>
      <c r="C1257" s="14" t="s">
        <v>4670</v>
      </c>
      <c r="D1257" s="28" t="s">
        <v>4825</v>
      </c>
      <c r="E1257" s="14" t="s">
        <v>4699</v>
      </c>
      <c r="F1257" s="31" t="n">
        <f aca="false">Project_Tasks!N40</f>
        <v>5</v>
      </c>
      <c r="G1257" s="14" t="str">
        <f aca="false">Project_Tasks!B40</f>
        <v>P1</v>
      </c>
      <c r="H1257" s="14" t="s">
        <v>143</v>
      </c>
      <c r="I1257" s="6" t="s">
        <v>4706</v>
      </c>
      <c r="J1257" s="14"/>
      <c r="K1257" s="6"/>
      <c r="L1257" s="41" t="s">
        <v>2065</v>
      </c>
    </row>
    <row r="1258" customFormat="false" ht="15" hidden="false" customHeight="false" outlineLevel="0" collapsed="false">
      <c r="A1258" s="14" t="s">
        <v>4828</v>
      </c>
      <c r="B1258" s="14" t="s">
        <v>4829</v>
      </c>
      <c r="C1258" s="14" t="s">
        <v>4670</v>
      </c>
      <c r="D1258" s="28" t="s">
        <v>4830</v>
      </c>
      <c r="E1258" s="14" t="s">
        <v>89</v>
      </c>
      <c r="F1258" s="31" t="n">
        <f aca="false">Project_Tasks!G41</f>
        <v>3</v>
      </c>
      <c r="G1258" s="14" t="str">
        <f aca="false">Project_Tasks!B41</f>
        <v>P1</v>
      </c>
      <c r="H1258" s="14" t="s">
        <v>143</v>
      </c>
      <c r="I1258" s="6" t="s">
        <v>4796</v>
      </c>
      <c r="J1258" s="14"/>
      <c r="K1258" s="6"/>
      <c r="L1258" s="41" t="s">
        <v>2065</v>
      </c>
    </row>
    <row r="1259" customFormat="false" ht="15" hidden="false" customHeight="false" outlineLevel="0" collapsed="false">
      <c r="A1259" s="14" t="s">
        <v>4831</v>
      </c>
      <c r="B1259" s="14" t="s">
        <v>4829</v>
      </c>
      <c r="C1259" s="14" t="s">
        <v>4670</v>
      </c>
      <c r="D1259" s="28" t="s">
        <v>4830</v>
      </c>
      <c r="E1259" s="14" t="s">
        <v>2068</v>
      </c>
      <c r="F1259" s="31" t="n">
        <f aca="false">Project_Tasks!J41</f>
        <v>1</v>
      </c>
      <c r="G1259" s="14" t="str">
        <f aca="false">Project_Tasks!B41</f>
        <v>P1</v>
      </c>
      <c r="H1259" s="14" t="s">
        <v>143</v>
      </c>
      <c r="I1259" s="6" t="s">
        <v>4796</v>
      </c>
      <c r="J1259" s="14"/>
      <c r="K1259" s="6"/>
      <c r="L1259" s="41" t="s">
        <v>2065</v>
      </c>
    </row>
    <row r="1260" customFormat="false" ht="15" hidden="false" customHeight="false" outlineLevel="0" collapsed="false">
      <c r="A1260" s="14" t="s">
        <v>4832</v>
      </c>
      <c r="B1260" s="14" t="s">
        <v>4829</v>
      </c>
      <c r="C1260" s="14" t="s">
        <v>4670</v>
      </c>
      <c r="D1260" s="28" t="s">
        <v>4830</v>
      </c>
      <c r="E1260" s="14" t="s">
        <v>97</v>
      </c>
      <c r="F1260" s="31" t="n">
        <f aca="false">Project_Tasks!M41</f>
        <v>3</v>
      </c>
      <c r="G1260" s="14" t="str">
        <f aca="false">Project_Tasks!B41</f>
        <v>P1</v>
      </c>
      <c r="H1260" s="14" t="s">
        <v>143</v>
      </c>
      <c r="I1260" s="6" t="s">
        <v>4796</v>
      </c>
      <c r="J1260" s="14"/>
      <c r="K1260" s="6"/>
      <c r="L1260" s="41" t="s">
        <v>2065</v>
      </c>
    </row>
    <row r="1261" customFormat="false" ht="15" hidden="false" customHeight="false" outlineLevel="0" collapsed="false">
      <c r="A1261" s="14" t="s">
        <v>4833</v>
      </c>
      <c r="B1261" s="14" t="s">
        <v>4834</v>
      </c>
      <c r="C1261" s="14" t="s">
        <v>4670</v>
      </c>
      <c r="D1261" s="28" t="s">
        <v>4835</v>
      </c>
      <c r="E1261" s="14" t="s">
        <v>89</v>
      </c>
      <c r="F1261" s="31" t="n">
        <f aca="false">Project_Tasks!G42</f>
        <v>5</v>
      </c>
      <c r="G1261" s="14" t="str">
        <f aca="false">Project_Tasks!B42</f>
        <v>P1</v>
      </c>
      <c r="H1261" s="14" t="s">
        <v>143</v>
      </c>
      <c r="I1261" s="6" t="s">
        <v>4829</v>
      </c>
      <c r="J1261" s="14"/>
      <c r="K1261" s="6"/>
      <c r="L1261" s="41" t="s">
        <v>2065</v>
      </c>
    </row>
    <row r="1262" customFormat="false" ht="15" hidden="false" customHeight="false" outlineLevel="0" collapsed="false">
      <c r="A1262" s="14" t="s">
        <v>4836</v>
      </c>
      <c r="B1262" s="14" t="s">
        <v>4834</v>
      </c>
      <c r="C1262" s="14" t="s">
        <v>4670</v>
      </c>
      <c r="D1262" s="28" t="s">
        <v>4835</v>
      </c>
      <c r="E1262" s="14" t="s">
        <v>2068</v>
      </c>
      <c r="F1262" s="31" t="n">
        <f aca="false">Project_Tasks!J42</f>
        <v>8</v>
      </c>
      <c r="G1262" s="14" t="str">
        <f aca="false">Project_Tasks!B42</f>
        <v>P1</v>
      </c>
      <c r="H1262" s="14" t="s">
        <v>143</v>
      </c>
      <c r="I1262" s="6" t="s">
        <v>4829</v>
      </c>
      <c r="J1262" s="14"/>
      <c r="K1262" s="6"/>
      <c r="L1262" s="41" t="s">
        <v>2065</v>
      </c>
    </row>
    <row r="1263" customFormat="false" ht="15" hidden="false" customHeight="false" outlineLevel="0" collapsed="false">
      <c r="A1263" s="14" t="s">
        <v>4837</v>
      </c>
      <c r="B1263" s="14" t="s">
        <v>4834</v>
      </c>
      <c r="C1263" s="14" t="s">
        <v>4670</v>
      </c>
      <c r="D1263" s="28" t="s">
        <v>4835</v>
      </c>
      <c r="E1263" s="14" t="s">
        <v>2071</v>
      </c>
      <c r="F1263" s="31" t="n">
        <f aca="false">Project_Tasks!K42</f>
        <v>5</v>
      </c>
      <c r="G1263" s="14" t="str">
        <f aca="false">Project_Tasks!B42</f>
        <v>P1</v>
      </c>
      <c r="H1263" s="14" t="s">
        <v>143</v>
      </c>
      <c r="I1263" s="6" t="s">
        <v>4829</v>
      </c>
      <c r="J1263" s="14"/>
      <c r="K1263" s="6"/>
      <c r="L1263" s="41" t="s">
        <v>2065</v>
      </c>
    </row>
    <row r="1264" customFormat="false" ht="15" hidden="false" customHeight="false" outlineLevel="0" collapsed="false">
      <c r="A1264" s="14" t="s">
        <v>4838</v>
      </c>
      <c r="B1264" s="14" t="s">
        <v>4834</v>
      </c>
      <c r="C1264" s="14" t="s">
        <v>4670</v>
      </c>
      <c r="D1264" s="28" t="s">
        <v>4835</v>
      </c>
      <c r="E1264" s="14" t="s">
        <v>96</v>
      </c>
      <c r="F1264" s="31" t="n">
        <f aca="false">Project_Tasks!L42</f>
        <v>4</v>
      </c>
      <c r="G1264" s="14" t="str">
        <f aca="false">Project_Tasks!B42</f>
        <v>P1</v>
      </c>
      <c r="H1264" s="14" t="s">
        <v>143</v>
      </c>
      <c r="I1264" s="6" t="s">
        <v>4829</v>
      </c>
      <c r="J1264" s="14"/>
      <c r="K1264" s="6"/>
      <c r="L1264" s="41" t="s">
        <v>2065</v>
      </c>
    </row>
    <row r="1265" customFormat="false" ht="15" hidden="false" customHeight="false" outlineLevel="0" collapsed="false">
      <c r="A1265" s="14" t="s">
        <v>4839</v>
      </c>
      <c r="B1265" s="14" t="s">
        <v>4840</v>
      </c>
      <c r="C1265" s="14" t="s">
        <v>4670</v>
      </c>
      <c r="D1265" s="28" t="s">
        <v>4841</v>
      </c>
      <c r="E1265" s="14" t="s">
        <v>4699</v>
      </c>
      <c r="F1265" s="31" t="n">
        <f aca="false">Project_Tasks!N43</f>
        <v>15</v>
      </c>
      <c r="G1265" s="14" t="str">
        <f aca="false">Project_Tasks!B43</f>
        <v>P2</v>
      </c>
      <c r="H1265" s="14" t="s">
        <v>143</v>
      </c>
      <c r="I1265" s="6" t="s">
        <v>4755</v>
      </c>
      <c r="J1265" s="14"/>
      <c r="K1265" s="6"/>
      <c r="L1265" s="41" t="s">
        <v>2065</v>
      </c>
    </row>
    <row r="1266" customFormat="false" ht="15" hidden="false" customHeight="false" outlineLevel="0" collapsed="false">
      <c r="A1266" s="14" t="s">
        <v>4842</v>
      </c>
      <c r="B1266" s="14" t="s">
        <v>1853</v>
      </c>
      <c r="C1266" s="14" t="s">
        <v>4670</v>
      </c>
      <c r="D1266" s="28" t="s">
        <v>4843</v>
      </c>
      <c r="E1266" s="14" t="s">
        <v>91</v>
      </c>
      <c r="F1266" s="31" t="n">
        <f aca="false">Project_Tasks!H44</f>
        <v>3</v>
      </c>
      <c r="G1266" s="14" t="str">
        <f aca="false">Project_Tasks!B44</f>
        <v>P2</v>
      </c>
      <c r="H1266" s="14" t="s">
        <v>143</v>
      </c>
      <c r="I1266" s="6" t="s">
        <v>4758</v>
      </c>
      <c r="J1266" s="14"/>
      <c r="K1266" s="6"/>
      <c r="L1266" s="41" t="s">
        <v>2065</v>
      </c>
    </row>
    <row r="1267" customFormat="false" ht="15" hidden="false" customHeight="false" outlineLevel="0" collapsed="false">
      <c r="A1267" s="14" t="s">
        <v>4844</v>
      </c>
      <c r="B1267" s="14" t="s">
        <v>1853</v>
      </c>
      <c r="C1267" s="14" t="s">
        <v>4670</v>
      </c>
      <c r="D1267" s="28" t="s">
        <v>4843</v>
      </c>
      <c r="E1267" s="14" t="s">
        <v>2068</v>
      </c>
      <c r="F1267" s="31" t="n">
        <f aca="false">Project_Tasks!J44</f>
        <v>1</v>
      </c>
      <c r="G1267" s="14" t="str">
        <f aca="false">Project_Tasks!B44</f>
        <v>P2</v>
      </c>
      <c r="H1267" s="14" t="s">
        <v>143</v>
      </c>
      <c r="I1267" s="6" t="s">
        <v>4758</v>
      </c>
      <c r="J1267" s="14"/>
      <c r="K1267" s="6"/>
      <c r="L1267" s="41" t="s">
        <v>2065</v>
      </c>
    </row>
    <row r="1268" customFormat="false" ht="15" hidden="false" customHeight="false" outlineLevel="0" collapsed="false">
      <c r="A1268" s="14" t="s">
        <v>4845</v>
      </c>
      <c r="B1268" s="14" t="s">
        <v>4846</v>
      </c>
      <c r="C1268" s="14" t="s">
        <v>4670</v>
      </c>
      <c r="D1268" s="28" t="s">
        <v>4847</v>
      </c>
      <c r="E1268" s="14" t="s">
        <v>89</v>
      </c>
      <c r="F1268" s="31" t="n">
        <f aca="false">Project_Tasks!G45</f>
        <v>4</v>
      </c>
      <c r="G1268" s="14" t="str">
        <f aca="false">Project_Tasks!B45</f>
        <v>P2</v>
      </c>
      <c r="H1268" s="14" t="s">
        <v>143</v>
      </c>
      <c r="I1268" s="6" t="s">
        <v>4848</v>
      </c>
      <c r="J1268" s="14"/>
      <c r="K1268" s="6"/>
      <c r="L1268" s="41" t="s">
        <v>2065</v>
      </c>
    </row>
    <row r="1269" customFormat="false" ht="15" hidden="false" customHeight="false" outlineLevel="0" collapsed="false">
      <c r="A1269" s="14" t="s">
        <v>4849</v>
      </c>
      <c r="B1269" s="14" t="s">
        <v>4846</v>
      </c>
      <c r="C1269" s="14" t="s">
        <v>4670</v>
      </c>
      <c r="D1269" s="28" t="s">
        <v>4847</v>
      </c>
      <c r="E1269" s="14" t="s">
        <v>91</v>
      </c>
      <c r="F1269" s="31" t="n">
        <f aca="false">Project_Tasks!H45</f>
        <v>2</v>
      </c>
      <c r="G1269" s="14" t="str">
        <f aca="false">Project_Tasks!B45</f>
        <v>P2</v>
      </c>
      <c r="H1269" s="14" t="s">
        <v>143</v>
      </c>
      <c r="I1269" s="6" t="s">
        <v>4848</v>
      </c>
      <c r="J1269" s="14"/>
      <c r="K1269" s="6"/>
      <c r="L1269" s="41" t="s">
        <v>2065</v>
      </c>
    </row>
    <row r="1270" customFormat="false" ht="15" hidden="false" customHeight="false" outlineLevel="0" collapsed="false">
      <c r="A1270" s="14" t="s">
        <v>4850</v>
      </c>
      <c r="B1270" s="14" t="s">
        <v>4846</v>
      </c>
      <c r="C1270" s="14" t="s">
        <v>4670</v>
      </c>
      <c r="D1270" s="28" t="s">
        <v>4847</v>
      </c>
      <c r="E1270" s="14" t="s">
        <v>2068</v>
      </c>
      <c r="F1270" s="31" t="n">
        <f aca="false">Project_Tasks!J45</f>
        <v>4</v>
      </c>
      <c r="G1270" s="14" t="str">
        <f aca="false">Project_Tasks!B45</f>
        <v>P2</v>
      </c>
      <c r="H1270" s="14" t="s">
        <v>143</v>
      </c>
      <c r="I1270" s="6" t="s">
        <v>4848</v>
      </c>
      <c r="J1270" s="14"/>
      <c r="K1270" s="6"/>
      <c r="L1270" s="41" t="s">
        <v>2065</v>
      </c>
    </row>
    <row r="1271" customFormat="false" ht="15" hidden="false" customHeight="false" outlineLevel="0" collapsed="false">
      <c r="A1271" s="14" t="s">
        <v>4851</v>
      </c>
      <c r="B1271" s="14" t="s">
        <v>4846</v>
      </c>
      <c r="C1271" s="14" t="s">
        <v>4670</v>
      </c>
      <c r="D1271" s="28" t="s">
        <v>4847</v>
      </c>
      <c r="E1271" s="14" t="s">
        <v>2071</v>
      </c>
      <c r="F1271" s="31" t="n">
        <f aca="false">Project_Tasks!K45</f>
        <v>4</v>
      </c>
      <c r="G1271" s="14" t="str">
        <f aca="false">Project_Tasks!B45</f>
        <v>P2</v>
      </c>
      <c r="H1271" s="14" t="s">
        <v>143</v>
      </c>
      <c r="I1271" s="6" t="s">
        <v>4848</v>
      </c>
      <c r="J1271" s="14"/>
      <c r="K1271" s="6"/>
      <c r="L1271" s="41" t="s">
        <v>2065</v>
      </c>
    </row>
    <row r="1272" customFormat="false" ht="15" hidden="false" customHeight="false" outlineLevel="0" collapsed="false">
      <c r="A1272" s="14" t="s">
        <v>4852</v>
      </c>
      <c r="B1272" s="14" t="s">
        <v>4846</v>
      </c>
      <c r="C1272" s="14" t="s">
        <v>4670</v>
      </c>
      <c r="D1272" s="28" t="s">
        <v>4847</v>
      </c>
      <c r="E1272" s="14" t="s">
        <v>96</v>
      </c>
      <c r="F1272" s="31" t="n">
        <f aca="false">Project_Tasks!L45</f>
        <v>12</v>
      </c>
      <c r="G1272" s="14" t="str">
        <f aca="false">Project_Tasks!B45</f>
        <v>P2</v>
      </c>
      <c r="H1272" s="14" t="s">
        <v>143</v>
      </c>
      <c r="I1272" s="6" t="s">
        <v>4848</v>
      </c>
      <c r="J1272" s="14"/>
      <c r="K1272" s="6"/>
      <c r="L1272" s="41" t="s">
        <v>2065</v>
      </c>
    </row>
    <row r="1273" customFormat="false" ht="15" hidden="false" customHeight="false" outlineLevel="0" collapsed="false">
      <c r="A1273" s="14" t="s">
        <v>4853</v>
      </c>
      <c r="B1273" s="14" t="s">
        <v>4854</v>
      </c>
      <c r="C1273" s="14" t="s">
        <v>4670</v>
      </c>
      <c r="D1273" s="28" t="s">
        <v>4855</v>
      </c>
      <c r="E1273" s="14" t="s">
        <v>4699</v>
      </c>
      <c r="F1273" s="31" t="n">
        <f aca="false">Project_Tasks!N46</f>
        <v>3</v>
      </c>
      <c r="G1273" s="14" t="str">
        <f aca="false">Project_Tasks!B46</f>
        <v>P2</v>
      </c>
      <c r="H1273" s="14" t="s">
        <v>143</v>
      </c>
      <c r="I1273" s="6" t="s">
        <v>4846</v>
      </c>
      <c r="J1273" s="14"/>
      <c r="K1273" s="6"/>
      <c r="L1273" s="41" t="s">
        <v>2065</v>
      </c>
    </row>
    <row r="1274" customFormat="false" ht="15" hidden="false" customHeight="false" outlineLevel="0" collapsed="false">
      <c r="A1274" s="14" t="s">
        <v>4856</v>
      </c>
      <c r="B1274" s="14" t="s">
        <v>4857</v>
      </c>
      <c r="C1274" s="14" t="s">
        <v>4670</v>
      </c>
      <c r="D1274" s="28" t="s">
        <v>4858</v>
      </c>
      <c r="E1274" s="14" t="s">
        <v>91</v>
      </c>
      <c r="F1274" s="31" t="n">
        <f aca="false">Project_Tasks!H47</f>
        <v>2</v>
      </c>
      <c r="G1274" s="14" t="str">
        <f aca="false">Project_Tasks!B47</f>
        <v>P2</v>
      </c>
      <c r="H1274" s="14" t="s">
        <v>143</v>
      </c>
      <c r="I1274" s="6" t="s">
        <v>4846</v>
      </c>
      <c r="J1274" s="14"/>
      <c r="K1274" s="6"/>
      <c r="L1274" s="41" t="s">
        <v>2065</v>
      </c>
    </row>
    <row r="1275" customFormat="false" ht="15" hidden="false" customHeight="false" outlineLevel="0" collapsed="false">
      <c r="A1275" s="14" t="s">
        <v>4859</v>
      </c>
      <c r="B1275" s="14" t="s">
        <v>4857</v>
      </c>
      <c r="C1275" s="14" t="s">
        <v>4670</v>
      </c>
      <c r="D1275" s="28" t="s">
        <v>4858</v>
      </c>
      <c r="E1275" s="14" t="s">
        <v>4811</v>
      </c>
      <c r="F1275" s="31" t="n">
        <f aca="false">Project_Tasks!O47</f>
        <v>6</v>
      </c>
      <c r="G1275" s="14" t="str">
        <f aca="false">Project_Tasks!B47</f>
        <v>P2</v>
      </c>
      <c r="H1275" s="14" t="s">
        <v>143</v>
      </c>
      <c r="I1275" s="6" t="s">
        <v>4846</v>
      </c>
      <c r="J1275" s="14"/>
      <c r="K1275" s="6"/>
      <c r="L1275" s="41" t="s">
        <v>2065</v>
      </c>
    </row>
    <row r="1276" customFormat="false" ht="15" hidden="false" customHeight="false" outlineLevel="0" collapsed="false">
      <c r="A1276" s="14" t="s">
        <v>4860</v>
      </c>
      <c r="B1276" s="14" t="s">
        <v>4861</v>
      </c>
      <c r="C1276" s="14" t="s">
        <v>4670</v>
      </c>
      <c r="D1276" s="28" t="s">
        <v>4862</v>
      </c>
      <c r="E1276" s="14" t="s">
        <v>89</v>
      </c>
      <c r="F1276" s="31" t="n">
        <f aca="false">Project_Tasks!G48</f>
        <v>4</v>
      </c>
      <c r="G1276" s="14" t="str">
        <f aca="false">Project_Tasks!B48</f>
        <v>P2</v>
      </c>
      <c r="H1276" s="14" t="s">
        <v>143</v>
      </c>
      <c r="I1276" s="6" t="s">
        <v>4846</v>
      </c>
      <c r="J1276" s="14"/>
      <c r="K1276" s="6"/>
      <c r="L1276" s="41" t="s">
        <v>2065</v>
      </c>
    </row>
    <row r="1277" customFormat="false" ht="15" hidden="false" customHeight="false" outlineLevel="0" collapsed="false">
      <c r="A1277" s="14" t="s">
        <v>4863</v>
      </c>
      <c r="B1277" s="14" t="s">
        <v>4861</v>
      </c>
      <c r="C1277" s="14" t="s">
        <v>4670</v>
      </c>
      <c r="D1277" s="28" t="s">
        <v>4862</v>
      </c>
      <c r="E1277" s="14" t="s">
        <v>2068</v>
      </c>
      <c r="F1277" s="31" t="n">
        <f aca="false">Project_Tasks!J48</f>
        <v>5</v>
      </c>
      <c r="G1277" s="14" t="str">
        <f aca="false">Project_Tasks!B48</f>
        <v>P2</v>
      </c>
      <c r="H1277" s="14" t="s">
        <v>143</v>
      </c>
      <c r="I1277" s="6" t="s">
        <v>4846</v>
      </c>
      <c r="J1277" s="14"/>
      <c r="K1277" s="6"/>
      <c r="L1277" s="41" t="s">
        <v>2065</v>
      </c>
    </row>
    <row r="1278" customFormat="false" ht="15" hidden="false" customHeight="false" outlineLevel="0" collapsed="false">
      <c r="A1278" s="14" t="s">
        <v>4864</v>
      </c>
      <c r="B1278" s="14" t="s">
        <v>4861</v>
      </c>
      <c r="C1278" s="14" t="s">
        <v>4670</v>
      </c>
      <c r="D1278" s="28" t="s">
        <v>4862</v>
      </c>
      <c r="E1278" s="14" t="s">
        <v>2071</v>
      </c>
      <c r="F1278" s="31" t="n">
        <f aca="false">Project_Tasks!K48</f>
        <v>3</v>
      </c>
      <c r="G1278" s="14" t="str">
        <f aca="false">Project_Tasks!B48</f>
        <v>P2</v>
      </c>
      <c r="H1278" s="14" t="s">
        <v>143</v>
      </c>
      <c r="I1278" s="6" t="s">
        <v>4846</v>
      </c>
      <c r="J1278" s="14"/>
      <c r="K1278" s="6"/>
      <c r="L1278" s="41" t="s">
        <v>2065</v>
      </c>
    </row>
    <row r="1279" customFormat="false" ht="15" hidden="false" customHeight="false" outlineLevel="0" collapsed="false">
      <c r="A1279" s="14" t="s">
        <v>4865</v>
      </c>
      <c r="B1279" s="14" t="s">
        <v>4861</v>
      </c>
      <c r="C1279" s="14" t="s">
        <v>4670</v>
      </c>
      <c r="D1279" s="28" t="s">
        <v>4862</v>
      </c>
      <c r="E1279" s="14" t="s">
        <v>96</v>
      </c>
      <c r="F1279" s="31" t="n">
        <f aca="false">Project_Tasks!L48</f>
        <v>2</v>
      </c>
      <c r="G1279" s="14" t="str">
        <f aca="false">Project_Tasks!B48</f>
        <v>P2</v>
      </c>
      <c r="H1279" s="14" t="s">
        <v>143</v>
      </c>
      <c r="I1279" s="6" t="s">
        <v>4846</v>
      </c>
      <c r="J1279" s="14"/>
      <c r="K1279" s="6"/>
      <c r="L1279" s="41" t="s">
        <v>2065</v>
      </c>
    </row>
    <row r="1280" customFormat="false" ht="15" hidden="false" customHeight="false" outlineLevel="0" collapsed="false">
      <c r="A1280" s="14" t="s">
        <v>4866</v>
      </c>
      <c r="B1280" s="14" t="s">
        <v>4861</v>
      </c>
      <c r="C1280" s="14" t="s">
        <v>4670</v>
      </c>
      <c r="D1280" s="28" t="s">
        <v>4862</v>
      </c>
      <c r="E1280" s="14" t="s">
        <v>97</v>
      </c>
      <c r="F1280" s="31" t="n">
        <f aca="false">Project_Tasks!M48</f>
        <v>2</v>
      </c>
      <c r="G1280" s="14" t="str">
        <f aca="false">Project_Tasks!B48</f>
        <v>P2</v>
      </c>
      <c r="H1280" s="14" t="s">
        <v>143</v>
      </c>
      <c r="I1280" s="6" t="s">
        <v>4846</v>
      </c>
      <c r="J1280" s="14"/>
      <c r="K1280" s="6"/>
      <c r="L1280" s="41" t="s">
        <v>2065</v>
      </c>
    </row>
    <row r="1281" customFormat="false" ht="15" hidden="false" customHeight="false" outlineLevel="0" collapsed="false">
      <c r="A1281" s="14" t="s">
        <v>4867</v>
      </c>
      <c r="B1281" s="14" t="s">
        <v>777</v>
      </c>
      <c r="C1281" s="14" t="s">
        <v>4670</v>
      </c>
      <c r="D1281" s="28" t="s">
        <v>4868</v>
      </c>
      <c r="E1281" s="14" t="s">
        <v>4699</v>
      </c>
      <c r="F1281" s="31" t="n">
        <f aca="false">Project_Tasks!N49</f>
        <v>12</v>
      </c>
      <c r="G1281" s="14" t="str">
        <f aca="false">Project_Tasks!B49</f>
        <v>P3</v>
      </c>
      <c r="H1281" s="14" t="s">
        <v>143</v>
      </c>
      <c r="I1281" s="6" t="s">
        <v>4840</v>
      </c>
      <c r="J1281" s="14"/>
      <c r="K1281" s="6"/>
      <c r="L1281" s="41" t="s">
        <v>2065</v>
      </c>
    </row>
    <row r="1282" customFormat="false" ht="15" hidden="false" customHeight="false" outlineLevel="0" collapsed="false">
      <c r="A1282" s="14" t="s">
        <v>4869</v>
      </c>
      <c r="B1282" s="14" t="s">
        <v>499</v>
      </c>
      <c r="C1282" s="14" t="s">
        <v>4670</v>
      </c>
      <c r="D1282" s="28" t="s">
        <v>4870</v>
      </c>
      <c r="E1282" s="14" t="s">
        <v>2068</v>
      </c>
      <c r="F1282" s="31" t="n">
        <f aca="false">Project_Tasks!J50</f>
        <v>2</v>
      </c>
      <c r="G1282" s="14" t="str">
        <f aca="false">Project_Tasks!B50</f>
        <v>P3</v>
      </c>
      <c r="H1282" s="14" t="s">
        <v>143</v>
      </c>
      <c r="I1282" s="6" t="s">
        <v>4762</v>
      </c>
      <c r="J1282" s="14"/>
      <c r="K1282" s="6"/>
      <c r="L1282" s="41" t="s">
        <v>2065</v>
      </c>
    </row>
    <row r="1283" customFormat="false" ht="15" hidden="false" customHeight="false" outlineLevel="0" collapsed="false">
      <c r="A1283" s="14" t="s">
        <v>4871</v>
      </c>
      <c r="B1283" s="14" t="s">
        <v>499</v>
      </c>
      <c r="C1283" s="14" t="s">
        <v>4670</v>
      </c>
      <c r="D1283" s="28" t="s">
        <v>4870</v>
      </c>
      <c r="E1283" s="14" t="s">
        <v>97</v>
      </c>
      <c r="F1283" s="31" t="n">
        <f aca="false">Project_Tasks!M50</f>
        <v>8</v>
      </c>
      <c r="G1283" s="14" t="str">
        <f aca="false">Project_Tasks!B50</f>
        <v>P3</v>
      </c>
      <c r="H1283" s="14" t="s">
        <v>143</v>
      </c>
      <c r="I1283" s="6" t="s">
        <v>4762</v>
      </c>
      <c r="J1283" s="14"/>
      <c r="K1283" s="6"/>
      <c r="L1283" s="41" t="s">
        <v>2065</v>
      </c>
    </row>
    <row r="1284" customFormat="false" ht="15" hidden="false" customHeight="false" outlineLevel="0" collapsed="false">
      <c r="A1284" s="14" t="s">
        <v>4872</v>
      </c>
      <c r="B1284" s="14" t="s">
        <v>4873</v>
      </c>
      <c r="C1284" s="14" t="s">
        <v>4670</v>
      </c>
      <c r="D1284" s="28" t="s">
        <v>4874</v>
      </c>
      <c r="E1284" s="14" t="s">
        <v>89</v>
      </c>
      <c r="F1284" s="31" t="n">
        <f aca="false">Project_Tasks!G51</f>
        <v>4</v>
      </c>
      <c r="G1284" s="14" t="str">
        <f aca="false">Project_Tasks!B51</f>
        <v>P3</v>
      </c>
      <c r="H1284" s="14" t="s">
        <v>143</v>
      </c>
      <c r="I1284" s="6" t="s">
        <v>4875</v>
      </c>
      <c r="J1284" s="14"/>
      <c r="K1284" s="6"/>
      <c r="L1284" s="41" t="s">
        <v>2065</v>
      </c>
    </row>
    <row r="1285" customFormat="false" ht="15" hidden="false" customHeight="false" outlineLevel="0" collapsed="false">
      <c r="A1285" s="14" t="s">
        <v>4876</v>
      </c>
      <c r="B1285" s="14" t="s">
        <v>4873</v>
      </c>
      <c r="C1285" s="14" t="s">
        <v>4670</v>
      </c>
      <c r="D1285" s="28" t="s">
        <v>4874</v>
      </c>
      <c r="E1285" s="14" t="s">
        <v>91</v>
      </c>
      <c r="F1285" s="31" t="n">
        <f aca="false">Project_Tasks!H51</f>
        <v>2</v>
      </c>
      <c r="G1285" s="14" t="str">
        <f aca="false">Project_Tasks!B51</f>
        <v>P3</v>
      </c>
      <c r="H1285" s="14" t="s">
        <v>143</v>
      </c>
      <c r="I1285" s="6" t="s">
        <v>4875</v>
      </c>
      <c r="J1285" s="14"/>
      <c r="K1285" s="6"/>
      <c r="L1285" s="41" t="s">
        <v>2065</v>
      </c>
    </row>
    <row r="1286" customFormat="false" ht="15" hidden="false" customHeight="false" outlineLevel="0" collapsed="false">
      <c r="A1286" s="14" t="s">
        <v>4877</v>
      </c>
      <c r="B1286" s="14" t="s">
        <v>4873</v>
      </c>
      <c r="C1286" s="14" t="s">
        <v>4670</v>
      </c>
      <c r="D1286" s="28" t="s">
        <v>4874</v>
      </c>
      <c r="E1286" s="14" t="s">
        <v>2068</v>
      </c>
      <c r="F1286" s="31" t="n">
        <f aca="false">Project_Tasks!J51</f>
        <v>4</v>
      </c>
      <c r="G1286" s="14" t="str">
        <f aca="false">Project_Tasks!B51</f>
        <v>P3</v>
      </c>
      <c r="H1286" s="14" t="s">
        <v>143</v>
      </c>
      <c r="I1286" s="6" t="s">
        <v>4875</v>
      </c>
      <c r="J1286" s="14"/>
      <c r="K1286" s="6"/>
      <c r="L1286" s="41" t="s">
        <v>2065</v>
      </c>
    </row>
    <row r="1287" customFormat="false" ht="15" hidden="false" customHeight="false" outlineLevel="0" collapsed="false">
      <c r="A1287" s="14" t="s">
        <v>4878</v>
      </c>
      <c r="B1287" s="14" t="s">
        <v>4873</v>
      </c>
      <c r="C1287" s="14" t="s">
        <v>4670</v>
      </c>
      <c r="D1287" s="28" t="s">
        <v>4874</v>
      </c>
      <c r="E1287" s="14" t="s">
        <v>2071</v>
      </c>
      <c r="F1287" s="31" t="n">
        <f aca="false">Project_Tasks!K51</f>
        <v>4</v>
      </c>
      <c r="G1287" s="14" t="str">
        <f aca="false">Project_Tasks!B51</f>
        <v>P3</v>
      </c>
      <c r="H1287" s="14" t="s">
        <v>143</v>
      </c>
      <c r="I1287" s="6" t="s">
        <v>4875</v>
      </c>
      <c r="J1287" s="14"/>
      <c r="K1287" s="6"/>
      <c r="L1287" s="41" t="s">
        <v>2065</v>
      </c>
    </row>
    <row r="1288" customFormat="false" ht="15" hidden="false" customHeight="false" outlineLevel="0" collapsed="false">
      <c r="A1288" s="14" t="s">
        <v>4879</v>
      </c>
      <c r="B1288" s="14" t="s">
        <v>4873</v>
      </c>
      <c r="C1288" s="14" t="s">
        <v>4670</v>
      </c>
      <c r="D1288" s="28" t="s">
        <v>4874</v>
      </c>
      <c r="E1288" s="14" t="s">
        <v>96</v>
      </c>
      <c r="F1288" s="31" t="n">
        <f aca="false">Project_Tasks!L51</f>
        <v>14</v>
      </c>
      <c r="G1288" s="14" t="str">
        <f aca="false">Project_Tasks!B51</f>
        <v>P3</v>
      </c>
      <c r="H1288" s="14" t="s">
        <v>143</v>
      </c>
      <c r="I1288" s="6" t="s">
        <v>4875</v>
      </c>
      <c r="J1288" s="14"/>
      <c r="K1288" s="6"/>
      <c r="L1288" s="41" t="s">
        <v>2065</v>
      </c>
    </row>
    <row r="1289" customFormat="false" ht="15" hidden="false" customHeight="false" outlineLevel="0" collapsed="false">
      <c r="A1289" s="14" t="s">
        <v>4880</v>
      </c>
      <c r="B1289" s="14" t="s">
        <v>4881</v>
      </c>
      <c r="C1289" s="14" t="s">
        <v>4670</v>
      </c>
      <c r="D1289" s="28" t="s">
        <v>4882</v>
      </c>
      <c r="E1289" s="14" t="s">
        <v>91</v>
      </c>
      <c r="F1289" s="31" t="n">
        <f aca="false">Project_Tasks!H52</f>
        <v>2</v>
      </c>
      <c r="G1289" s="14" t="str">
        <f aca="false">Project_Tasks!B52</f>
        <v>P3</v>
      </c>
      <c r="H1289" s="14" t="s">
        <v>143</v>
      </c>
      <c r="I1289" s="6" t="s">
        <v>4873</v>
      </c>
      <c r="J1289" s="14"/>
      <c r="K1289" s="6"/>
      <c r="L1289" s="41" t="s">
        <v>2065</v>
      </c>
    </row>
    <row r="1290" customFormat="false" ht="15" hidden="false" customHeight="false" outlineLevel="0" collapsed="false">
      <c r="A1290" s="14" t="s">
        <v>4883</v>
      </c>
      <c r="B1290" s="14" t="s">
        <v>4881</v>
      </c>
      <c r="C1290" s="14" t="s">
        <v>4670</v>
      </c>
      <c r="D1290" s="28" t="s">
        <v>4882</v>
      </c>
      <c r="E1290" s="14" t="s">
        <v>4811</v>
      </c>
      <c r="F1290" s="31" t="n">
        <f aca="false">Project_Tasks!O52</f>
        <v>6</v>
      </c>
      <c r="G1290" s="14" t="str">
        <f aca="false">Project_Tasks!B52</f>
        <v>P3</v>
      </c>
      <c r="H1290" s="14" t="s">
        <v>143</v>
      </c>
      <c r="I1290" s="6" t="s">
        <v>4873</v>
      </c>
      <c r="J1290" s="14"/>
      <c r="K1290" s="6"/>
      <c r="L1290" s="41" t="s">
        <v>2065</v>
      </c>
    </row>
    <row r="1291" customFormat="false" ht="15" hidden="false" customHeight="false" outlineLevel="0" collapsed="false">
      <c r="A1291" s="14" t="s">
        <v>4884</v>
      </c>
      <c r="B1291" s="14" t="s">
        <v>4885</v>
      </c>
      <c r="C1291" s="14" t="s">
        <v>4670</v>
      </c>
      <c r="D1291" s="28" t="s">
        <v>4886</v>
      </c>
      <c r="E1291" s="14" t="s">
        <v>89</v>
      </c>
      <c r="F1291" s="31" t="n">
        <f aca="false">Project_Tasks!G53</f>
        <v>3</v>
      </c>
      <c r="G1291" s="14" t="str">
        <f aca="false">Project_Tasks!B53</f>
        <v>P3</v>
      </c>
      <c r="H1291" s="14" t="s">
        <v>143</v>
      </c>
      <c r="I1291" s="6" t="s">
        <v>4873</v>
      </c>
      <c r="J1291" s="14"/>
      <c r="K1291" s="6"/>
      <c r="L1291" s="41" t="s">
        <v>2065</v>
      </c>
    </row>
    <row r="1292" customFormat="false" ht="15" hidden="false" customHeight="false" outlineLevel="0" collapsed="false">
      <c r="A1292" s="14" t="s">
        <v>4887</v>
      </c>
      <c r="B1292" s="14" t="s">
        <v>4885</v>
      </c>
      <c r="C1292" s="14" t="s">
        <v>4670</v>
      </c>
      <c r="D1292" s="28" t="s">
        <v>4886</v>
      </c>
      <c r="E1292" s="14" t="s">
        <v>2068</v>
      </c>
      <c r="F1292" s="31" t="n">
        <f aca="false">Project_Tasks!J53</f>
        <v>4</v>
      </c>
      <c r="G1292" s="14" t="str">
        <f aca="false">Project_Tasks!B53</f>
        <v>P3</v>
      </c>
      <c r="H1292" s="14" t="s">
        <v>143</v>
      </c>
      <c r="I1292" s="6" t="s">
        <v>4873</v>
      </c>
      <c r="J1292" s="14"/>
      <c r="K1292" s="6"/>
      <c r="L1292" s="41" t="s">
        <v>2065</v>
      </c>
    </row>
    <row r="1293" customFormat="false" ht="15" hidden="false" customHeight="false" outlineLevel="0" collapsed="false">
      <c r="A1293" s="14" t="s">
        <v>4888</v>
      </c>
      <c r="B1293" s="14" t="s">
        <v>4885</v>
      </c>
      <c r="C1293" s="14" t="s">
        <v>4670</v>
      </c>
      <c r="D1293" s="28" t="s">
        <v>4886</v>
      </c>
      <c r="E1293" s="14" t="s">
        <v>2071</v>
      </c>
      <c r="F1293" s="31" t="n">
        <f aca="false">Project_Tasks!K53</f>
        <v>2</v>
      </c>
      <c r="G1293" s="14" t="str">
        <f aca="false">Project_Tasks!B53</f>
        <v>P3</v>
      </c>
      <c r="H1293" s="14" t="s">
        <v>143</v>
      </c>
      <c r="I1293" s="6" t="s">
        <v>4873</v>
      </c>
      <c r="J1293" s="14"/>
      <c r="K1293" s="6"/>
      <c r="L1293" s="41" t="s">
        <v>2065</v>
      </c>
    </row>
    <row r="1294" customFormat="false" ht="15" hidden="false" customHeight="false" outlineLevel="0" collapsed="false">
      <c r="A1294" s="14" t="s">
        <v>4889</v>
      </c>
      <c r="B1294" s="14" t="s">
        <v>4885</v>
      </c>
      <c r="C1294" s="14" t="s">
        <v>4670</v>
      </c>
      <c r="D1294" s="28" t="s">
        <v>4886</v>
      </c>
      <c r="E1294" s="14" t="s">
        <v>96</v>
      </c>
      <c r="F1294" s="31" t="n">
        <f aca="false">Project_Tasks!L53</f>
        <v>2</v>
      </c>
      <c r="G1294" s="14" t="str">
        <f aca="false">Project_Tasks!B53</f>
        <v>P3</v>
      </c>
      <c r="H1294" s="14" t="s">
        <v>143</v>
      </c>
      <c r="I1294" s="6" t="s">
        <v>4873</v>
      </c>
      <c r="J1294" s="14"/>
      <c r="K1294" s="6"/>
      <c r="L1294" s="41" t="s">
        <v>2065</v>
      </c>
    </row>
    <row r="1295" customFormat="false" ht="15" hidden="false" customHeight="false" outlineLevel="0" collapsed="false">
      <c r="A1295" s="14" t="s">
        <v>4890</v>
      </c>
      <c r="B1295" s="14" t="s">
        <v>4885</v>
      </c>
      <c r="C1295" s="14" t="s">
        <v>4670</v>
      </c>
      <c r="D1295" s="28" t="s">
        <v>4886</v>
      </c>
      <c r="E1295" s="14" t="s">
        <v>97</v>
      </c>
      <c r="F1295" s="31" t="n">
        <f aca="false">Project_Tasks!M53</f>
        <v>2</v>
      </c>
      <c r="G1295" s="14" t="str">
        <f aca="false">Project_Tasks!B53</f>
        <v>P3</v>
      </c>
      <c r="H1295" s="14" t="s">
        <v>143</v>
      </c>
      <c r="I1295" s="6" t="s">
        <v>4873</v>
      </c>
      <c r="J1295" s="14"/>
      <c r="K1295" s="6"/>
      <c r="L1295" s="41" t="s">
        <v>2065</v>
      </c>
    </row>
    <row r="1296" customFormat="false" ht="15" hidden="false" customHeight="false" outlineLevel="0" collapsed="false">
      <c r="A1296" s="14" t="s">
        <v>4891</v>
      </c>
      <c r="B1296" s="14" t="s">
        <v>4892</v>
      </c>
      <c r="C1296" s="14" t="s">
        <v>4670</v>
      </c>
      <c r="D1296" s="28" t="s">
        <v>4893</v>
      </c>
      <c r="E1296" s="14" t="s">
        <v>91</v>
      </c>
      <c r="F1296" s="31" t="n">
        <f aca="false">Project_Tasks!H54</f>
        <v>2</v>
      </c>
      <c r="G1296" s="14" t="str">
        <f aca="false">Project_Tasks!B54</f>
        <v>P4</v>
      </c>
      <c r="H1296" s="14" t="s">
        <v>143</v>
      </c>
      <c r="I1296" s="6" t="s">
        <v>284</v>
      </c>
      <c r="J1296" s="14"/>
      <c r="K1296" s="6"/>
      <c r="L1296" s="41" t="s">
        <v>2065</v>
      </c>
    </row>
    <row r="1297" customFormat="false" ht="15" hidden="false" customHeight="false" outlineLevel="0" collapsed="false">
      <c r="A1297" s="14" t="s">
        <v>4894</v>
      </c>
      <c r="B1297" s="14" t="s">
        <v>4892</v>
      </c>
      <c r="C1297" s="14" t="s">
        <v>4670</v>
      </c>
      <c r="D1297" s="28" t="s">
        <v>4893</v>
      </c>
      <c r="E1297" s="14" t="s">
        <v>2068</v>
      </c>
      <c r="F1297" s="31" t="n">
        <f aca="false">Project_Tasks!J54</f>
        <v>3</v>
      </c>
      <c r="G1297" s="14" t="str">
        <f aca="false">Project_Tasks!B54</f>
        <v>P4</v>
      </c>
      <c r="H1297" s="14" t="s">
        <v>143</v>
      </c>
      <c r="I1297" s="6" t="s">
        <v>284</v>
      </c>
      <c r="J1297" s="14"/>
      <c r="K1297" s="6"/>
      <c r="L1297" s="41" t="s">
        <v>2065</v>
      </c>
    </row>
    <row r="1298" customFormat="false" ht="15" hidden="false" customHeight="false" outlineLevel="0" collapsed="false">
      <c r="A1298" s="14" t="s">
        <v>4895</v>
      </c>
      <c r="B1298" s="14" t="s">
        <v>4892</v>
      </c>
      <c r="C1298" s="14" t="s">
        <v>4670</v>
      </c>
      <c r="D1298" s="28" t="s">
        <v>4893</v>
      </c>
      <c r="E1298" s="14" t="s">
        <v>96</v>
      </c>
      <c r="F1298" s="31" t="n">
        <f aca="false">Project_Tasks!L54</f>
        <v>5</v>
      </c>
      <c r="G1298" s="14" t="str">
        <f aca="false">Project_Tasks!B54</f>
        <v>P4</v>
      </c>
      <c r="H1298" s="14" t="s">
        <v>143</v>
      </c>
      <c r="I1298" s="6" t="s">
        <v>284</v>
      </c>
      <c r="J1298" s="14"/>
      <c r="K1298" s="6"/>
      <c r="L1298" s="41" t="s">
        <v>2065</v>
      </c>
    </row>
    <row r="1299" customFormat="false" ht="15" hidden="false" customHeight="false" outlineLevel="0" collapsed="false">
      <c r="A1299" s="14" t="s">
        <v>4896</v>
      </c>
      <c r="B1299" s="14" t="s">
        <v>4892</v>
      </c>
      <c r="C1299" s="14" t="s">
        <v>4670</v>
      </c>
      <c r="D1299" s="28" t="s">
        <v>4893</v>
      </c>
      <c r="E1299" s="14" t="s">
        <v>4699</v>
      </c>
      <c r="F1299" s="31" t="n">
        <f aca="false">Project_Tasks!N54</f>
        <v>2</v>
      </c>
      <c r="G1299" s="14" t="str">
        <f aca="false">Project_Tasks!B54</f>
        <v>P4</v>
      </c>
      <c r="H1299" s="14" t="s">
        <v>143</v>
      </c>
      <c r="I1299" s="6" t="s">
        <v>284</v>
      </c>
      <c r="J1299" s="14"/>
      <c r="K1299" s="6"/>
      <c r="L1299" s="41" t="s">
        <v>2065</v>
      </c>
    </row>
    <row r="1300" customFormat="false" ht="15" hidden="false" customHeight="false" outlineLevel="0" collapsed="false">
      <c r="A1300" s="14" t="s">
        <v>4897</v>
      </c>
      <c r="B1300" s="14" t="s">
        <v>4898</v>
      </c>
      <c r="C1300" s="14" t="s">
        <v>4670</v>
      </c>
      <c r="D1300" s="28" t="s">
        <v>4899</v>
      </c>
      <c r="E1300" s="14" t="s">
        <v>89</v>
      </c>
      <c r="F1300" s="31" t="n">
        <f aca="false">Project_Tasks!G55</f>
        <v>3</v>
      </c>
      <c r="G1300" s="14" t="str">
        <f aca="false">Project_Tasks!B55</f>
        <v>P4</v>
      </c>
      <c r="H1300" s="14" t="s">
        <v>143</v>
      </c>
      <c r="I1300" s="6" t="s">
        <v>4900</v>
      </c>
      <c r="J1300" s="14"/>
      <c r="K1300" s="6"/>
      <c r="L1300" s="41" t="s">
        <v>2065</v>
      </c>
    </row>
    <row r="1301" customFormat="false" ht="15" hidden="false" customHeight="false" outlineLevel="0" collapsed="false">
      <c r="A1301" s="14" t="s">
        <v>4901</v>
      </c>
      <c r="B1301" s="14" t="s">
        <v>4898</v>
      </c>
      <c r="C1301" s="14" t="s">
        <v>4670</v>
      </c>
      <c r="D1301" s="28" t="s">
        <v>4899</v>
      </c>
      <c r="E1301" s="14" t="s">
        <v>91</v>
      </c>
      <c r="F1301" s="31" t="n">
        <f aca="false">Project_Tasks!H55</f>
        <v>1</v>
      </c>
      <c r="G1301" s="14" t="str">
        <f aca="false">Project_Tasks!B55</f>
        <v>P4</v>
      </c>
      <c r="H1301" s="14" t="s">
        <v>143</v>
      </c>
      <c r="I1301" s="6" t="s">
        <v>4900</v>
      </c>
      <c r="J1301" s="14"/>
      <c r="K1301" s="6"/>
      <c r="L1301" s="41" t="s">
        <v>2065</v>
      </c>
    </row>
    <row r="1302" customFormat="false" ht="15" hidden="false" customHeight="false" outlineLevel="0" collapsed="false">
      <c r="A1302" s="14" t="s">
        <v>4902</v>
      </c>
      <c r="B1302" s="14" t="s">
        <v>4898</v>
      </c>
      <c r="C1302" s="14" t="s">
        <v>4670</v>
      </c>
      <c r="D1302" s="28" t="s">
        <v>4899</v>
      </c>
      <c r="E1302" s="14" t="s">
        <v>2068</v>
      </c>
      <c r="F1302" s="31" t="n">
        <f aca="false">Project_Tasks!J55</f>
        <v>3</v>
      </c>
      <c r="G1302" s="14" t="str">
        <f aca="false">Project_Tasks!B55</f>
        <v>P4</v>
      </c>
      <c r="H1302" s="14" t="s">
        <v>143</v>
      </c>
      <c r="I1302" s="6" t="s">
        <v>4900</v>
      </c>
      <c r="J1302" s="14"/>
      <c r="K1302" s="6"/>
      <c r="L1302" s="41" t="s">
        <v>2065</v>
      </c>
    </row>
    <row r="1303" customFormat="false" ht="15" hidden="false" customHeight="false" outlineLevel="0" collapsed="false">
      <c r="A1303" s="14" t="s">
        <v>4903</v>
      </c>
      <c r="B1303" s="14" t="s">
        <v>4898</v>
      </c>
      <c r="C1303" s="14" t="s">
        <v>4670</v>
      </c>
      <c r="D1303" s="28" t="s">
        <v>4899</v>
      </c>
      <c r="E1303" s="14" t="s">
        <v>2071</v>
      </c>
      <c r="F1303" s="31" t="n">
        <f aca="false">Project_Tasks!K55</f>
        <v>2</v>
      </c>
      <c r="G1303" s="14" t="str">
        <f aca="false">Project_Tasks!B55</f>
        <v>P4</v>
      </c>
      <c r="H1303" s="14" t="s">
        <v>143</v>
      </c>
      <c r="I1303" s="6" t="s">
        <v>4900</v>
      </c>
      <c r="J1303" s="14"/>
      <c r="K1303" s="6"/>
      <c r="L1303" s="41" t="s">
        <v>2065</v>
      </c>
    </row>
    <row r="1304" customFormat="false" ht="15" hidden="false" customHeight="false" outlineLevel="0" collapsed="false">
      <c r="A1304" s="14" t="s">
        <v>4904</v>
      </c>
      <c r="B1304" s="14" t="s">
        <v>4898</v>
      </c>
      <c r="C1304" s="14" t="s">
        <v>4670</v>
      </c>
      <c r="D1304" s="28" t="s">
        <v>4899</v>
      </c>
      <c r="E1304" s="14" t="s">
        <v>96</v>
      </c>
      <c r="F1304" s="31" t="n">
        <f aca="false">Project_Tasks!L55</f>
        <v>8</v>
      </c>
      <c r="G1304" s="14" t="str">
        <f aca="false">Project_Tasks!B55</f>
        <v>P4</v>
      </c>
      <c r="H1304" s="14" t="s">
        <v>143</v>
      </c>
      <c r="I1304" s="6" t="s">
        <v>4900</v>
      </c>
      <c r="J1304" s="14"/>
      <c r="K1304" s="6"/>
      <c r="L1304" s="41" t="s">
        <v>2065</v>
      </c>
    </row>
    <row r="1305" customFormat="false" ht="15" hidden="false" customHeight="false" outlineLevel="0" collapsed="false">
      <c r="A1305" s="14" t="s">
        <v>4905</v>
      </c>
      <c r="B1305" s="14" t="s">
        <v>4906</v>
      </c>
      <c r="C1305" s="14" t="s">
        <v>4670</v>
      </c>
      <c r="D1305" s="28" t="s">
        <v>4907</v>
      </c>
      <c r="E1305" s="14" t="s">
        <v>4811</v>
      </c>
      <c r="F1305" s="31" t="n">
        <f aca="false">Project_Tasks!O56</f>
        <v>3</v>
      </c>
      <c r="G1305" s="14" t="str">
        <f aca="false">Project_Tasks!B56</f>
        <v>P4</v>
      </c>
      <c r="H1305" s="14" t="s">
        <v>143</v>
      </c>
      <c r="I1305" s="6" t="s">
        <v>4898</v>
      </c>
      <c r="J1305" s="14"/>
      <c r="K1305" s="6"/>
      <c r="L1305" s="41" t="s">
        <v>2065</v>
      </c>
    </row>
    <row r="1306" customFormat="false" ht="15" hidden="false" customHeight="false" outlineLevel="0" collapsed="false">
      <c r="A1306" s="14" t="s">
        <v>4908</v>
      </c>
      <c r="B1306" s="14" t="s">
        <v>4909</v>
      </c>
      <c r="C1306" s="14" t="s">
        <v>4670</v>
      </c>
      <c r="D1306" s="28" t="s">
        <v>4910</v>
      </c>
      <c r="E1306" s="14" t="s">
        <v>89</v>
      </c>
      <c r="F1306" s="31" t="n">
        <f aca="false">Project_Tasks!G57</f>
        <v>2</v>
      </c>
      <c r="G1306" s="14" t="str">
        <f aca="false">Project_Tasks!B57</f>
        <v>P4</v>
      </c>
      <c r="H1306" s="14" t="s">
        <v>143</v>
      </c>
      <c r="I1306" s="6" t="s">
        <v>4898</v>
      </c>
      <c r="J1306" s="14"/>
      <c r="K1306" s="6"/>
      <c r="L1306" s="41" t="s">
        <v>2065</v>
      </c>
    </row>
    <row r="1307" customFormat="false" ht="15" hidden="false" customHeight="false" outlineLevel="0" collapsed="false">
      <c r="A1307" s="14" t="s">
        <v>4911</v>
      </c>
      <c r="B1307" s="14" t="s">
        <v>4909</v>
      </c>
      <c r="C1307" s="14" t="s">
        <v>4670</v>
      </c>
      <c r="D1307" s="28" t="s">
        <v>4910</v>
      </c>
      <c r="E1307" s="14" t="s">
        <v>2068</v>
      </c>
      <c r="F1307" s="31" t="n">
        <f aca="false">Project_Tasks!J57</f>
        <v>3</v>
      </c>
      <c r="G1307" s="14" t="str">
        <f aca="false">Project_Tasks!B57</f>
        <v>P4</v>
      </c>
      <c r="H1307" s="14" t="s">
        <v>143</v>
      </c>
      <c r="I1307" s="6" t="s">
        <v>4898</v>
      </c>
      <c r="J1307" s="14"/>
      <c r="K1307" s="6"/>
      <c r="L1307" s="41" t="s">
        <v>2065</v>
      </c>
    </row>
    <row r="1308" customFormat="false" ht="15" hidden="false" customHeight="false" outlineLevel="0" collapsed="false">
      <c r="A1308" s="14" t="s">
        <v>4912</v>
      </c>
      <c r="B1308" s="14" t="s">
        <v>4909</v>
      </c>
      <c r="C1308" s="14" t="s">
        <v>4670</v>
      </c>
      <c r="D1308" s="28" t="s">
        <v>4910</v>
      </c>
      <c r="E1308" s="14" t="s">
        <v>2071</v>
      </c>
      <c r="F1308" s="31" t="n">
        <f aca="false">Project_Tasks!K57</f>
        <v>1</v>
      </c>
      <c r="G1308" s="14" t="str">
        <f aca="false">Project_Tasks!B57</f>
        <v>P4</v>
      </c>
      <c r="H1308" s="14" t="s">
        <v>143</v>
      </c>
      <c r="I1308" s="6" t="s">
        <v>4898</v>
      </c>
      <c r="J1308" s="14"/>
      <c r="K1308" s="6"/>
      <c r="L1308" s="41" t="s">
        <v>2065</v>
      </c>
    </row>
    <row r="1309" customFormat="false" ht="15" hidden="false" customHeight="false" outlineLevel="0" collapsed="false">
      <c r="A1309" s="14" t="s">
        <v>4913</v>
      </c>
      <c r="B1309" s="14" t="s">
        <v>4909</v>
      </c>
      <c r="C1309" s="14" t="s">
        <v>4670</v>
      </c>
      <c r="D1309" s="28" t="s">
        <v>4910</v>
      </c>
      <c r="E1309" s="14" t="s">
        <v>96</v>
      </c>
      <c r="F1309" s="31" t="n">
        <f aca="false">Project_Tasks!L57</f>
        <v>1</v>
      </c>
      <c r="G1309" s="14" t="str">
        <f aca="false">Project_Tasks!B57</f>
        <v>P4</v>
      </c>
      <c r="H1309" s="14" t="s">
        <v>143</v>
      </c>
      <c r="I1309" s="6" t="s">
        <v>4898</v>
      </c>
      <c r="J1309" s="14"/>
      <c r="K1309" s="6"/>
      <c r="L1309" s="41" t="s">
        <v>2065</v>
      </c>
    </row>
    <row r="1310" customFormat="false" ht="15" hidden="false" customHeight="false" outlineLevel="0" collapsed="false">
      <c r="A1310" s="14" t="s">
        <v>4914</v>
      </c>
      <c r="B1310" s="14" t="s">
        <v>4909</v>
      </c>
      <c r="C1310" s="14" t="s">
        <v>4670</v>
      </c>
      <c r="D1310" s="28" t="s">
        <v>4910</v>
      </c>
      <c r="E1310" s="14" t="s">
        <v>97</v>
      </c>
      <c r="F1310" s="31" t="n">
        <f aca="false">Project_Tasks!M57</f>
        <v>2</v>
      </c>
      <c r="G1310" s="14" t="str">
        <f aca="false">Project_Tasks!B57</f>
        <v>P4</v>
      </c>
      <c r="H1310" s="14" t="s">
        <v>143</v>
      </c>
      <c r="I1310" s="6" t="s">
        <v>4898</v>
      </c>
      <c r="J1310" s="14"/>
      <c r="K1310" s="6"/>
      <c r="L1310" s="41" t="s">
        <v>2065</v>
      </c>
    </row>
  </sheetData>
  <autoFilter ref="A4:L1310"/>
  <dataValidations count="1">
    <dataValidation allowBlank="false" errorStyle="stop" operator="between" showDropDown="false" showErrorMessage="false" showInputMessage="false" sqref="L5:L1310" type="list">
      <formula1>"To Do,In Progress,Review,Done,Blocked"</formula1>
      <formula2>0</formula2>
    </dataValidation>
  </dataValidations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14"/>
    <col collapsed="false" customWidth="true" hidden="false" outlineLevel="0" max="4" min="4" style="0" width="60"/>
    <col collapsed="false" customWidth="true" hidden="false" outlineLevel="0" max="5" min="5" style="0" width="24"/>
    <col collapsed="false" customWidth="true" hidden="false" outlineLevel="0" max="6" min="6" style="0" width="12"/>
    <col collapsed="false" customWidth="true" hidden="false" outlineLevel="0" max="12" min="7" style="0" width="7"/>
    <col collapsed="false" customWidth="true" hidden="false" outlineLevel="0" max="13" min="13" style="0" width="8"/>
    <col collapsed="false" customWidth="true" hidden="false" outlineLevel="0" max="14" min="14" style="0" width="9"/>
    <col collapsed="false" customWidth="true" hidden="false" outlineLevel="0" max="15" min="15" style="0" width="7"/>
    <col collapsed="false" customWidth="true" hidden="false" outlineLevel="0" max="16" min="16" style="0" width="9"/>
  </cols>
  <sheetData>
    <row r="1" customFormat="false" ht="17.9" hidden="false" customHeight="false" outlineLevel="0" collapsed="false">
      <c r="A1" s="27" t="s">
        <v>4915</v>
      </c>
    </row>
    <row r="2" customFormat="false" ht="15" hidden="false" customHeight="false" outlineLevel="0" collapsed="false">
      <c r="A2" s="2" t="s">
        <v>4916</v>
      </c>
    </row>
    <row r="4" customFormat="false" ht="31.5" hidden="false" customHeight="true" outlineLevel="0" collapsed="false">
      <c r="A4" s="3" t="s">
        <v>115</v>
      </c>
      <c r="B4" s="3" t="s">
        <v>22</v>
      </c>
      <c r="C4" s="3" t="s">
        <v>4917</v>
      </c>
      <c r="D4" s="3" t="s">
        <v>4918</v>
      </c>
      <c r="E4" s="3" t="s">
        <v>4919</v>
      </c>
      <c r="F4" s="3" t="s">
        <v>125</v>
      </c>
      <c r="G4" s="3" t="s">
        <v>89</v>
      </c>
      <c r="H4" s="3" t="s">
        <v>91</v>
      </c>
      <c r="I4" s="3" t="s">
        <v>128</v>
      </c>
      <c r="J4" s="3" t="s">
        <v>2068</v>
      </c>
      <c r="K4" s="3" t="s">
        <v>2071</v>
      </c>
      <c r="L4" s="3" t="s">
        <v>96</v>
      </c>
      <c r="M4" s="3" t="s">
        <v>97</v>
      </c>
      <c r="N4" s="3" t="s">
        <v>98</v>
      </c>
      <c r="O4" s="3" t="s">
        <v>4811</v>
      </c>
      <c r="P4" s="3" t="s">
        <v>134</v>
      </c>
    </row>
    <row r="5" customFormat="false" ht="35.05" hidden="false" customHeight="false" outlineLevel="0" collapsed="false">
      <c r="A5" s="7" t="s">
        <v>4669</v>
      </c>
      <c r="B5" s="30" t="s">
        <v>144</v>
      </c>
      <c r="C5" s="6" t="s">
        <v>4920</v>
      </c>
      <c r="D5" s="6" t="s">
        <v>4671</v>
      </c>
      <c r="E5" s="6" t="s">
        <v>4921</v>
      </c>
      <c r="F5" s="6" t="s">
        <v>79</v>
      </c>
      <c r="G5" s="31" t="n">
        <f aca="false">Roadmap!N5*Assumptions!$B$11</f>
        <v>18</v>
      </c>
      <c r="H5" s="31"/>
      <c r="I5" s="31"/>
      <c r="J5" s="31"/>
      <c r="K5" s="31"/>
      <c r="L5" s="31"/>
      <c r="M5" s="31" t="n">
        <f aca="false">Roadmap!N5*Assumptions!$B$13</f>
        <v>30</v>
      </c>
      <c r="N5" s="31"/>
      <c r="O5" s="31"/>
      <c r="P5" s="9" t="n">
        <f aca="false">SUM(G5:O5)</f>
        <v>48</v>
      </c>
    </row>
    <row r="6" customFormat="false" ht="15" hidden="false" customHeight="false" outlineLevel="0" collapsed="false">
      <c r="A6" s="7" t="s">
        <v>4674</v>
      </c>
      <c r="B6" s="29" t="s">
        <v>244</v>
      </c>
      <c r="C6" s="6" t="s">
        <v>4920</v>
      </c>
      <c r="D6" s="6" t="s">
        <v>4675</v>
      </c>
      <c r="E6" s="6" t="s">
        <v>4921</v>
      </c>
      <c r="F6" s="6" t="s">
        <v>79</v>
      </c>
      <c r="G6" s="31" t="n">
        <f aca="false">Roadmap!N6*Assumptions!$B$11</f>
        <v>27</v>
      </c>
      <c r="H6" s="31"/>
      <c r="I6" s="31"/>
      <c r="J6" s="31"/>
      <c r="K6" s="31"/>
      <c r="L6" s="31"/>
      <c r="M6" s="31" t="n">
        <f aca="false">Roadmap!N6*Assumptions!$B$13</f>
        <v>45</v>
      </c>
      <c r="N6" s="31"/>
      <c r="O6" s="31"/>
      <c r="P6" s="9" t="n">
        <f aca="false">SUM(G6:O6)</f>
        <v>72</v>
      </c>
    </row>
    <row r="7" customFormat="false" ht="15" hidden="false" customHeight="false" outlineLevel="0" collapsed="false">
      <c r="A7" s="7" t="s">
        <v>4678</v>
      </c>
      <c r="B7" s="37" t="s">
        <v>962</v>
      </c>
      <c r="C7" s="6" t="s">
        <v>4920</v>
      </c>
      <c r="D7" s="6" t="s">
        <v>4679</v>
      </c>
      <c r="E7" s="6" t="s">
        <v>4921</v>
      </c>
      <c r="F7" s="6" t="s">
        <v>79</v>
      </c>
      <c r="G7" s="31" t="n">
        <f aca="false">Roadmap!N7*Assumptions!$B$11</f>
        <v>15</v>
      </c>
      <c r="H7" s="31"/>
      <c r="I7" s="31"/>
      <c r="J7" s="31"/>
      <c r="K7" s="31"/>
      <c r="L7" s="31"/>
      <c r="M7" s="31" t="n">
        <f aca="false">Roadmap!N7*Assumptions!$B$13</f>
        <v>25</v>
      </c>
      <c r="N7" s="31"/>
      <c r="O7" s="31"/>
      <c r="P7" s="9" t="n">
        <f aca="false">SUM(G7:O7)</f>
        <v>40</v>
      </c>
    </row>
    <row r="8" customFormat="false" ht="15" hidden="false" customHeight="false" outlineLevel="0" collapsed="false">
      <c r="A8" s="7" t="s">
        <v>4682</v>
      </c>
      <c r="B8" s="32" t="s">
        <v>272</v>
      </c>
      <c r="C8" s="6" t="s">
        <v>4920</v>
      </c>
      <c r="D8" s="6" t="s">
        <v>4683</v>
      </c>
      <c r="E8" s="6" t="s">
        <v>4921</v>
      </c>
      <c r="F8" s="6" t="s">
        <v>79</v>
      </c>
      <c r="G8" s="31" t="n">
        <f aca="false">Roadmap!N8*Assumptions!$B$11</f>
        <v>24</v>
      </c>
      <c r="H8" s="31"/>
      <c r="I8" s="31"/>
      <c r="J8" s="31"/>
      <c r="K8" s="31"/>
      <c r="L8" s="31"/>
      <c r="M8" s="31" t="n">
        <f aca="false">Roadmap!N8*Assumptions!$B$13</f>
        <v>40</v>
      </c>
      <c r="N8" s="31"/>
      <c r="O8" s="31"/>
      <c r="P8" s="9" t="n">
        <f aca="false">SUM(G8:O8)</f>
        <v>64</v>
      </c>
    </row>
    <row r="9" customFormat="false" ht="15" hidden="false" customHeight="false" outlineLevel="0" collapsed="false">
      <c r="A9" s="7" t="s">
        <v>4686</v>
      </c>
      <c r="B9" s="33" t="s">
        <v>287</v>
      </c>
      <c r="C9" s="6" t="s">
        <v>4920</v>
      </c>
      <c r="D9" s="6" t="s">
        <v>4687</v>
      </c>
      <c r="E9" s="6" t="s">
        <v>4921</v>
      </c>
      <c r="F9" s="6" t="s">
        <v>79</v>
      </c>
      <c r="G9" s="31" t="n">
        <f aca="false">Roadmap!N9*Assumptions!$B$11</f>
        <v>12</v>
      </c>
      <c r="H9" s="31"/>
      <c r="I9" s="31"/>
      <c r="J9" s="31"/>
      <c r="K9" s="31"/>
      <c r="L9" s="31"/>
      <c r="M9" s="31" t="n">
        <f aca="false">Roadmap!N9*Assumptions!$B$13</f>
        <v>20</v>
      </c>
      <c r="N9" s="31"/>
      <c r="O9" s="31"/>
      <c r="P9" s="9" t="n">
        <f aca="false">SUM(G9:O9)</f>
        <v>32</v>
      </c>
    </row>
    <row r="10" customFormat="false" ht="15" hidden="false" customHeight="false" outlineLevel="0" collapsed="false">
      <c r="A10" s="7" t="s">
        <v>4690</v>
      </c>
      <c r="B10" s="30" t="s">
        <v>144</v>
      </c>
      <c r="C10" s="6" t="s">
        <v>4922</v>
      </c>
      <c r="D10" s="6" t="s">
        <v>4691</v>
      </c>
      <c r="E10" s="6" t="s">
        <v>4923</v>
      </c>
      <c r="F10" s="6" t="s">
        <v>79</v>
      </c>
      <c r="G10" s="44" t="n">
        <v>5</v>
      </c>
      <c r="H10" s="44" t="n">
        <v>1</v>
      </c>
      <c r="I10" s="44"/>
      <c r="J10" s="44"/>
      <c r="K10" s="44"/>
      <c r="L10" s="44"/>
      <c r="M10" s="44"/>
      <c r="N10" s="44"/>
      <c r="O10" s="44"/>
      <c r="P10" s="9" t="n">
        <f aca="false">SUM(G10:O10)</f>
        <v>6</v>
      </c>
    </row>
    <row r="11" customFormat="false" ht="23.85" hidden="false" customHeight="false" outlineLevel="0" collapsed="false">
      <c r="A11" s="7" t="s">
        <v>4694</v>
      </c>
      <c r="B11" s="30" t="s">
        <v>144</v>
      </c>
      <c r="C11" s="6" t="s">
        <v>4924</v>
      </c>
      <c r="D11" s="6" t="s">
        <v>4695</v>
      </c>
      <c r="E11" s="6" t="s">
        <v>4925</v>
      </c>
      <c r="F11" s="6" t="s">
        <v>4690</v>
      </c>
      <c r="G11" s="44" t="n">
        <v>8</v>
      </c>
      <c r="H11" s="44" t="n">
        <v>16</v>
      </c>
      <c r="I11" s="44" t="n">
        <v>4</v>
      </c>
      <c r="J11" s="44"/>
      <c r="K11" s="44"/>
      <c r="L11" s="44"/>
      <c r="M11" s="44"/>
      <c r="N11" s="44" t="n">
        <v>8</v>
      </c>
      <c r="O11" s="44"/>
      <c r="P11" s="9" t="n">
        <f aca="false">SUM(G11:O11)</f>
        <v>36</v>
      </c>
    </row>
    <row r="12" customFormat="false" ht="23.85" hidden="false" customHeight="false" outlineLevel="0" collapsed="false">
      <c r="A12" s="7" t="s">
        <v>4701</v>
      </c>
      <c r="B12" s="30" t="s">
        <v>144</v>
      </c>
      <c r="C12" s="6" t="s">
        <v>4924</v>
      </c>
      <c r="D12" s="6" t="s">
        <v>4702</v>
      </c>
      <c r="E12" s="6" t="s">
        <v>4926</v>
      </c>
      <c r="F12" s="6" t="s">
        <v>4694</v>
      </c>
      <c r="G12" s="44"/>
      <c r="H12" s="44" t="n">
        <v>5</v>
      </c>
      <c r="I12" s="44"/>
      <c r="J12" s="44" t="n">
        <v>3</v>
      </c>
      <c r="K12" s="44"/>
      <c r="L12" s="44" t="n">
        <v>2</v>
      </c>
      <c r="M12" s="44"/>
      <c r="N12" s="44"/>
      <c r="O12" s="44"/>
      <c r="P12" s="9" t="n">
        <f aca="false">SUM(G12:O12)</f>
        <v>10</v>
      </c>
    </row>
    <row r="13" customFormat="false" ht="23.85" hidden="false" customHeight="false" outlineLevel="0" collapsed="false">
      <c r="A13" s="7" t="s">
        <v>4706</v>
      </c>
      <c r="B13" s="30" t="s">
        <v>144</v>
      </c>
      <c r="C13" s="6" t="s">
        <v>4927</v>
      </c>
      <c r="D13" s="6" t="s">
        <v>4707</v>
      </c>
      <c r="E13" s="6" t="s">
        <v>4928</v>
      </c>
      <c r="F13" s="6" t="s">
        <v>4694</v>
      </c>
      <c r="G13" s="44"/>
      <c r="H13" s="44" t="n">
        <v>8</v>
      </c>
      <c r="I13" s="44"/>
      <c r="J13" s="44" t="n">
        <v>4</v>
      </c>
      <c r="K13" s="44" t="n">
        <v>2</v>
      </c>
      <c r="L13" s="44"/>
      <c r="M13" s="44" t="n">
        <v>2</v>
      </c>
      <c r="N13" s="44"/>
      <c r="O13" s="44"/>
      <c r="P13" s="9" t="n">
        <f aca="false">SUM(G13:O13)</f>
        <v>16</v>
      </c>
    </row>
    <row r="14" customFormat="false" ht="23.85" hidden="false" customHeight="false" outlineLevel="0" collapsed="false">
      <c r="A14" s="7" t="s">
        <v>4712</v>
      </c>
      <c r="B14" s="30" t="s">
        <v>144</v>
      </c>
      <c r="C14" s="6" t="s">
        <v>4927</v>
      </c>
      <c r="D14" s="6" t="s">
        <v>4713</v>
      </c>
      <c r="E14" s="6" t="s">
        <v>4929</v>
      </c>
      <c r="F14" s="6" t="s">
        <v>4706</v>
      </c>
      <c r="G14" s="44"/>
      <c r="H14" s="44" t="n">
        <v>8</v>
      </c>
      <c r="I14" s="44"/>
      <c r="J14" s="44" t="n">
        <v>4</v>
      </c>
      <c r="K14" s="44"/>
      <c r="L14" s="44"/>
      <c r="M14" s="44"/>
      <c r="N14" s="44"/>
      <c r="O14" s="44"/>
      <c r="P14" s="9" t="n">
        <f aca="false">SUM(G14:O14)</f>
        <v>12</v>
      </c>
    </row>
    <row r="15" customFormat="false" ht="23.85" hidden="false" customHeight="false" outlineLevel="0" collapsed="false">
      <c r="A15" s="7" t="s">
        <v>4716</v>
      </c>
      <c r="B15" s="30" t="s">
        <v>144</v>
      </c>
      <c r="C15" s="6" t="s">
        <v>4924</v>
      </c>
      <c r="D15" s="6" t="s">
        <v>4717</v>
      </c>
      <c r="E15" s="6" t="s">
        <v>4930</v>
      </c>
      <c r="F15" s="6" t="s">
        <v>4694</v>
      </c>
      <c r="G15" s="44" t="n">
        <v>1</v>
      </c>
      <c r="H15" s="44" t="n">
        <v>3</v>
      </c>
      <c r="I15" s="44"/>
      <c r="J15" s="44"/>
      <c r="K15" s="44"/>
      <c r="L15" s="44"/>
      <c r="M15" s="44"/>
      <c r="N15" s="44" t="n">
        <v>1</v>
      </c>
      <c r="O15" s="44"/>
      <c r="P15" s="9" t="n">
        <f aca="false">SUM(G15:O15)</f>
        <v>5</v>
      </c>
    </row>
    <row r="16" customFormat="false" ht="23.85" hidden="false" customHeight="false" outlineLevel="0" collapsed="false">
      <c r="A16" s="7" t="s">
        <v>4721</v>
      </c>
      <c r="B16" s="30" t="s">
        <v>144</v>
      </c>
      <c r="C16" s="6" t="s">
        <v>128</v>
      </c>
      <c r="D16" s="6" t="s">
        <v>4722</v>
      </c>
      <c r="E16" s="6" t="s">
        <v>4931</v>
      </c>
      <c r="F16" s="6" t="s">
        <v>4694</v>
      </c>
      <c r="G16" s="44"/>
      <c r="H16" s="44" t="n">
        <v>2</v>
      </c>
      <c r="I16" s="44" t="n">
        <v>12</v>
      </c>
      <c r="J16" s="44"/>
      <c r="K16" s="44" t="n">
        <v>3</v>
      </c>
      <c r="L16" s="44"/>
      <c r="M16" s="44"/>
      <c r="N16" s="44"/>
      <c r="O16" s="44"/>
      <c r="P16" s="9" t="n">
        <f aca="false">SUM(G16:O16)</f>
        <v>17</v>
      </c>
    </row>
    <row r="17" customFormat="false" ht="23.85" hidden="false" customHeight="false" outlineLevel="0" collapsed="false">
      <c r="A17" s="7" t="s">
        <v>4726</v>
      </c>
      <c r="B17" s="30" t="s">
        <v>144</v>
      </c>
      <c r="C17" s="6" t="s">
        <v>4922</v>
      </c>
      <c r="D17" s="6" t="s">
        <v>4727</v>
      </c>
      <c r="E17" s="6" t="s">
        <v>4932</v>
      </c>
      <c r="F17" s="6" t="s">
        <v>4694</v>
      </c>
      <c r="G17" s="44" t="n">
        <v>4</v>
      </c>
      <c r="H17" s="44" t="n">
        <v>4</v>
      </c>
      <c r="I17" s="44"/>
      <c r="J17" s="44"/>
      <c r="K17" s="44"/>
      <c r="L17" s="44"/>
      <c r="M17" s="44"/>
      <c r="N17" s="44"/>
      <c r="O17" s="44"/>
      <c r="P17" s="9" t="n">
        <f aca="false">SUM(G17:O17)</f>
        <v>8</v>
      </c>
    </row>
    <row r="18" customFormat="false" ht="35.05" hidden="false" customHeight="false" outlineLevel="0" collapsed="false">
      <c r="A18" s="7" t="s">
        <v>4730</v>
      </c>
      <c r="B18" s="30" t="s">
        <v>144</v>
      </c>
      <c r="C18" s="6" t="s">
        <v>4933</v>
      </c>
      <c r="D18" s="6" t="s">
        <v>4731</v>
      </c>
      <c r="E18" s="6" t="s">
        <v>4934</v>
      </c>
      <c r="F18" s="6" t="s">
        <v>4706</v>
      </c>
      <c r="G18" s="44"/>
      <c r="H18" s="44"/>
      <c r="I18" s="44"/>
      <c r="J18" s="44"/>
      <c r="K18" s="44"/>
      <c r="L18" s="44"/>
      <c r="M18" s="44" t="n">
        <v>10</v>
      </c>
      <c r="N18" s="44"/>
      <c r="O18" s="44"/>
      <c r="P18" s="9" t="n">
        <f aca="false">SUM(G18:O18)</f>
        <v>10</v>
      </c>
    </row>
    <row r="19" customFormat="false" ht="35.05" hidden="false" customHeight="false" outlineLevel="0" collapsed="false">
      <c r="A19" s="7" t="s">
        <v>4733</v>
      </c>
      <c r="B19" s="30" t="s">
        <v>144</v>
      </c>
      <c r="C19" s="6" t="s">
        <v>4933</v>
      </c>
      <c r="D19" s="6" t="s">
        <v>4734</v>
      </c>
      <c r="E19" s="6" t="s">
        <v>4935</v>
      </c>
      <c r="F19" s="6" t="s">
        <v>4730</v>
      </c>
      <c r="G19" s="44"/>
      <c r="H19" s="44"/>
      <c r="I19" s="44"/>
      <c r="J19" s="44" t="n">
        <v>1</v>
      </c>
      <c r="K19" s="44" t="n">
        <v>1</v>
      </c>
      <c r="L19" s="44"/>
      <c r="M19" s="44" t="n">
        <v>6</v>
      </c>
      <c r="N19" s="44"/>
      <c r="O19" s="44"/>
      <c r="P19" s="9" t="n">
        <f aca="false">SUM(G19:O19)</f>
        <v>8</v>
      </c>
    </row>
    <row r="20" customFormat="false" ht="15" hidden="false" customHeight="false" outlineLevel="0" collapsed="false">
      <c r="A20" s="7" t="s">
        <v>4738</v>
      </c>
      <c r="B20" s="30" t="s">
        <v>144</v>
      </c>
      <c r="C20" s="6" t="s">
        <v>4936</v>
      </c>
      <c r="D20" s="6" t="s">
        <v>4739</v>
      </c>
      <c r="E20" s="6" t="s">
        <v>4937</v>
      </c>
      <c r="F20" s="6" t="s">
        <v>4694</v>
      </c>
      <c r="G20" s="44"/>
      <c r="H20" s="44"/>
      <c r="I20" s="44"/>
      <c r="J20" s="44"/>
      <c r="K20" s="44"/>
      <c r="L20" s="44" t="n">
        <v>4</v>
      </c>
      <c r="M20" s="44"/>
      <c r="N20" s="44"/>
      <c r="O20" s="44"/>
      <c r="P20" s="9" t="n">
        <f aca="false">SUM(G20:O20)</f>
        <v>4</v>
      </c>
    </row>
    <row r="21" customFormat="false" ht="23.85" hidden="false" customHeight="false" outlineLevel="0" collapsed="false">
      <c r="A21" s="7" t="s">
        <v>4741</v>
      </c>
      <c r="B21" s="30" t="s">
        <v>144</v>
      </c>
      <c r="C21" s="6" t="s">
        <v>4936</v>
      </c>
      <c r="D21" s="6" t="s">
        <v>4742</v>
      </c>
      <c r="E21" s="6" t="s">
        <v>4938</v>
      </c>
      <c r="F21" s="6" t="s">
        <v>4738</v>
      </c>
      <c r="G21" s="44"/>
      <c r="H21" s="44"/>
      <c r="I21" s="44"/>
      <c r="J21" s="44" t="n">
        <v>2</v>
      </c>
      <c r="K21" s="44"/>
      <c r="L21" s="44" t="n">
        <v>10</v>
      </c>
      <c r="M21" s="44"/>
      <c r="N21" s="44"/>
      <c r="O21" s="44"/>
      <c r="P21" s="9" t="n">
        <f aca="false">SUM(G21:O21)</f>
        <v>12</v>
      </c>
    </row>
    <row r="22" customFormat="false" ht="23.85" hidden="false" customHeight="false" outlineLevel="0" collapsed="false">
      <c r="A22" s="7" t="s">
        <v>4745</v>
      </c>
      <c r="B22" s="30" t="s">
        <v>144</v>
      </c>
      <c r="C22" s="6" t="s">
        <v>4927</v>
      </c>
      <c r="D22" s="6" t="s">
        <v>4746</v>
      </c>
      <c r="E22" s="6" t="s">
        <v>4939</v>
      </c>
      <c r="F22" s="6" t="s">
        <v>4706</v>
      </c>
      <c r="G22" s="44"/>
      <c r="H22" s="44" t="n">
        <v>3</v>
      </c>
      <c r="I22" s="44"/>
      <c r="J22" s="44" t="n">
        <v>10</v>
      </c>
      <c r="K22" s="44" t="n">
        <v>3</v>
      </c>
      <c r="L22" s="44"/>
      <c r="M22" s="44"/>
      <c r="N22" s="44"/>
      <c r="O22" s="44"/>
      <c r="P22" s="9" t="n">
        <f aca="false">SUM(G22:O22)</f>
        <v>16</v>
      </c>
    </row>
    <row r="23" customFormat="false" ht="15" hidden="false" customHeight="false" outlineLevel="0" collapsed="false">
      <c r="A23" s="7" t="s">
        <v>4750</v>
      </c>
      <c r="B23" s="30" t="s">
        <v>144</v>
      </c>
      <c r="C23" s="6" t="s">
        <v>4940</v>
      </c>
      <c r="D23" s="6" t="s">
        <v>4751</v>
      </c>
      <c r="E23" s="6" t="s">
        <v>4941</v>
      </c>
      <c r="F23" s="6" t="s">
        <v>4706</v>
      </c>
      <c r="G23" s="44"/>
      <c r="H23" s="44" t="n">
        <v>3</v>
      </c>
      <c r="I23" s="44"/>
      <c r="J23" s="44" t="n">
        <v>2</v>
      </c>
      <c r="K23" s="44"/>
      <c r="L23" s="44"/>
      <c r="M23" s="44" t="n">
        <v>1</v>
      </c>
      <c r="N23" s="44"/>
      <c r="O23" s="44"/>
      <c r="P23" s="9" t="n">
        <f aca="false">SUM(G23:O23)</f>
        <v>6</v>
      </c>
    </row>
    <row r="24" customFormat="false" ht="23.85" hidden="false" customHeight="false" outlineLevel="0" collapsed="false">
      <c r="A24" s="7" t="s">
        <v>4755</v>
      </c>
      <c r="B24" s="29" t="s">
        <v>244</v>
      </c>
      <c r="C24" s="6" t="s">
        <v>4942</v>
      </c>
      <c r="D24" s="6" t="s">
        <v>4756</v>
      </c>
      <c r="E24" s="6" t="s">
        <v>4943</v>
      </c>
      <c r="F24" s="6" t="s">
        <v>4694</v>
      </c>
      <c r="G24" s="44"/>
      <c r="H24" s="44"/>
      <c r="I24" s="44"/>
      <c r="J24" s="44"/>
      <c r="K24" s="44"/>
      <c r="L24" s="44"/>
      <c r="M24" s="44"/>
      <c r="N24" s="44" t="n">
        <v>20</v>
      </c>
      <c r="O24" s="44"/>
      <c r="P24" s="9" t="n">
        <f aca="false">SUM(G24:O24)</f>
        <v>20</v>
      </c>
    </row>
    <row r="25" customFormat="false" ht="23.85" hidden="false" customHeight="false" outlineLevel="0" collapsed="false">
      <c r="A25" s="7" t="s">
        <v>4758</v>
      </c>
      <c r="B25" s="29" t="s">
        <v>244</v>
      </c>
      <c r="C25" s="6" t="s">
        <v>4924</v>
      </c>
      <c r="D25" s="6" t="s">
        <v>4759</v>
      </c>
      <c r="E25" s="6" t="s">
        <v>4944</v>
      </c>
      <c r="F25" s="6" t="s">
        <v>4706</v>
      </c>
      <c r="G25" s="44"/>
      <c r="H25" s="44" t="n">
        <v>5</v>
      </c>
      <c r="I25" s="44"/>
      <c r="J25" s="44" t="n">
        <v>2</v>
      </c>
      <c r="K25" s="44"/>
      <c r="L25" s="44"/>
      <c r="M25" s="44"/>
      <c r="N25" s="44"/>
      <c r="O25" s="44"/>
      <c r="P25" s="9" t="n">
        <f aca="false">SUM(G25:O25)</f>
        <v>7</v>
      </c>
    </row>
    <row r="26" customFormat="false" ht="23.85" hidden="false" customHeight="false" outlineLevel="0" collapsed="false">
      <c r="A26" s="7" t="s">
        <v>4762</v>
      </c>
      <c r="B26" s="29" t="s">
        <v>244</v>
      </c>
      <c r="C26" s="6" t="s">
        <v>4933</v>
      </c>
      <c r="D26" s="6" t="s">
        <v>4763</v>
      </c>
      <c r="E26" s="6" t="s">
        <v>4945</v>
      </c>
      <c r="F26" s="6" t="s">
        <v>4730</v>
      </c>
      <c r="G26" s="44"/>
      <c r="H26" s="44"/>
      <c r="I26" s="44"/>
      <c r="J26" s="44"/>
      <c r="K26" s="44"/>
      <c r="L26" s="44"/>
      <c r="M26" s="44" t="n">
        <v>8</v>
      </c>
      <c r="N26" s="44"/>
      <c r="O26" s="44"/>
      <c r="P26" s="9" t="n">
        <f aca="false">SUM(G26:O26)</f>
        <v>8</v>
      </c>
    </row>
    <row r="27" customFormat="false" ht="15" hidden="false" customHeight="false" outlineLevel="0" collapsed="false">
      <c r="A27" s="7" t="s">
        <v>4765</v>
      </c>
      <c r="B27" s="29" t="s">
        <v>244</v>
      </c>
      <c r="C27" s="6" t="s">
        <v>4933</v>
      </c>
      <c r="D27" s="6" t="s">
        <v>4766</v>
      </c>
      <c r="E27" s="6" t="s">
        <v>4946</v>
      </c>
      <c r="F27" s="6" t="s">
        <v>4762</v>
      </c>
      <c r="G27" s="44"/>
      <c r="H27" s="44"/>
      <c r="I27" s="44"/>
      <c r="J27" s="44"/>
      <c r="K27" s="44"/>
      <c r="L27" s="44"/>
      <c r="M27" s="44" t="n">
        <v>3</v>
      </c>
      <c r="N27" s="44"/>
      <c r="O27" s="44"/>
      <c r="P27" s="9" t="n">
        <f aca="false">SUM(G27:O27)</f>
        <v>3</v>
      </c>
    </row>
    <row r="28" customFormat="false" ht="15" hidden="false" customHeight="false" outlineLevel="0" collapsed="false">
      <c r="A28" s="7" t="s">
        <v>4768</v>
      </c>
      <c r="B28" s="29" t="s">
        <v>244</v>
      </c>
      <c r="C28" s="6" t="s">
        <v>4933</v>
      </c>
      <c r="D28" s="6" t="s">
        <v>4769</v>
      </c>
      <c r="E28" s="6" t="s">
        <v>4947</v>
      </c>
      <c r="F28" s="6" t="s">
        <v>4762</v>
      </c>
      <c r="G28" s="44"/>
      <c r="H28" s="44"/>
      <c r="I28" s="44"/>
      <c r="J28" s="44"/>
      <c r="K28" s="44"/>
      <c r="L28" s="44"/>
      <c r="M28" s="44" t="n">
        <v>4</v>
      </c>
      <c r="N28" s="44"/>
      <c r="O28" s="44"/>
      <c r="P28" s="9" t="n">
        <f aca="false">SUM(G28:O28)</f>
        <v>4</v>
      </c>
    </row>
    <row r="29" customFormat="false" ht="23.85" hidden="false" customHeight="false" outlineLevel="0" collapsed="false">
      <c r="A29" s="7" t="s">
        <v>4771</v>
      </c>
      <c r="B29" s="29" t="s">
        <v>244</v>
      </c>
      <c r="C29" s="6" t="s">
        <v>4940</v>
      </c>
      <c r="D29" s="6" t="s">
        <v>4772</v>
      </c>
      <c r="E29" s="6" t="s">
        <v>4948</v>
      </c>
      <c r="F29" s="6" t="s">
        <v>4762</v>
      </c>
      <c r="G29" s="44"/>
      <c r="H29" s="44"/>
      <c r="I29" s="44"/>
      <c r="J29" s="44" t="n">
        <v>1</v>
      </c>
      <c r="K29" s="44"/>
      <c r="L29" s="44"/>
      <c r="M29" s="44" t="n">
        <v>4</v>
      </c>
      <c r="N29" s="44"/>
      <c r="O29" s="44"/>
      <c r="P29" s="9" t="n">
        <f aca="false">SUM(G29:O29)</f>
        <v>5</v>
      </c>
    </row>
    <row r="30" customFormat="false" ht="15" hidden="false" customHeight="false" outlineLevel="0" collapsed="false">
      <c r="A30" s="7" t="s">
        <v>4775</v>
      </c>
      <c r="B30" s="29" t="s">
        <v>244</v>
      </c>
      <c r="C30" s="6" t="s">
        <v>4936</v>
      </c>
      <c r="D30" s="6" t="s">
        <v>4776</v>
      </c>
      <c r="E30" s="6" t="s">
        <v>4949</v>
      </c>
      <c r="F30" s="6" t="s">
        <v>4777</v>
      </c>
      <c r="G30" s="44"/>
      <c r="H30" s="44"/>
      <c r="I30" s="44"/>
      <c r="J30" s="44" t="n">
        <v>3</v>
      </c>
      <c r="K30" s="44" t="n">
        <v>3</v>
      </c>
      <c r="L30" s="44" t="n">
        <v>12</v>
      </c>
      <c r="M30" s="44"/>
      <c r="N30" s="44"/>
      <c r="O30" s="44"/>
      <c r="P30" s="9" t="n">
        <f aca="false">SUM(G30:O30)</f>
        <v>18</v>
      </c>
    </row>
    <row r="31" customFormat="false" ht="15" hidden="false" customHeight="false" outlineLevel="0" collapsed="false">
      <c r="A31" s="7" t="s">
        <v>4781</v>
      </c>
      <c r="B31" s="29" t="s">
        <v>244</v>
      </c>
      <c r="C31" s="6" t="s">
        <v>4936</v>
      </c>
      <c r="D31" s="6" t="s">
        <v>4782</v>
      </c>
      <c r="E31" s="6" t="s">
        <v>4950</v>
      </c>
      <c r="F31" s="6" t="s">
        <v>4775</v>
      </c>
      <c r="G31" s="44"/>
      <c r="H31" s="44"/>
      <c r="I31" s="44"/>
      <c r="J31" s="44" t="n">
        <v>3</v>
      </c>
      <c r="K31" s="44"/>
      <c r="L31" s="44" t="n">
        <v>5</v>
      </c>
      <c r="M31" s="44" t="n">
        <v>2</v>
      </c>
      <c r="N31" s="44"/>
      <c r="O31" s="44"/>
      <c r="P31" s="9" t="n">
        <f aca="false">SUM(G31:O31)</f>
        <v>10</v>
      </c>
    </row>
    <row r="32" customFormat="false" ht="23.85" hidden="false" customHeight="false" outlineLevel="0" collapsed="false">
      <c r="A32" s="7" t="s">
        <v>4786</v>
      </c>
      <c r="B32" s="29" t="s">
        <v>244</v>
      </c>
      <c r="C32" s="6" t="s">
        <v>4940</v>
      </c>
      <c r="D32" s="6" t="s">
        <v>4787</v>
      </c>
      <c r="E32" s="6" t="s">
        <v>4951</v>
      </c>
      <c r="F32" s="6" t="s">
        <v>4775</v>
      </c>
      <c r="G32" s="44"/>
      <c r="H32" s="44"/>
      <c r="I32" s="44"/>
      <c r="J32" s="44" t="n">
        <v>5</v>
      </c>
      <c r="K32" s="44" t="n">
        <v>2</v>
      </c>
      <c r="L32" s="44" t="n">
        <v>4</v>
      </c>
      <c r="M32" s="44"/>
      <c r="N32" s="44"/>
      <c r="O32" s="44"/>
      <c r="P32" s="9" t="n">
        <f aca="false">SUM(G32:O32)</f>
        <v>11</v>
      </c>
    </row>
    <row r="33" customFormat="false" ht="15" hidden="false" customHeight="false" outlineLevel="0" collapsed="false">
      <c r="A33" s="7" t="s">
        <v>4791</v>
      </c>
      <c r="B33" s="29" t="s">
        <v>244</v>
      </c>
      <c r="C33" s="6" t="s">
        <v>4940</v>
      </c>
      <c r="D33" s="6" t="s">
        <v>4792</v>
      </c>
      <c r="E33" s="6" t="s">
        <v>4952</v>
      </c>
      <c r="F33" s="6" t="s">
        <v>4786</v>
      </c>
      <c r="G33" s="44" t="n">
        <v>1</v>
      </c>
      <c r="H33" s="44"/>
      <c r="I33" s="44"/>
      <c r="J33" s="44" t="n">
        <v>5</v>
      </c>
      <c r="K33" s="44" t="n">
        <v>2</v>
      </c>
      <c r="L33" s="44"/>
      <c r="M33" s="44"/>
      <c r="N33" s="44"/>
      <c r="O33" s="44"/>
      <c r="P33" s="9" t="n">
        <f aca="false">SUM(G33:O33)</f>
        <v>8</v>
      </c>
    </row>
    <row r="34" customFormat="false" ht="15" hidden="false" customHeight="false" outlineLevel="0" collapsed="false">
      <c r="A34" s="7" t="s">
        <v>4796</v>
      </c>
      <c r="B34" s="29" t="s">
        <v>244</v>
      </c>
      <c r="C34" s="6" t="s">
        <v>4936</v>
      </c>
      <c r="D34" s="6" t="s">
        <v>4797</v>
      </c>
      <c r="E34" s="6" t="s">
        <v>4953</v>
      </c>
      <c r="F34" s="6" t="s">
        <v>4775</v>
      </c>
      <c r="G34" s="44" t="n">
        <v>5</v>
      </c>
      <c r="H34" s="44" t="n">
        <v>3</v>
      </c>
      <c r="I34" s="44"/>
      <c r="J34" s="44" t="n">
        <v>3</v>
      </c>
      <c r="K34" s="44" t="n">
        <v>3</v>
      </c>
      <c r="L34" s="44" t="n">
        <v>6</v>
      </c>
      <c r="M34" s="44"/>
      <c r="N34" s="44"/>
      <c r="O34" s="44"/>
      <c r="P34" s="9" t="n">
        <f aca="false">SUM(G34:O34)</f>
        <v>20</v>
      </c>
    </row>
    <row r="35" customFormat="false" ht="23.85" hidden="false" customHeight="false" outlineLevel="0" collapsed="false">
      <c r="A35" s="7" t="s">
        <v>4803</v>
      </c>
      <c r="B35" s="29" t="s">
        <v>244</v>
      </c>
      <c r="C35" s="6" t="s">
        <v>4954</v>
      </c>
      <c r="D35" s="6" t="s">
        <v>4804</v>
      </c>
      <c r="E35" s="6" t="s">
        <v>4955</v>
      </c>
      <c r="F35" s="6" t="s">
        <v>4796</v>
      </c>
      <c r="G35" s="44"/>
      <c r="H35" s="44" t="n">
        <v>2</v>
      </c>
      <c r="I35" s="44"/>
      <c r="J35" s="44" t="n">
        <v>5</v>
      </c>
      <c r="K35" s="44"/>
      <c r="L35" s="44" t="n">
        <v>3</v>
      </c>
      <c r="M35" s="44"/>
      <c r="N35" s="44"/>
      <c r="O35" s="44"/>
      <c r="P35" s="9" t="n">
        <f aca="false">SUM(G35:O35)</f>
        <v>10</v>
      </c>
    </row>
    <row r="36" customFormat="false" ht="15" hidden="false" customHeight="false" outlineLevel="0" collapsed="false">
      <c r="A36" s="7" t="s">
        <v>4808</v>
      </c>
      <c r="B36" s="29" t="s">
        <v>244</v>
      </c>
      <c r="C36" s="6" t="s">
        <v>4956</v>
      </c>
      <c r="D36" s="6" t="s">
        <v>4809</v>
      </c>
      <c r="E36" s="6" t="s">
        <v>4957</v>
      </c>
      <c r="F36" s="6" t="s">
        <v>4796</v>
      </c>
      <c r="G36" s="44"/>
      <c r="H36" s="44" t="n">
        <v>2</v>
      </c>
      <c r="I36" s="44"/>
      <c r="J36" s="44"/>
      <c r="K36" s="44"/>
      <c r="L36" s="44"/>
      <c r="M36" s="44"/>
      <c r="N36" s="44"/>
      <c r="O36" s="44" t="n">
        <v>10</v>
      </c>
      <c r="P36" s="9" t="n">
        <f aca="false">SUM(G36:O36)</f>
        <v>12</v>
      </c>
    </row>
    <row r="37" customFormat="false" ht="15" hidden="false" customHeight="false" outlineLevel="0" collapsed="false">
      <c r="A37" s="7" t="s">
        <v>4813</v>
      </c>
      <c r="B37" s="29" t="s">
        <v>244</v>
      </c>
      <c r="C37" s="6" t="s">
        <v>4956</v>
      </c>
      <c r="D37" s="6" t="s">
        <v>4814</v>
      </c>
      <c r="E37" s="6" t="s">
        <v>4958</v>
      </c>
      <c r="F37" s="6" t="s">
        <v>602</v>
      </c>
      <c r="G37" s="44"/>
      <c r="H37" s="44"/>
      <c r="I37" s="44"/>
      <c r="J37" s="44" t="n">
        <v>3</v>
      </c>
      <c r="K37" s="44" t="n">
        <v>2</v>
      </c>
      <c r="L37" s="44"/>
      <c r="M37" s="44"/>
      <c r="N37" s="44"/>
      <c r="O37" s="44"/>
      <c r="P37" s="9" t="n">
        <f aca="false">SUM(G37:O37)</f>
        <v>5</v>
      </c>
    </row>
    <row r="38" customFormat="false" ht="15" hidden="false" customHeight="false" outlineLevel="0" collapsed="false">
      <c r="A38" s="7" t="s">
        <v>4817</v>
      </c>
      <c r="B38" s="29" t="s">
        <v>244</v>
      </c>
      <c r="C38" s="6" t="s">
        <v>4956</v>
      </c>
      <c r="D38" s="6" t="s">
        <v>4818</v>
      </c>
      <c r="E38" s="6" t="s">
        <v>4959</v>
      </c>
      <c r="F38" s="6" t="s">
        <v>4808</v>
      </c>
      <c r="G38" s="44" t="n">
        <v>2</v>
      </c>
      <c r="H38" s="44" t="n">
        <v>3</v>
      </c>
      <c r="I38" s="44"/>
      <c r="J38" s="44"/>
      <c r="K38" s="44"/>
      <c r="L38" s="44"/>
      <c r="M38" s="44"/>
      <c r="N38" s="44"/>
      <c r="O38" s="44"/>
      <c r="P38" s="9" t="n">
        <f aca="false">SUM(G38:O38)</f>
        <v>5</v>
      </c>
    </row>
    <row r="39" customFormat="false" ht="15" hidden="false" customHeight="false" outlineLevel="0" collapsed="false">
      <c r="A39" s="7" t="s">
        <v>4821</v>
      </c>
      <c r="B39" s="29" t="s">
        <v>244</v>
      </c>
      <c r="C39" s="6" t="s">
        <v>4942</v>
      </c>
      <c r="D39" s="6" t="s">
        <v>4822</v>
      </c>
      <c r="E39" s="6" t="s">
        <v>4960</v>
      </c>
      <c r="F39" s="6" t="s">
        <v>4796</v>
      </c>
      <c r="G39" s="44"/>
      <c r="H39" s="44"/>
      <c r="I39" s="44"/>
      <c r="J39" s="44"/>
      <c r="K39" s="44"/>
      <c r="L39" s="44"/>
      <c r="M39" s="44"/>
      <c r="N39" s="44" t="n">
        <v>3</v>
      </c>
      <c r="O39" s="44"/>
      <c r="P39" s="9" t="n">
        <f aca="false">SUM(G39:O39)</f>
        <v>3</v>
      </c>
    </row>
    <row r="40" customFormat="false" ht="23.85" hidden="false" customHeight="false" outlineLevel="0" collapsed="false">
      <c r="A40" s="7" t="s">
        <v>4824</v>
      </c>
      <c r="B40" s="29" t="s">
        <v>244</v>
      </c>
      <c r="C40" s="6" t="s">
        <v>4942</v>
      </c>
      <c r="D40" s="6" t="s">
        <v>4825</v>
      </c>
      <c r="E40" s="6" t="s">
        <v>4961</v>
      </c>
      <c r="F40" s="6" t="s">
        <v>4706</v>
      </c>
      <c r="G40" s="44"/>
      <c r="H40" s="44" t="n">
        <v>2</v>
      </c>
      <c r="I40" s="44"/>
      <c r="J40" s="44"/>
      <c r="K40" s="44"/>
      <c r="L40" s="44"/>
      <c r="M40" s="44" t="n">
        <v>1</v>
      </c>
      <c r="N40" s="44" t="n">
        <v>5</v>
      </c>
      <c r="O40" s="44"/>
      <c r="P40" s="9" t="n">
        <f aca="false">SUM(G40:O40)</f>
        <v>8</v>
      </c>
    </row>
    <row r="41" customFormat="false" ht="15" hidden="false" customHeight="false" outlineLevel="0" collapsed="false">
      <c r="A41" s="7" t="s">
        <v>4829</v>
      </c>
      <c r="B41" s="29" t="s">
        <v>244</v>
      </c>
      <c r="C41" s="6" t="s">
        <v>4962</v>
      </c>
      <c r="D41" s="6" t="s">
        <v>4830</v>
      </c>
      <c r="E41" s="6" t="s">
        <v>4963</v>
      </c>
      <c r="F41" s="6" t="s">
        <v>4796</v>
      </c>
      <c r="G41" s="44" t="n">
        <v>3</v>
      </c>
      <c r="H41" s="44"/>
      <c r="I41" s="44"/>
      <c r="J41" s="44" t="n">
        <v>1</v>
      </c>
      <c r="K41" s="44"/>
      <c r="L41" s="44"/>
      <c r="M41" s="44" t="n">
        <v>3</v>
      </c>
      <c r="N41" s="44"/>
      <c r="O41" s="44"/>
      <c r="P41" s="9" t="n">
        <f aca="false">SUM(G41:O41)</f>
        <v>7</v>
      </c>
    </row>
    <row r="42" customFormat="false" ht="15" hidden="false" customHeight="false" outlineLevel="0" collapsed="false">
      <c r="A42" s="7" t="s">
        <v>4834</v>
      </c>
      <c r="B42" s="29" t="s">
        <v>244</v>
      </c>
      <c r="C42" s="6" t="s">
        <v>4962</v>
      </c>
      <c r="D42" s="6" t="s">
        <v>4835</v>
      </c>
      <c r="E42" s="6" t="s">
        <v>4964</v>
      </c>
      <c r="F42" s="6" t="s">
        <v>4829</v>
      </c>
      <c r="G42" s="44" t="n">
        <v>5</v>
      </c>
      <c r="H42" s="44"/>
      <c r="I42" s="44"/>
      <c r="J42" s="44" t="n">
        <v>8</v>
      </c>
      <c r="K42" s="44" t="n">
        <v>5</v>
      </c>
      <c r="L42" s="44" t="n">
        <v>4</v>
      </c>
      <c r="M42" s="44"/>
      <c r="N42" s="44"/>
      <c r="O42" s="44"/>
      <c r="P42" s="9" t="n">
        <f aca="false">SUM(G42:O42)</f>
        <v>22</v>
      </c>
    </row>
    <row r="43" customFormat="false" ht="23.85" hidden="false" customHeight="false" outlineLevel="0" collapsed="false">
      <c r="A43" s="7" t="s">
        <v>4840</v>
      </c>
      <c r="B43" s="37" t="s">
        <v>962</v>
      </c>
      <c r="C43" s="6" t="s">
        <v>4942</v>
      </c>
      <c r="D43" s="6" t="s">
        <v>4841</v>
      </c>
      <c r="E43" s="6" t="s">
        <v>4965</v>
      </c>
      <c r="F43" s="6" t="s">
        <v>4755</v>
      </c>
      <c r="G43" s="44"/>
      <c r="H43" s="44"/>
      <c r="I43" s="44"/>
      <c r="J43" s="44"/>
      <c r="K43" s="44"/>
      <c r="L43" s="44"/>
      <c r="M43" s="44"/>
      <c r="N43" s="44" t="n">
        <v>15</v>
      </c>
      <c r="O43" s="44"/>
      <c r="P43" s="9" t="n">
        <f aca="false">SUM(G43:O43)</f>
        <v>15</v>
      </c>
    </row>
    <row r="44" customFormat="false" ht="15" hidden="false" customHeight="false" outlineLevel="0" collapsed="false">
      <c r="A44" s="7" t="s">
        <v>1853</v>
      </c>
      <c r="B44" s="37" t="s">
        <v>962</v>
      </c>
      <c r="C44" s="6" t="s">
        <v>4924</v>
      </c>
      <c r="D44" s="6" t="s">
        <v>4843</v>
      </c>
      <c r="E44" s="6" t="s">
        <v>4944</v>
      </c>
      <c r="F44" s="6" t="s">
        <v>4758</v>
      </c>
      <c r="G44" s="44"/>
      <c r="H44" s="44" t="n">
        <v>3</v>
      </c>
      <c r="I44" s="44"/>
      <c r="J44" s="44" t="n">
        <v>1</v>
      </c>
      <c r="K44" s="44"/>
      <c r="L44" s="44"/>
      <c r="M44" s="44"/>
      <c r="N44" s="44"/>
      <c r="O44" s="44"/>
      <c r="P44" s="9" t="n">
        <f aca="false">SUM(G44:O44)</f>
        <v>4</v>
      </c>
    </row>
    <row r="45" customFormat="false" ht="15" hidden="false" customHeight="false" outlineLevel="0" collapsed="false">
      <c r="A45" s="7" t="s">
        <v>4846</v>
      </c>
      <c r="B45" s="37" t="s">
        <v>962</v>
      </c>
      <c r="C45" s="6" t="s">
        <v>4936</v>
      </c>
      <c r="D45" s="6" t="s">
        <v>4847</v>
      </c>
      <c r="E45" s="6" t="s">
        <v>4953</v>
      </c>
      <c r="F45" s="6" t="s">
        <v>4848</v>
      </c>
      <c r="G45" s="44" t="n">
        <v>4</v>
      </c>
      <c r="H45" s="44" t="n">
        <v>2</v>
      </c>
      <c r="I45" s="44"/>
      <c r="J45" s="44" t="n">
        <v>4</v>
      </c>
      <c r="K45" s="44" t="n">
        <v>4</v>
      </c>
      <c r="L45" s="44" t="n">
        <v>12</v>
      </c>
      <c r="M45" s="44"/>
      <c r="N45" s="44"/>
      <c r="O45" s="44"/>
      <c r="P45" s="9" t="n">
        <f aca="false">SUM(G45:O45)</f>
        <v>26</v>
      </c>
    </row>
    <row r="46" customFormat="false" ht="15" hidden="false" customHeight="false" outlineLevel="0" collapsed="false">
      <c r="A46" s="7" t="s">
        <v>4854</v>
      </c>
      <c r="B46" s="37" t="s">
        <v>962</v>
      </c>
      <c r="C46" s="6" t="s">
        <v>4942</v>
      </c>
      <c r="D46" s="6" t="s">
        <v>4855</v>
      </c>
      <c r="E46" s="6" t="s">
        <v>4960</v>
      </c>
      <c r="F46" s="6" t="s">
        <v>4846</v>
      </c>
      <c r="G46" s="44"/>
      <c r="H46" s="44"/>
      <c r="I46" s="44"/>
      <c r="J46" s="44"/>
      <c r="K46" s="44"/>
      <c r="L46" s="44"/>
      <c r="M46" s="44"/>
      <c r="N46" s="44" t="n">
        <v>3</v>
      </c>
      <c r="O46" s="44"/>
      <c r="P46" s="9" t="n">
        <f aca="false">SUM(G46:O46)</f>
        <v>3</v>
      </c>
    </row>
    <row r="47" customFormat="false" ht="15" hidden="false" customHeight="false" outlineLevel="0" collapsed="false">
      <c r="A47" s="7" t="s">
        <v>4857</v>
      </c>
      <c r="B47" s="37" t="s">
        <v>962</v>
      </c>
      <c r="C47" s="6" t="s">
        <v>4956</v>
      </c>
      <c r="D47" s="6" t="s">
        <v>4858</v>
      </c>
      <c r="E47" s="6" t="s">
        <v>4966</v>
      </c>
      <c r="F47" s="6" t="s">
        <v>4846</v>
      </c>
      <c r="G47" s="44"/>
      <c r="H47" s="44" t="n">
        <v>2</v>
      </c>
      <c r="I47" s="44"/>
      <c r="J47" s="44"/>
      <c r="K47" s="44"/>
      <c r="L47" s="44"/>
      <c r="M47" s="44"/>
      <c r="N47" s="44"/>
      <c r="O47" s="44" t="n">
        <v>6</v>
      </c>
      <c r="P47" s="9" t="n">
        <f aca="false">SUM(G47:O47)</f>
        <v>8</v>
      </c>
    </row>
    <row r="48" customFormat="false" ht="15" hidden="false" customHeight="false" outlineLevel="0" collapsed="false">
      <c r="A48" s="7" t="s">
        <v>4861</v>
      </c>
      <c r="B48" s="37" t="s">
        <v>962</v>
      </c>
      <c r="C48" s="6" t="s">
        <v>4962</v>
      </c>
      <c r="D48" s="6" t="s">
        <v>4862</v>
      </c>
      <c r="E48" s="6" t="s">
        <v>4963</v>
      </c>
      <c r="F48" s="6" t="s">
        <v>4846</v>
      </c>
      <c r="G48" s="44" t="n">
        <v>4</v>
      </c>
      <c r="H48" s="44"/>
      <c r="I48" s="44"/>
      <c r="J48" s="44" t="n">
        <v>5</v>
      </c>
      <c r="K48" s="44" t="n">
        <v>3</v>
      </c>
      <c r="L48" s="44" t="n">
        <v>2</v>
      </c>
      <c r="M48" s="44" t="n">
        <v>2</v>
      </c>
      <c r="N48" s="44"/>
      <c r="O48" s="44"/>
      <c r="P48" s="9" t="n">
        <f aca="false">SUM(G48:O48)</f>
        <v>16</v>
      </c>
    </row>
    <row r="49" customFormat="false" ht="23.85" hidden="false" customHeight="false" outlineLevel="0" collapsed="false">
      <c r="A49" s="7" t="s">
        <v>777</v>
      </c>
      <c r="B49" s="32" t="s">
        <v>272</v>
      </c>
      <c r="C49" s="6" t="s">
        <v>4942</v>
      </c>
      <c r="D49" s="6" t="s">
        <v>4868</v>
      </c>
      <c r="E49" s="6" t="s">
        <v>4967</v>
      </c>
      <c r="F49" s="6" t="s">
        <v>4840</v>
      </c>
      <c r="G49" s="44"/>
      <c r="H49" s="44"/>
      <c r="I49" s="44"/>
      <c r="J49" s="44"/>
      <c r="K49" s="44"/>
      <c r="L49" s="44"/>
      <c r="M49" s="44"/>
      <c r="N49" s="44" t="n">
        <v>12</v>
      </c>
      <c r="O49" s="44"/>
      <c r="P49" s="9" t="n">
        <f aca="false">SUM(G49:O49)</f>
        <v>12</v>
      </c>
    </row>
    <row r="50" customFormat="false" ht="23.85" hidden="false" customHeight="false" outlineLevel="0" collapsed="false">
      <c r="A50" s="7" t="s">
        <v>499</v>
      </c>
      <c r="B50" s="32" t="s">
        <v>272</v>
      </c>
      <c r="C50" s="6" t="s">
        <v>4933</v>
      </c>
      <c r="D50" s="6" t="s">
        <v>4870</v>
      </c>
      <c r="E50" s="6" t="s">
        <v>4968</v>
      </c>
      <c r="F50" s="6" t="s">
        <v>4762</v>
      </c>
      <c r="G50" s="44"/>
      <c r="H50" s="44"/>
      <c r="I50" s="44"/>
      <c r="J50" s="44" t="n">
        <v>2</v>
      </c>
      <c r="K50" s="44"/>
      <c r="L50" s="44"/>
      <c r="M50" s="44" t="n">
        <v>8</v>
      </c>
      <c r="N50" s="44"/>
      <c r="O50" s="44"/>
      <c r="P50" s="9" t="n">
        <f aca="false">SUM(G50:O50)</f>
        <v>10</v>
      </c>
    </row>
    <row r="51" customFormat="false" ht="15" hidden="false" customHeight="false" outlineLevel="0" collapsed="false">
      <c r="A51" s="7" t="s">
        <v>4873</v>
      </c>
      <c r="B51" s="32" t="s">
        <v>272</v>
      </c>
      <c r="C51" s="6" t="s">
        <v>4936</v>
      </c>
      <c r="D51" s="6" t="s">
        <v>4874</v>
      </c>
      <c r="E51" s="6" t="s">
        <v>4953</v>
      </c>
      <c r="F51" s="6" t="s">
        <v>4875</v>
      </c>
      <c r="G51" s="44" t="n">
        <v>4</v>
      </c>
      <c r="H51" s="44" t="n">
        <v>2</v>
      </c>
      <c r="I51" s="44"/>
      <c r="J51" s="44" t="n">
        <v>4</v>
      </c>
      <c r="K51" s="44" t="n">
        <v>4</v>
      </c>
      <c r="L51" s="44" t="n">
        <v>14</v>
      </c>
      <c r="M51" s="44"/>
      <c r="N51" s="44"/>
      <c r="O51" s="44"/>
      <c r="P51" s="9" t="n">
        <f aca="false">SUM(G51:O51)</f>
        <v>28</v>
      </c>
    </row>
    <row r="52" customFormat="false" ht="15" hidden="false" customHeight="false" outlineLevel="0" collapsed="false">
      <c r="A52" s="7" t="s">
        <v>4881</v>
      </c>
      <c r="B52" s="32" t="s">
        <v>272</v>
      </c>
      <c r="C52" s="6" t="s">
        <v>4956</v>
      </c>
      <c r="D52" s="6" t="s">
        <v>4882</v>
      </c>
      <c r="E52" s="6" t="s">
        <v>4966</v>
      </c>
      <c r="F52" s="6" t="s">
        <v>4873</v>
      </c>
      <c r="G52" s="44"/>
      <c r="H52" s="44" t="n">
        <v>2</v>
      </c>
      <c r="I52" s="44"/>
      <c r="J52" s="44"/>
      <c r="K52" s="44"/>
      <c r="L52" s="44"/>
      <c r="M52" s="44"/>
      <c r="N52" s="44"/>
      <c r="O52" s="44" t="n">
        <v>6</v>
      </c>
      <c r="P52" s="9" t="n">
        <f aca="false">SUM(G52:O52)</f>
        <v>8</v>
      </c>
    </row>
    <row r="53" customFormat="false" ht="15" hidden="false" customHeight="false" outlineLevel="0" collapsed="false">
      <c r="A53" s="7" t="s">
        <v>4885</v>
      </c>
      <c r="B53" s="32" t="s">
        <v>272</v>
      </c>
      <c r="C53" s="6" t="s">
        <v>4962</v>
      </c>
      <c r="D53" s="6" t="s">
        <v>4886</v>
      </c>
      <c r="E53" s="6" t="s">
        <v>4963</v>
      </c>
      <c r="F53" s="6" t="s">
        <v>4873</v>
      </c>
      <c r="G53" s="44" t="n">
        <v>3</v>
      </c>
      <c r="H53" s="44"/>
      <c r="I53" s="44"/>
      <c r="J53" s="44" t="n">
        <v>4</v>
      </c>
      <c r="K53" s="44" t="n">
        <v>2</v>
      </c>
      <c r="L53" s="44" t="n">
        <v>2</v>
      </c>
      <c r="M53" s="44" t="n">
        <v>2</v>
      </c>
      <c r="N53" s="44"/>
      <c r="O53" s="44"/>
      <c r="P53" s="9" t="n">
        <f aca="false">SUM(G53:O53)</f>
        <v>13</v>
      </c>
    </row>
    <row r="54" customFormat="false" ht="23.85" hidden="false" customHeight="false" outlineLevel="0" collapsed="false">
      <c r="A54" s="7" t="s">
        <v>4892</v>
      </c>
      <c r="B54" s="33" t="s">
        <v>287</v>
      </c>
      <c r="C54" s="6" t="s">
        <v>4936</v>
      </c>
      <c r="D54" s="6" t="s">
        <v>4893</v>
      </c>
      <c r="E54" s="6" t="s">
        <v>4969</v>
      </c>
      <c r="F54" s="6" t="s">
        <v>284</v>
      </c>
      <c r="G54" s="44"/>
      <c r="H54" s="44" t="n">
        <v>2</v>
      </c>
      <c r="I54" s="44"/>
      <c r="J54" s="44" t="n">
        <v>3</v>
      </c>
      <c r="K54" s="44"/>
      <c r="L54" s="44" t="n">
        <v>5</v>
      </c>
      <c r="M54" s="44"/>
      <c r="N54" s="44" t="n">
        <v>2</v>
      </c>
      <c r="O54" s="44"/>
      <c r="P54" s="9" t="n">
        <f aca="false">SUM(G54:O54)</f>
        <v>12</v>
      </c>
    </row>
    <row r="55" customFormat="false" ht="15" hidden="false" customHeight="false" outlineLevel="0" collapsed="false">
      <c r="A55" s="7" t="s">
        <v>4898</v>
      </c>
      <c r="B55" s="33" t="s">
        <v>287</v>
      </c>
      <c r="C55" s="6" t="s">
        <v>4936</v>
      </c>
      <c r="D55" s="6" t="s">
        <v>4899</v>
      </c>
      <c r="E55" s="6" t="s">
        <v>4953</v>
      </c>
      <c r="F55" s="6" t="s">
        <v>4900</v>
      </c>
      <c r="G55" s="44" t="n">
        <v>3</v>
      </c>
      <c r="H55" s="44" t="n">
        <v>1</v>
      </c>
      <c r="I55" s="44"/>
      <c r="J55" s="44" t="n">
        <v>3</v>
      </c>
      <c r="K55" s="44" t="n">
        <v>2</v>
      </c>
      <c r="L55" s="44" t="n">
        <v>8</v>
      </c>
      <c r="M55" s="44"/>
      <c r="N55" s="44"/>
      <c r="O55" s="44"/>
      <c r="P55" s="9" t="n">
        <f aca="false">SUM(G55:O55)</f>
        <v>17</v>
      </c>
    </row>
    <row r="56" customFormat="false" ht="15" hidden="false" customHeight="false" outlineLevel="0" collapsed="false">
      <c r="A56" s="7" t="s">
        <v>4906</v>
      </c>
      <c r="B56" s="33" t="s">
        <v>287</v>
      </c>
      <c r="C56" s="6" t="s">
        <v>4956</v>
      </c>
      <c r="D56" s="6" t="s">
        <v>4907</v>
      </c>
      <c r="E56" s="6" t="s">
        <v>4966</v>
      </c>
      <c r="F56" s="6" t="s">
        <v>4898</v>
      </c>
      <c r="G56" s="44"/>
      <c r="H56" s="44"/>
      <c r="I56" s="44"/>
      <c r="J56" s="44"/>
      <c r="K56" s="44"/>
      <c r="L56" s="44"/>
      <c r="M56" s="44"/>
      <c r="N56" s="44"/>
      <c r="O56" s="44" t="n">
        <v>3</v>
      </c>
      <c r="P56" s="9" t="n">
        <f aca="false">SUM(G56:O56)</f>
        <v>3</v>
      </c>
    </row>
    <row r="57" customFormat="false" ht="15" hidden="false" customHeight="false" outlineLevel="0" collapsed="false">
      <c r="A57" s="7" t="s">
        <v>4909</v>
      </c>
      <c r="B57" s="33" t="s">
        <v>287</v>
      </c>
      <c r="C57" s="6" t="s">
        <v>4962</v>
      </c>
      <c r="D57" s="6" t="s">
        <v>4910</v>
      </c>
      <c r="E57" s="6" t="s">
        <v>4963</v>
      </c>
      <c r="F57" s="6" t="s">
        <v>4898</v>
      </c>
      <c r="G57" s="44" t="n">
        <v>2</v>
      </c>
      <c r="H57" s="44"/>
      <c r="I57" s="44"/>
      <c r="J57" s="44" t="n">
        <v>3</v>
      </c>
      <c r="K57" s="44" t="n">
        <v>1</v>
      </c>
      <c r="L57" s="44" t="n">
        <v>1</v>
      </c>
      <c r="M57" s="44" t="n">
        <v>2</v>
      </c>
      <c r="N57" s="44"/>
      <c r="O57" s="44"/>
      <c r="P57" s="9" t="n">
        <f aca="false">SUM(G57:O57)</f>
        <v>9</v>
      </c>
    </row>
    <row r="59" customFormat="false" ht="15" hidden="false" customHeight="false" outlineLevel="0" collapsed="false">
      <c r="D59" s="38" t="s">
        <v>2053</v>
      </c>
      <c r="G59" s="39" t="n">
        <f aca="false">SUM(G5:G57)</f>
        <v>150</v>
      </c>
      <c r="H59" s="39" t="n">
        <f aca="false">SUM(H5:H57)</f>
        <v>84</v>
      </c>
      <c r="I59" s="39" t="n">
        <f aca="false">SUM(I5:I57)</f>
        <v>16</v>
      </c>
      <c r="J59" s="39" t="n">
        <f aca="false">SUM(J5:J57)</f>
        <v>94</v>
      </c>
      <c r="K59" s="39" t="n">
        <f aca="false">SUM(K5:K57)</f>
        <v>42</v>
      </c>
      <c r="L59" s="39" t="n">
        <f aca="false">SUM(L5:L57)</f>
        <v>94</v>
      </c>
      <c r="M59" s="39" t="n">
        <f aca="false">SUM(M5:M57)</f>
        <v>218</v>
      </c>
      <c r="N59" s="39" t="n">
        <f aca="false">SUM(N5:N57)</f>
        <v>69</v>
      </c>
      <c r="O59" s="39" t="n">
        <f aca="false">SUM(O5:O57)</f>
        <v>25</v>
      </c>
      <c r="P59" s="39" t="n">
        <f aca="false">SUM(P5:P57)</f>
        <v>792</v>
      </c>
    </row>
  </sheetData>
  <autoFilter ref="A4:P57"/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T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9" min="3" style="0" width="8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3" min="12" style="0" width="11"/>
    <col collapsed="false" customWidth="true" hidden="false" outlineLevel="0" max="16" min="14" style="0" width="8"/>
    <col collapsed="false" customWidth="true" hidden="false" outlineLevel="0" max="18" min="17" style="0" width="11"/>
    <col collapsed="false" customWidth="true" hidden="false" outlineLevel="0" max="19" min="19" style="0" width="9"/>
    <col collapsed="false" customWidth="true" hidden="false" outlineLevel="0" max="21" min="20" style="0" width="15"/>
    <col collapsed="false" customWidth="true" hidden="false" outlineLevel="0" max="22" min="22" style="0" width="11"/>
    <col collapsed="false" customWidth="true" hidden="false" outlineLevel="0" max="28" min="23" style="0" width="7"/>
    <col collapsed="false" customWidth="true" hidden="false" outlineLevel="0" max="46" min="29" style="0" width="13"/>
  </cols>
  <sheetData>
    <row r="1" customFormat="false" ht="17.9" hidden="false" customHeight="false" outlineLevel="0" collapsed="false">
      <c r="A1" s="27" t="s">
        <v>4970</v>
      </c>
    </row>
    <row r="2" customFormat="false" ht="15" hidden="false" customHeight="false" outlineLevel="0" collapsed="false">
      <c r="A2" s="2" t="s">
        <v>4971</v>
      </c>
    </row>
    <row r="3" customFormat="false" ht="15" hidden="false" customHeight="false" outlineLevel="0" collapsed="false">
      <c r="W3" s="45" t="s">
        <v>4972</v>
      </c>
    </row>
    <row r="4" customFormat="false" ht="31.5" hidden="false" customHeight="true" outlineLevel="0" collapsed="false">
      <c r="A4" s="3" t="s">
        <v>22</v>
      </c>
      <c r="B4" s="3" t="s">
        <v>4973</v>
      </c>
      <c r="C4" s="3" t="s">
        <v>91</v>
      </c>
      <c r="D4" s="3" t="s">
        <v>128</v>
      </c>
      <c r="E4" s="3" t="s">
        <v>2068</v>
      </c>
      <c r="F4" s="3" t="s">
        <v>2071</v>
      </c>
      <c r="G4" s="3" t="s">
        <v>96</v>
      </c>
      <c r="H4" s="3" t="s">
        <v>97</v>
      </c>
      <c r="I4" s="3" t="s">
        <v>89</v>
      </c>
      <c r="J4" s="3" t="s">
        <v>98</v>
      </c>
      <c r="K4" s="3" t="s">
        <v>4811</v>
      </c>
      <c r="L4" s="3" t="s">
        <v>4974</v>
      </c>
      <c r="M4" s="3" t="s">
        <v>4975</v>
      </c>
      <c r="N4" s="3" t="s">
        <v>24</v>
      </c>
      <c r="O4" s="3" t="s">
        <v>4976</v>
      </c>
      <c r="P4" s="3" t="s">
        <v>4977</v>
      </c>
      <c r="Q4" s="3" t="s">
        <v>4978</v>
      </c>
      <c r="R4" s="3" t="s">
        <v>4979</v>
      </c>
      <c r="S4" s="3" t="s">
        <v>4980</v>
      </c>
      <c r="T4" s="3" t="s">
        <v>4981</v>
      </c>
      <c r="U4" s="3" t="s">
        <v>20</v>
      </c>
      <c r="V4" s="3" t="s">
        <v>4982</v>
      </c>
      <c r="W4" s="46" t="s">
        <v>91</v>
      </c>
      <c r="X4" s="46" t="s">
        <v>128</v>
      </c>
      <c r="Y4" s="46" t="s">
        <v>2068</v>
      </c>
      <c r="Z4" s="46" t="s">
        <v>2071</v>
      </c>
      <c r="AA4" s="46" t="s">
        <v>96</v>
      </c>
      <c r="AB4" s="46" t="s">
        <v>97</v>
      </c>
    </row>
    <row r="5" customFormat="false" ht="22.35" hidden="false" customHeight="false" outlineLevel="0" collapsed="false">
      <c r="A5" s="47" t="s">
        <v>144</v>
      </c>
      <c r="B5" s="28" t="s">
        <v>4983</v>
      </c>
      <c r="C5" s="48" t="n">
        <f aca="false">SUMIFS(WBS!$R$5:$R$279,WBS!$H$5:$H$279,$A5)+SUMIFS(Project_Tasks!$H$5:$H$57,Project_Tasks!$B$5:$B$57,$A5)</f>
        <v>91.1</v>
      </c>
      <c r="D5" s="48" t="n">
        <f aca="false">SUMIFS(WBS!$S$5:$S$279,WBS!$H$5:$H$279,$A5)+SUMIFS(Project_Tasks!$I$5:$I$57,Project_Tasks!$B$5:$B$57,$A5)</f>
        <v>50.4</v>
      </c>
      <c r="E5" s="48" t="n">
        <f aca="false">SUMIFS(WBS!$P$5:$P$279,WBS!$H$5:$H$279,$A5)+SUMIFS(Project_Tasks!$J$5:$J$57,Project_Tasks!$B$5:$B$57,$A5)</f>
        <v>213</v>
      </c>
      <c r="F5" s="48" t="n">
        <f aca="false">SUMIFS(WBS!$Q$5:$Q$279,WBS!$H$5:$H$279,$A5)+SUMIFS(Project_Tasks!$K$5:$K$57,Project_Tasks!$B$5:$B$57,$A5)</f>
        <v>136</v>
      </c>
      <c r="G5" s="48" t="n">
        <f aca="false">SUMIFS(WBS!$T$5:$T$279,WBS!$H$5:$H$279,$A5)+SUMIFS(Project_Tasks!$L$5:$L$57,Project_Tasks!$B$5:$B$57,$A5)</f>
        <v>126.4</v>
      </c>
      <c r="H5" s="48" t="n">
        <f aca="false">SUMIFS(Project_Tasks!$M$5:$M$57,Project_Tasks!$B$5:$B$57,$A5)</f>
        <v>49</v>
      </c>
      <c r="I5" s="48" t="n">
        <f aca="false">SUMIFS(Project_Tasks!$G$5:$G$57,Project_Tasks!$B$5:$B$57,$A5)</f>
        <v>36</v>
      </c>
      <c r="J5" s="48" t="n">
        <f aca="false">SUMIFS(Project_Tasks!$N$5:$N$57,Project_Tasks!$B$5:$B$57,$A5)</f>
        <v>9</v>
      </c>
      <c r="K5" s="48" t="n">
        <f aca="false">SUMIFS(Project_Tasks!$O$5:$O$57,Project_Tasks!$B$5:$B$57,$A5)</f>
        <v>0</v>
      </c>
      <c r="L5" s="49" t="n">
        <f aca="false">SUM(C5:K5)</f>
        <v>710.9</v>
      </c>
      <c r="M5" s="48" t="n">
        <f aca="false">L5*(1+Assumptions!$B$7)</f>
        <v>817.535</v>
      </c>
      <c r="N5" s="7" t="n">
        <f aca="false">ROUNDUP(MAX(W5:AB5),0)</f>
        <v>6</v>
      </c>
      <c r="O5" s="14" t="n">
        <v>1</v>
      </c>
      <c r="P5" s="14" t="n">
        <f aca="false">O5+N5-1</f>
        <v>6</v>
      </c>
      <c r="Q5" s="15" t="n">
        <f aca="false">Assumptions!$B$12+(O5-1)*14</f>
        <v>46328</v>
      </c>
      <c r="R5" s="15" t="n">
        <f aca="false">Assumptions!$B$12+P5*14-3</f>
        <v>46409</v>
      </c>
      <c r="S5" s="31" t="n">
        <f aca="false">ROUND(N5*14/30.4,1)</f>
        <v>2.8</v>
      </c>
      <c r="T5" s="13" t="n">
        <f aca="false">(C5*Assumptions!$G$24+D5*Assumptions!$G$25+E5*Assumptions!$G$26+F5*Assumptions!$G$27+G5*Assumptions!$G$28+H5*Assumptions!$G$29+I5*Assumptions!$G$23+J5*Assumptions!$G$30+K5*Assumptions!$G$31)*(1+Assumptions!$B$7)</f>
        <v>4897505</v>
      </c>
      <c r="U5" s="13" t="n">
        <f aca="false">(Assumptions!$B$24*Assumptions!$G$24+Assumptions!$B$25*Assumptions!$G$25+Assumptions!$B$26*Assumptions!$G$26+Assumptions!$B$27*Assumptions!$G$27+Assumptions!$B$28*Assumptions!$G$28+Assumptions!$B$29*Assumptions!$G$29+Assumptions!$B$23*Assumptions!$G$23+Assumptions!$B$30*Assumptions!$G$30+Assumptions!$B$31*Assumptions!$G$31)*N5*Assumptions!$B$5</f>
        <v>8205000</v>
      </c>
      <c r="V5" s="16" t="str">
        <f aca="false">INDEX($W$4:$AB$4,MATCH(MAX(W5:AB5),W5:AB5,0))</f>
        <v>BE</v>
      </c>
      <c r="W5" s="50" t="n">
        <f aca="false">IF(Assumptions!$B$24&gt;0,C5*(1+Assumptions!$B$7)/(Assumptions!$B$24*Assumptions!$B$5*Assumptions!$B$6),0)</f>
        <v>4.36520833333333</v>
      </c>
      <c r="X5" s="50" t="n">
        <f aca="false">IF(Assumptions!$B$25&gt;0,D5*(1+Assumptions!$B$7)/(Assumptions!$B$25*Assumptions!$B$5*Assumptions!$B$6),0)</f>
        <v>3.6225</v>
      </c>
      <c r="Y5" s="50" t="n">
        <f aca="false">IF(Assumptions!$B$26&gt;0,E5*(1+Assumptions!$B$7)/(Assumptions!$B$26*Assumptions!$B$5*Assumptions!$B$6),0)</f>
        <v>5.103125</v>
      </c>
      <c r="Z5" s="50" t="n">
        <f aca="false">IF(Assumptions!$B$27&gt;0,F5*(1+Assumptions!$B$7)/(Assumptions!$B$27*Assumptions!$B$5*Assumptions!$B$6),0)</f>
        <v>4.8875</v>
      </c>
      <c r="AA5" s="50" t="n">
        <f aca="false">IF(Assumptions!$B$28&gt;0,G5*(1+Assumptions!$B$7)/(Assumptions!$B$28*Assumptions!$B$5*Assumptions!$B$6),0)</f>
        <v>4.5425</v>
      </c>
      <c r="AB5" s="50" t="n">
        <f aca="false">IF(Assumptions!$B$29&gt;0,SUMIFS(Project_Tasks!$M$5:$M$57,Project_Tasks!$B$5:$B$57,$A5,Project_Tasks!$C$5:$C$57,"&lt;&gt;งานต่อเนื่อง")*(1+Assumptions!$B$7)/(Assumptions!$B$29*Assumptions!$B$5*Assumptions!$B$6),0)</f>
        <v>1.365625</v>
      </c>
    </row>
    <row r="6" customFormat="false" ht="22.35" hidden="false" customHeight="false" outlineLevel="0" collapsed="false">
      <c r="A6" s="51" t="s">
        <v>244</v>
      </c>
      <c r="B6" s="28" t="s">
        <v>4984</v>
      </c>
      <c r="C6" s="48" t="n">
        <f aca="false">SUMIFS(WBS!$R$5:$R$279,WBS!$H$5:$H$279,$A6)+SUMIFS(Project_Tasks!$H$5:$H$57,Project_Tasks!$B$5:$B$57,$A6)</f>
        <v>104.6</v>
      </c>
      <c r="D6" s="48" t="n">
        <f aca="false">SUMIFS(WBS!$S$5:$S$279,WBS!$H$5:$H$279,$A6)+SUMIFS(Project_Tasks!$I$5:$I$57,Project_Tasks!$B$5:$B$57,$A6)</f>
        <v>72</v>
      </c>
      <c r="E6" s="48" t="n">
        <f aca="false">SUMIFS(WBS!$P$5:$P$279,WBS!$H$5:$H$279,$A6)+SUMIFS(Project_Tasks!$J$5:$J$57,Project_Tasks!$B$5:$B$57,$A6)</f>
        <v>408</v>
      </c>
      <c r="F6" s="48" t="n">
        <f aca="false">SUMIFS(WBS!$Q$5:$Q$279,WBS!$H$5:$H$279,$A6)+SUMIFS(Project_Tasks!$K$5:$K$57,Project_Tasks!$B$5:$B$57,$A6)</f>
        <v>372</v>
      </c>
      <c r="G6" s="48" t="n">
        <f aca="false">SUMIFS(WBS!$T$5:$T$279,WBS!$H$5:$H$279,$A6)+SUMIFS(Project_Tasks!$L$5:$L$57,Project_Tasks!$B$5:$B$57,$A6)</f>
        <v>287.8</v>
      </c>
      <c r="H6" s="48" t="n">
        <f aca="false">SUMIFS(Project_Tasks!$M$5:$M$57,Project_Tasks!$B$5:$B$57,$A6)</f>
        <v>70</v>
      </c>
      <c r="I6" s="48" t="n">
        <f aca="false">SUMIFS(Project_Tasks!$G$5:$G$57,Project_Tasks!$B$5:$B$57,$A6)</f>
        <v>43</v>
      </c>
      <c r="J6" s="48" t="n">
        <f aca="false">SUMIFS(Project_Tasks!$N$5:$N$57,Project_Tasks!$B$5:$B$57,$A6)</f>
        <v>28</v>
      </c>
      <c r="K6" s="48" t="n">
        <f aca="false">SUMIFS(Project_Tasks!$O$5:$O$57,Project_Tasks!$B$5:$B$57,$A6)</f>
        <v>10</v>
      </c>
      <c r="L6" s="49" t="n">
        <f aca="false">SUM(C6:K6)</f>
        <v>1395.4</v>
      </c>
      <c r="M6" s="48" t="n">
        <f aca="false">L6*(1+Assumptions!$B$7)</f>
        <v>1604.71</v>
      </c>
      <c r="N6" s="7" t="n">
        <f aca="false">ROUNDUP(MAX(W6:AB6),0)</f>
        <v>9</v>
      </c>
      <c r="O6" s="14" t="n">
        <f aca="false">P5+1</f>
        <v>7</v>
      </c>
      <c r="P6" s="14" t="n">
        <f aca="false">O6+N6-1</f>
        <v>15</v>
      </c>
      <c r="Q6" s="15" t="n">
        <f aca="false">Assumptions!$B$12+(O6-1)*14</f>
        <v>46412</v>
      </c>
      <c r="R6" s="15" t="n">
        <f aca="false">Assumptions!$B$12+P6*14-3</f>
        <v>46535</v>
      </c>
      <c r="S6" s="31" t="n">
        <f aca="false">ROUND(N6*14/30.4,1)</f>
        <v>4.1</v>
      </c>
      <c r="T6" s="13" t="n">
        <f aca="false">(C6*Assumptions!$G$24+D6*Assumptions!$G$25+E6*Assumptions!$G$26+F6*Assumptions!$G$27+G6*Assumptions!$G$28+H6*Assumptions!$G$29+I6*Assumptions!$G$23+J6*Assumptions!$G$30+K6*Assumptions!$G$31)*(1+Assumptions!$B$7)</f>
        <v>9356745</v>
      </c>
      <c r="U6" s="13" t="n">
        <f aca="false">(Assumptions!$C$24*Assumptions!$G$24+Assumptions!$C$25*Assumptions!$G$25+Assumptions!$C$26*Assumptions!$G$26+Assumptions!$C$27*Assumptions!$G$27+Assumptions!$C$28*Assumptions!$G$28+Assumptions!$C$29*Assumptions!$G$29+Assumptions!$C$23*Assumptions!$G$23+Assumptions!$C$30*Assumptions!$G$30+Assumptions!$C$31*Assumptions!$G$31)*N6*Assumptions!$B$5</f>
        <v>13657500</v>
      </c>
      <c r="V6" s="16" t="str">
        <f aca="false">INDEX($W$4:$AB$4,MATCH(MAX(W6:AB6),W6:AB6,0))</f>
        <v>FE</v>
      </c>
      <c r="W6" s="50" t="n">
        <f aca="false">IF(Assumptions!$C$24&gt;0,C6*(1+Assumptions!$B$7)/(Assumptions!$C$24*Assumptions!$B$5*Assumptions!$B$6),0)</f>
        <v>7.518125</v>
      </c>
      <c r="X6" s="50" t="n">
        <f aca="false">IF(Assumptions!$C$25&gt;0,D6*(1+Assumptions!$B$7)/(Assumptions!$C$25*Assumptions!$B$5*Assumptions!$B$6),0)</f>
        <v>5.175</v>
      </c>
      <c r="Y6" s="50" t="n">
        <f aca="false">IF(Assumptions!$C$26&gt;0,E6*(1+Assumptions!$B$7)/(Assumptions!$C$26*Assumptions!$B$5*Assumptions!$B$6),0)</f>
        <v>8.37857142857143</v>
      </c>
      <c r="Z6" s="50" t="n">
        <f aca="false">IF(Assumptions!$C$27&gt;0,F6*(1+Assumptions!$B$7)/(Assumptions!$C$27*Assumptions!$B$5*Assumptions!$B$6),0)</f>
        <v>8.9125</v>
      </c>
      <c r="AA6" s="50" t="n">
        <f aca="false">IF(Assumptions!$C$28&gt;0,G6*(1+Assumptions!$B$7)/(Assumptions!$C$28*Assumptions!$B$5*Assumptions!$B$6),0)</f>
        <v>8.27425</v>
      </c>
      <c r="AB6" s="50" t="n">
        <f aca="false">IF(Assumptions!$C$29&gt;0,SUMIFS(Project_Tasks!$M$5:$M$57,Project_Tasks!$B$5:$B$57,$A6,Project_Tasks!$C$5:$C$57,"&lt;&gt;งานต่อเนื่อง")*(1+Assumptions!$B$7)/(Assumptions!$C$29*Assumptions!$B$5*Assumptions!$B$6),0)</f>
        <v>1.796875</v>
      </c>
    </row>
    <row r="7" customFormat="false" ht="32.8" hidden="false" customHeight="false" outlineLevel="0" collapsed="false">
      <c r="A7" s="52" t="s">
        <v>962</v>
      </c>
      <c r="B7" s="28" t="s">
        <v>4985</v>
      </c>
      <c r="C7" s="48" t="n">
        <f aca="false">SUMIFS(WBS!$R$5:$R$279,WBS!$H$5:$H$279,$A7)+SUMIFS(Project_Tasks!$H$5:$H$57,Project_Tasks!$B$5:$B$57,$A7)</f>
        <v>50.7</v>
      </c>
      <c r="D7" s="48" t="n">
        <f aca="false">SUMIFS(WBS!$S$5:$S$279,WBS!$H$5:$H$279,$A7)+SUMIFS(Project_Tasks!$I$5:$I$57,Project_Tasks!$B$5:$B$57,$A7)</f>
        <v>30</v>
      </c>
      <c r="E7" s="48" t="n">
        <f aca="false">SUMIFS(WBS!$P$5:$P$279,WBS!$H$5:$H$279,$A7)+SUMIFS(Project_Tasks!$J$5:$J$57,Project_Tasks!$B$5:$B$57,$A7)</f>
        <v>191</v>
      </c>
      <c r="F7" s="48" t="n">
        <f aca="false">SUMIFS(WBS!$Q$5:$Q$279,WBS!$H$5:$H$279,$A7)+SUMIFS(Project_Tasks!$K$5:$K$57,Project_Tasks!$B$5:$B$57,$A7)</f>
        <v>190</v>
      </c>
      <c r="G7" s="48" t="n">
        <f aca="false">SUMIFS(WBS!$T$5:$T$279,WBS!$H$5:$H$279,$A7)+SUMIFS(Project_Tasks!$L$5:$L$57,Project_Tasks!$B$5:$B$57,$A7)</f>
        <v>141.6</v>
      </c>
      <c r="H7" s="48" t="n">
        <f aca="false">SUMIFS(Project_Tasks!$M$5:$M$57,Project_Tasks!$B$5:$B$57,$A7)</f>
        <v>27</v>
      </c>
      <c r="I7" s="48" t="n">
        <f aca="false">SUMIFS(Project_Tasks!$G$5:$G$57,Project_Tasks!$B$5:$B$57,$A7)</f>
        <v>23</v>
      </c>
      <c r="J7" s="48" t="n">
        <f aca="false">SUMIFS(Project_Tasks!$N$5:$N$57,Project_Tasks!$B$5:$B$57,$A7)</f>
        <v>18</v>
      </c>
      <c r="K7" s="48" t="n">
        <f aca="false">SUMIFS(Project_Tasks!$O$5:$O$57,Project_Tasks!$B$5:$B$57,$A7)</f>
        <v>6</v>
      </c>
      <c r="L7" s="49" t="n">
        <f aca="false">SUM(C7:K7)</f>
        <v>677.3</v>
      </c>
      <c r="M7" s="48" t="n">
        <f aca="false">L7*(1+Assumptions!$B$7)</f>
        <v>778.895</v>
      </c>
      <c r="N7" s="7" t="n">
        <f aca="false">ROUNDUP(MAX(W7:AB7),0)</f>
        <v>5</v>
      </c>
      <c r="O7" s="14" t="n">
        <f aca="false">P6+1</f>
        <v>16</v>
      </c>
      <c r="P7" s="14" t="n">
        <f aca="false">O7+N7-1</f>
        <v>20</v>
      </c>
      <c r="Q7" s="15" t="n">
        <f aca="false">Assumptions!$B$12+(O7-1)*14</f>
        <v>46538</v>
      </c>
      <c r="R7" s="15" t="n">
        <f aca="false">Assumptions!$B$12+P7*14-3</f>
        <v>46605</v>
      </c>
      <c r="S7" s="31" t="n">
        <f aca="false">ROUND(N7*14/30.4,1)</f>
        <v>2.3</v>
      </c>
      <c r="T7" s="13" t="n">
        <f aca="false">(C7*Assumptions!$G$24+D7*Assumptions!$G$25+E7*Assumptions!$G$26+F7*Assumptions!$G$27+G7*Assumptions!$G$28+H7*Assumptions!$G$29+I7*Assumptions!$G$23+J7*Assumptions!$G$30+K7*Assumptions!$G$31)*(1+Assumptions!$B$7)</f>
        <v>4536865</v>
      </c>
      <c r="U7" s="13" t="n">
        <f aca="false">(Assumptions!$D$24*Assumptions!$G$24+Assumptions!$D$25*Assumptions!$G$25+Assumptions!$D$26*Assumptions!$G$26+Assumptions!$D$27*Assumptions!$G$27+Assumptions!$D$28*Assumptions!$G$28+Assumptions!$D$29*Assumptions!$G$29+Assumptions!$D$23*Assumptions!$G$23+Assumptions!$D$30*Assumptions!$G$30+Assumptions!$D$31*Assumptions!$G$31)*N7*Assumptions!$B$5</f>
        <v>6987500</v>
      </c>
      <c r="V7" s="16" t="str">
        <f aca="false">INDEX($W$4:$AB$4,MATCH(MAX(W7:AB7),W7:AB7,0))</f>
        <v>FE</v>
      </c>
      <c r="W7" s="50" t="n">
        <f aca="false">IF(Assumptions!$D$24&gt;0,C7*(1+Assumptions!$B$7)/(Assumptions!$D$24*Assumptions!$B$5*Assumptions!$B$6),0)</f>
        <v>3.6440625</v>
      </c>
      <c r="X7" s="50" t="n">
        <f aca="false">IF(Assumptions!$D$25&gt;0,D7*(1+Assumptions!$B$7)/(Assumptions!$D$25*Assumptions!$B$5*Assumptions!$B$6),0)</f>
        <v>4.3125</v>
      </c>
      <c r="Y7" s="50" t="n">
        <f aca="false">IF(Assumptions!$D$26&gt;0,E7*(1+Assumptions!$B$7)/(Assumptions!$D$26*Assumptions!$B$5*Assumptions!$B$6),0)</f>
        <v>3.92232142857143</v>
      </c>
      <c r="Z7" s="50" t="n">
        <f aca="false">IF(Assumptions!$D$27&gt;0,F7*(1+Assumptions!$B$7)/(Assumptions!$D$27*Assumptions!$B$5*Assumptions!$B$6),0)</f>
        <v>4.55208333333333</v>
      </c>
      <c r="AA7" s="50" t="n">
        <f aca="false">IF(Assumptions!$D$28&gt;0,G7*(1+Assumptions!$B$7)/(Assumptions!$D$28*Assumptions!$B$5*Assumptions!$B$6),0)</f>
        <v>4.071</v>
      </c>
      <c r="AB7" s="50" t="n">
        <f aca="false">IF(Assumptions!$D$29&gt;0,SUMIFS(Project_Tasks!$M$5:$M$57,Project_Tasks!$B$5:$B$57,$A7,Project_Tasks!$C$5:$C$57,"&lt;&gt;งานต่อเนื่อง")*(1+Assumptions!$B$7)/(Assumptions!$D$29*Assumptions!$B$5*Assumptions!$B$6),0)</f>
        <v>0.2875</v>
      </c>
    </row>
    <row r="8" customFormat="false" ht="15" hidden="false" customHeight="false" outlineLevel="0" collapsed="false">
      <c r="A8" s="53" t="s">
        <v>272</v>
      </c>
      <c r="B8" s="28" t="s">
        <v>4986</v>
      </c>
      <c r="C8" s="48" t="n">
        <f aca="false">SUMIFS(WBS!$R$5:$R$279,WBS!$H$5:$H$279,$A8)+SUMIFS(Project_Tasks!$H$5:$H$57,Project_Tasks!$B$5:$B$57,$A8)</f>
        <v>86.3</v>
      </c>
      <c r="D8" s="48" t="n">
        <f aca="false">SUMIFS(WBS!$S$5:$S$279,WBS!$H$5:$H$279,$A8)+SUMIFS(Project_Tasks!$I$5:$I$57,Project_Tasks!$B$5:$B$57,$A8)</f>
        <v>38</v>
      </c>
      <c r="E8" s="48" t="n">
        <f aca="false">SUMIFS(WBS!$P$5:$P$279,WBS!$H$5:$H$279,$A8)+SUMIFS(Project_Tasks!$J$5:$J$57,Project_Tasks!$B$5:$B$57,$A8)</f>
        <v>374</v>
      </c>
      <c r="F8" s="48" t="n">
        <f aca="false">SUMIFS(WBS!$Q$5:$Q$279,WBS!$H$5:$H$279,$A8)+SUMIFS(Project_Tasks!$K$5:$K$57,Project_Tasks!$B$5:$B$57,$A8)</f>
        <v>324</v>
      </c>
      <c r="G8" s="48" t="n">
        <f aca="false">SUMIFS(WBS!$T$5:$T$279,WBS!$H$5:$H$279,$A8)+SUMIFS(Project_Tasks!$L$5:$L$57,Project_Tasks!$B$5:$B$57,$A8)</f>
        <v>255.1</v>
      </c>
      <c r="H8" s="48" t="n">
        <f aca="false">SUMIFS(Project_Tasks!$M$5:$M$57,Project_Tasks!$B$5:$B$57,$A8)</f>
        <v>50</v>
      </c>
      <c r="I8" s="48" t="n">
        <f aca="false">SUMIFS(Project_Tasks!$G$5:$G$57,Project_Tasks!$B$5:$B$57,$A8)</f>
        <v>31</v>
      </c>
      <c r="J8" s="48" t="n">
        <f aca="false">SUMIFS(Project_Tasks!$N$5:$N$57,Project_Tasks!$B$5:$B$57,$A8)</f>
        <v>12</v>
      </c>
      <c r="K8" s="48" t="n">
        <f aca="false">SUMIFS(Project_Tasks!$O$5:$O$57,Project_Tasks!$B$5:$B$57,$A8)</f>
        <v>6</v>
      </c>
      <c r="L8" s="49" t="n">
        <f aca="false">SUM(C8:K8)</f>
        <v>1176.4</v>
      </c>
      <c r="M8" s="48" t="n">
        <f aca="false">L8*(1+Assumptions!$B$7)</f>
        <v>1352.86</v>
      </c>
      <c r="N8" s="7" t="n">
        <f aca="false">ROUNDUP(MAX(W8:AB8),0)</f>
        <v>8</v>
      </c>
      <c r="O8" s="14" t="n">
        <f aca="false">P7+1</f>
        <v>21</v>
      </c>
      <c r="P8" s="14" t="n">
        <f aca="false">O8+N8-1</f>
        <v>28</v>
      </c>
      <c r="Q8" s="15" t="n">
        <f aca="false">Assumptions!$B$12+(O8-1)*14</f>
        <v>46608</v>
      </c>
      <c r="R8" s="15" t="n">
        <f aca="false">Assumptions!$B$12+P8*14-3</f>
        <v>46717</v>
      </c>
      <c r="S8" s="31" t="n">
        <f aca="false">ROUND(N8*14/30.4,1)</f>
        <v>3.7</v>
      </c>
      <c r="T8" s="13" t="n">
        <f aca="false">(C8*Assumptions!$G$24+D8*Assumptions!$G$25+E8*Assumptions!$G$26+F8*Assumptions!$G$27+G8*Assumptions!$G$28+H8*Assumptions!$G$29+I8*Assumptions!$G$23+J8*Assumptions!$G$30+K8*Assumptions!$G$31)*(1+Assumptions!$B$7)</f>
        <v>7858007.5</v>
      </c>
      <c r="U8" s="13" t="n">
        <f aca="false">(Assumptions!$E$24*Assumptions!$G$24+Assumptions!$E$25*Assumptions!$G$25+Assumptions!$E$26*Assumptions!$G$26+Assumptions!$E$27*Assumptions!$G$27+Assumptions!$E$28*Assumptions!$G$28+Assumptions!$E$29*Assumptions!$G$29+Assumptions!$E$23*Assumptions!$G$23+Assumptions!$E$30*Assumptions!$G$30+Assumptions!$E$31*Assumptions!$G$31)*N8*Assumptions!$B$5</f>
        <v>11180000</v>
      </c>
      <c r="V8" s="16" t="str">
        <f aca="false">INDEX($W$4:$AB$4,MATCH(MAX(W8:AB8),W8:AB8,0))</f>
        <v>FE</v>
      </c>
      <c r="W8" s="50" t="n">
        <f aca="false">IF(Assumptions!$E$24&gt;0,C8*(1+Assumptions!$B$7)/(Assumptions!$E$24*Assumptions!$B$5*Assumptions!$B$6),0)</f>
        <v>6.2028125</v>
      </c>
      <c r="X8" s="50" t="n">
        <f aca="false">IF(Assumptions!$E$25&gt;0,D8*(1+Assumptions!$B$7)/(Assumptions!$E$25*Assumptions!$B$5*Assumptions!$B$6),0)</f>
        <v>5.4625</v>
      </c>
      <c r="Y8" s="50" t="n">
        <f aca="false">IF(Assumptions!$E$26&gt;0,E8*(1+Assumptions!$B$7)/(Assumptions!$E$26*Assumptions!$B$5*Assumptions!$B$6),0)</f>
        <v>7.68035714285714</v>
      </c>
      <c r="Z8" s="50" t="n">
        <f aca="false">IF(Assumptions!$E$27&gt;0,F8*(1+Assumptions!$B$7)/(Assumptions!$E$27*Assumptions!$B$5*Assumptions!$B$6),0)</f>
        <v>7.7625</v>
      </c>
      <c r="AA8" s="50" t="n">
        <f aca="false">IF(Assumptions!$E$28&gt;0,G8*(1+Assumptions!$B$7)/(Assumptions!$E$28*Assumptions!$B$5*Assumptions!$B$6),0)</f>
        <v>7.334125</v>
      </c>
      <c r="AB8" s="50" t="n">
        <f aca="false">IF(Assumptions!$E$29&gt;0,SUMIFS(Project_Tasks!$M$5:$M$57,Project_Tasks!$B$5:$B$57,$A8,Project_Tasks!$C$5:$C$57,"&lt;&gt;งานต่อเนื่อง")*(1+Assumptions!$B$7)/(Assumptions!$E$29*Assumptions!$B$5*Assumptions!$B$6),0)</f>
        <v>1.4375</v>
      </c>
    </row>
    <row r="9" customFormat="false" ht="22.35" hidden="false" customHeight="false" outlineLevel="0" collapsed="false">
      <c r="A9" s="54" t="s">
        <v>287</v>
      </c>
      <c r="B9" s="28" t="s">
        <v>4987</v>
      </c>
      <c r="C9" s="48" t="n">
        <f aca="false">SUMIFS(WBS!$R$5:$R$279,WBS!$H$5:$H$279,$A9)+SUMIFS(Project_Tasks!$H$5:$H$57,Project_Tasks!$B$5:$B$57,$A9)</f>
        <v>23.6</v>
      </c>
      <c r="D9" s="48" t="n">
        <f aca="false">SUMIFS(WBS!$S$5:$S$279,WBS!$H$5:$H$279,$A9)+SUMIFS(Project_Tasks!$I$5:$I$57,Project_Tasks!$B$5:$B$57,$A9)</f>
        <v>4</v>
      </c>
      <c r="E9" s="48" t="n">
        <f aca="false">SUMIFS(WBS!$P$5:$P$279,WBS!$H$5:$H$279,$A9)+SUMIFS(Project_Tasks!$J$5:$J$57,Project_Tasks!$B$5:$B$57,$A9)</f>
        <v>104</v>
      </c>
      <c r="F9" s="48" t="n">
        <f aca="false">SUMIFS(WBS!$Q$5:$Q$279,WBS!$H$5:$H$279,$A9)+SUMIFS(Project_Tasks!$K$5:$K$57,Project_Tasks!$B$5:$B$57,$A9)</f>
        <v>78</v>
      </c>
      <c r="G9" s="48" t="n">
        <f aca="false">SUMIFS(WBS!$T$5:$T$279,WBS!$H$5:$H$279,$A9)+SUMIFS(Project_Tasks!$L$5:$L$57,Project_Tasks!$B$5:$B$57,$A9)</f>
        <v>73.6</v>
      </c>
      <c r="H9" s="48" t="n">
        <f aca="false">SUMIFS(Project_Tasks!$M$5:$M$57,Project_Tasks!$B$5:$B$57,$A9)</f>
        <v>22</v>
      </c>
      <c r="I9" s="48" t="n">
        <f aca="false">SUMIFS(Project_Tasks!$G$5:$G$57,Project_Tasks!$B$5:$B$57,$A9)</f>
        <v>17</v>
      </c>
      <c r="J9" s="48" t="n">
        <f aca="false">SUMIFS(Project_Tasks!$N$5:$N$57,Project_Tasks!$B$5:$B$57,$A9)</f>
        <v>2</v>
      </c>
      <c r="K9" s="48" t="n">
        <f aca="false">SUMIFS(Project_Tasks!$O$5:$O$57,Project_Tasks!$B$5:$B$57,$A9)</f>
        <v>3</v>
      </c>
      <c r="L9" s="49" t="n">
        <f aca="false">SUM(C9:K9)</f>
        <v>327.2</v>
      </c>
      <c r="M9" s="48" t="n">
        <f aca="false">L9*(1+Assumptions!$B$7)</f>
        <v>376.28</v>
      </c>
      <c r="N9" s="7" t="n">
        <f aca="false">ROUNDUP(MAX(W9:AB9),0)</f>
        <v>4</v>
      </c>
      <c r="O9" s="14" t="n">
        <f aca="false">P8+1</f>
        <v>29</v>
      </c>
      <c r="P9" s="14" t="n">
        <f aca="false">O9+N9-1</f>
        <v>32</v>
      </c>
      <c r="Q9" s="15" t="n">
        <f aca="false">Assumptions!$B$12+(O9-1)*14</f>
        <v>46720</v>
      </c>
      <c r="R9" s="15" t="n">
        <f aca="false">Assumptions!$B$12+P9*14-3</f>
        <v>46773</v>
      </c>
      <c r="S9" s="31" t="n">
        <f aca="false">ROUND(N9*14/30.4,1)</f>
        <v>1.8</v>
      </c>
      <c r="T9" s="13" t="n">
        <f aca="false">(C9*Assumptions!$G$24+D9*Assumptions!$G$25+E9*Assumptions!$G$26+F9*Assumptions!$G$27+G9*Assumptions!$G$28+H9*Assumptions!$G$29+I9*Assumptions!$G$23+J9*Assumptions!$G$30+K9*Assumptions!$G$31)*(1+Assumptions!$B$7)</f>
        <v>2198685</v>
      </c>
      <c r="U9" s="13" t="n">
        <f aca="false">(Assumptions!$F$24*Assumptions!$G$24+Assumptions!$F$25*Assumptions!$G$25+Assumptions!$F$26*Assumptions!$G$26+Assumptions!$F$27*Assumptions!$G$27+Assumptions!$F$28*Assumptions!$G$28+Assumptions!$F$29*Assumptions!$G$29+Assumptions!$F$23*Assumptions!$G$23+Assumptions!$F$30*Assumptions!$G$30+Assumptions!$F$31*Assumptions!$G$31)*N9*Assumptions!$B$5</f>
        <v>3990000</v>
      </c>
      <c r="V9" s="16" t="str">
        <f aca="false">INDEX($W$4:$AB$4,MATCH(MAX(W9:AB9),W9:AB9,0))</f>
        <v>QA</v>
      </c>
      <c r="W9" s="50" t="n">
        <f aca="false">IF(Assumptions!$F$24&gt;0,C9*(1+Assumptions!$B$7)/(Assumptions!$F$24*Assumptions!$B$5*Assumptions!$B$6),0)</f>
        <v>3.3925</v>
      </c>
      <c r="X9" s="50" t="n">
        <f aca="false">IF(Assumptions!$F$25&gt;0,D9*(1+Assumptions!$B$7)/(Assumptions!$F$25*Assumptions!$B$5*Assumptions!$B$6),0)</f>
        <v>0.575</v>
      </c>
      <c r="Y9" s="50" t="n">
        <f aca="false">IF(Assumptions!$F$26&gt;0,E9*(1+Assumptions!$B$7)/(Assumptions!$F$26*Assumptions!$B$5*Assumptions!$B$6),0)</f>
        <v>2.99</v>
      </c>
      <c r="Z9" s="50" t="n">
        <f aca="false">IF(Assumptions!$F$27&gt;0,F9*(1+Assumptions!$B$7)/(Assumptions!$F$27*Assumptions!$B$5*Assumptions!$B$6),0)</f>
        <v>2.803125</v>
      </c>
      <c r="AA9" s="50" t="n">
        <f aca="false">IF(Assumptions!$F$28&gt;0,G9*(1+Assumptions!$B$7)/(Assumptions!$F$28*Assumptions!$B$5*Assumptions!$B$6),0)</f>
        <v>3.52666666666667</v>
      </c>
      <c r="AB9" s="50" t="n">
        <f aca="false">IF(Assumptions!$F$29&gt;0,SUMIFS(Project_Tasks!$M$5:$M$57,Project_Tasks!$B$5:$B$57,$A9,Project_Tasks!$C$5:$C$57,"&lt;&gt;งานต่อเนื่อง")*(1+Assumptions!$B$7)/(Assumptions!$F$29*Assumptions!$B$5*Assumptions!$B$6),0)</f>
        <v>0.2875</v>
      </c>
    </row>
    <row r="10" customFormat="false" ht="15" hidden="false" customHeight="false" outlineLevel="0" collapsed="false">
      <c r="A10" s="55" t="s">
        <v>4988</v>
      </c>
      <c r="B10" s="38" t="s">
        <v>4989</v>
      </c>
      <c r="C10" s="39" t="n">
        <f aca="false">SUM(C5:C9)</f>
        <v>356.3</v>
      </c>
      <c r="D10" s="39" t="n">
        <f aca="false">SUM(D5:D9)</f>
        <v>194.4</v>
      </c>
      <c r="E10" s="39" t="n">
        <f aca="false">SUM(E5:E9)</f>
        <v>1290</v>
      </c>
      <c r="F10" s="39" t="n">
        <f aca="false">SUM(F5:F9)</f>
        <v>1100</v>
      </c>
      <c r="G10" s="39" t="n">
        <f aca="false">SUM(G5:G9)</f>
        <v>884.5</v>
      </c>
      <c r="H10" s="39" t="n">
        <f aca="false">SUM(H5:H9)</f>
        <v>218</v>
      </c>
      <c r="I10" s="39" t="n">
        <f aca="false">SUM(I5:I9)</f>
        <v>150</v>
      </c>
      <c r="J10" s="39" t="n">
        <f aca="false">SUM(J5:J9)</f>
        <v>69</v>
      </c>
      <c r="K10" s="39" t="n">
        <f aca="false">SUM(K5:K9)</f>
        <v>25</v>
      </c>
      <c r="L10" s="39" t="n">
        <f aca="false">SUM(L5:L9)</f>
        <v>4287.2</v>
      </c>
      <c r="M10" s="39" t="n">
        <f aca="false">SUM(M5:M9)</f>
        <v>4930.28</v>
      </c>
      <c r="N10" s="56" t="n">
        <f aca="false">SUM(N5:N9)</f>
        <v>32</v>
      </c>
      <c r="O10" s="55" t="n">
        <f aca="false">O5</f>
        <v>1</v>
      </c>
      <c r="P10" s="55" t="n">
        <f aca="false">P9</f>
        <v>32</v>
      </c>
      <c r="Q10" s="57" t="n">
        <f aca="false">Q5</f>
        <v>46328</v>
      </c>
      <c r="R10" s="57" t="n">
        <f aca="false">R9</f>
        <v>46773</v>
      </c>
      <c r="S10" s="58" t="n">
        <f aca="false">SUM(S5:S9)</f>
        <v>14.7</v>
      </c>
      <c r="T10" s="59" t="n">
        <f aca="false">SUM(T5:T9)</f>
        <v>28847807.5</v>
      </c>
      <c r="U10" s="59" t="n">
        <f aca="false">SUM(U5:U9)</f>
        <v>44020000</v>
      </c>
      <c r="V10" s="40" t="s">
        <v>79</v>
      </c>
    </row>
    <row r="12" customFormat="false" ht="15" hidden="false" customHeight="false" outlineLevel="0" collapsed="false">
      <c r="A12" s="11" t="s">
        <v>4990</v>
      </c>
    </row>
    <row r="13" customFormat="false" ht="15" hidden="false" customHeight="false" outlineLevel="0" collapsed="false">
      <c r="A13" s="60" t="s">
        <v>2060</v>
      </c>
      <c r="B13" s="61"/>
      <c r="C13" s="62" t="n">
        <v>1</v>
      </c>
      <c r="D13" s="62" t="n">
        <v>2</v>
      </c>
      <c r="E13" s="62" t="n">
        <v>3</v>
      </c>
      <c r="F13" s="62" t="n">
        <v>4</v>
      </c>
      <c r="G13" s="62" t="n">
        <v>5</v>
      </c>
      <c r="H13" s="62" t="n">
        <v>6</v>
      </c>
      <c r="I13" s="62" t="n">
        <v>7</v>
      </c>
      <c r="J13" s="62" t="n">
        <v>8</v>
      </c>
      <c r="K13" s="62" t="n">
        <v>9</v>
      </c>
      <c r="L13" s="62" t="n">
        <v>10</v>
      </c>
      <c r="M13" s="62" t="n">
        <v>11</v>
      </c>
      <c r="N13" s="62" t="n">
        <v>12</v>
      </c>
      <c r="O13" s="62" t="n">
        <v>13</v>
      </c>
      <c r="P13" s="62" t="n">
        <v>14</v>
      </c>
      <c r="Q13" s="62" t="n">
        <v>15</v>
      </c>
      <c r="R13" s="62" t="n">
        <v>16</v>
      </c>
      <c r="S13" s="62" t="n">
        <v>17</v>
      </c>
      <c r="T13" s="62" t="n">
        <v>18</v>
      </c>
      <c r="U13" s="62" t="n">
        <v>19</v>
      </c>
      <c r="V13" s="62" t="n">
        <v>20</v>
      </c>
      <c r="W13" s="62" t="n">
        <v>21</v>
      </c>
      <c r="X13" s="62" t="n">
        <v>22</v>
      </c>
      <c r="Y13" s="62" t="n">
        <v>23</v>
      </c>
      <c r="Z13" s="62" t="n">
        <v>24</v>
      </c>
      <c r="AA13" s="62" t="n">
        <v>25</v>
      </c>
      <c r="AB13" s="62" t="n">
        <v>26</v>
      </c>
      <c r="AC13" s="62" t="n">
        <v>27</v>
      </c>
      <c r="AD13" s="62" t="n">
        <v>28</v>
      </c>
      <c r="AE13" s="62" t="n">
        <v>29</v>
      </c>
      <c r="AF13" s="62" t="n">
        <v>30</v>
      </c>
      <c r="AG13" s="62" t="n">
        <v>31</v>
      </c>
      <c r="AH13" s="62" t="n">
        <v>32</v>
      </c>
      <c r="AI13" s="62" t="n">
        <v>33</v>
      </c>
      <c r="AJ13" s="62" t="n">
        <v>34</v>
      </c>
      <c r="AK13" s="62" t="n">
        <v>35</v>
      </c>
      <c r="AL13" s="62" t="n">
        <v>36</v>
      </c>
      <c r="AM13" s="62" t="n">
        <v>37</v>
      </c>
      <c r="AN13" s="62" t="n">
        <v>38</v>
      </c>
      <c r="AO13" s="62" t="n">
        <v>39</v>
      </c>
      <c r="AP13" s="62" t="n">
        <v>40</v>
      </c>
      <c r="AQ13" s="62" t="n">
        <v>41</v>
      </c>
      <c r="AR13" s="62" t="n">
        <v>42</v>
      </c>
      <c r="AS13" s="62" t="n">
        <v>43</v>
      </c>
      <c r="AT13" s="62" t="n">
        <v>44</v>
      </c>
    </row>
    <row r="14" customFormat="false" ht="15" hidden="false" customHeight="false" outlineLevel="0" collapsed="false">
      <c r="A14" s="60" t="s">
        <v>25</v>
      </c>
      <c r="B14" s="61"/>
      <c r="C14" s="63" t="n">
        <f aca="false">Assumptions!$B$12+(C13-1)*14</f>
        <v>46328</v>
      </c>
      <c r="D14" s="63" t="n">
        <f aca="false">Assumptions!$B$12+(D13-1)*14</f>
        <v>46342</v>
      </c>
      <c r="E14" s="63" t="n">
        <f aca="false">Assumptions!$B$12+(E13-1)*14</f>
        <v>46356</v>
      </c>
      <c r="F14" s="63" t="n">
        <f aca="false">Assumptions!$B$12+(F13-1)*14</f>
        <v>46370</v>
      </c>
      <c r="G14" s="63" t="n">
        <f aca="false">Assumptions!$B$12+(G13-1)*14</f>
        <v>46384</v>
      </c>
      <c r="H14" s="63" t="n">
        <f aca="false">Assumptions!$B$12+(H13-1)*14</f>
        <v>46398</v>
      </c>
      <c r="I14" s="63" t="n">
        <f aca="false">Assumptions!$B$12+(I13-1)*14</f>
        <v>46412</v>
      </c>
      <c r="J14" s="63" t="n">
        <f aca="false">Assumptions!$B$12+(J13-1)*14</f>
        <v>46426</v>
      </c>
      <c r="K14" s="63" t="n">
        <f aca="false">Assumptions!$B$12+(K13-1)*14</f>
        <v>46440</v>
      </c>
      <c r="L14" s="63" t="n">
        <f aca="false">Assumptions!$B$12+(L13-1)*14</f>
        <v>46454</v>
      </c>
      <c r="M14" s="63" t="n">
        <f aca="false">Assumptions!$B$12+(M13-1)*14</f>
        <v>46468</v>
      </c>
      <c r="N14" s="63" t="n">
        <f aca="false">Assumptions!$B$12+(N13-1)*14</f>
        <v>46482</v>
      </c>
      <c r="O14" s="63" t="n">
        <f aca="false">Assumptions!$B$12+(O13-1)*14</f>
        <v>46496</v>
      </c>
      <c r="P14" s="63" t="n">
        <f aca="false">Assumptions!$B$12+(P13-1)*14</f>
        <v>46510</v>
      </c>
      <c r="Q14" s="63" t="n">
        <f aca="false">Assumptions!$B$12+(Q13-1)*14</f>
        <v>46524</v>
      </c>
      <c r="R14" s="63" t="n">
        <f aca="false">Assumptions!$B$12+(R13-1)*14</f>
        <v>46538</v>
      </c>
      <c r="S14" s="63" t="n">
        <f aca="false">Assumptions!$B$12+(S13-1)*14</f>
        <v>46552</v>
      </c>
      <c r="T14" s="63" t="n">
        <f aca="false">Assumptions!$B$12+(T13-1)*14</f>
        <v>46566</v>
      </c>
      <c r="U14" s="63" t="n">
        <f aca="false">Assumptions!$B$12+(U13-1)*14</f>
        <v>46580</v>
      </c>
      <c r="V14" s="63" t="n">
        <f aca="false">Assumptions!$B$12+(V13-1)*14</f>
        <v>46594</v>
      </c>
      <c r="W14" s="63" t="n">
        <f aca="false">Assumptions!$B$12+(W13-1)*14</f>
        <v>46608</v>
      </c>
      <c r="X14" s="63" t="n">
        <f aca="false">Assumptions!$B$12+(X13-1)*14</f>
        <v>46622</v>
      </c>
      <c r="Y14" s="63" t="n">
        <f aca="false">Assumptions!$B$12+(Y13-1)*14</f>
        <v>46636</v>
      </c>
      <c r="Z14" s="63" t="n">
        <f aca="false">Assumptions!$B$12+(Z13-1)*14</f>
        <v>46650</v>
      </c>
      <c r="AA14" s="63" t="n">
        <f aca="false">Assumptions!$B$12+(AA13-1)*14</f>
        <v>46664</v>
      </c>
      <c r="AB14" s="63" t="n">
        <f aca="false">Assumptions!$B$12+(AB13-1)*14</f>
        <v>46678</v>
      </c>
      <c r="AC14" s="63" t="n">
        <f aca="false">Assumptions!$B$12+(AC13-1)*14</f>
        <v>46692</v>
      </c>
      <c r="AD14" s="63" t="n">
        <f aca="false">Assumptions!$B$12+(AD13-1)*14</f>
        <v>46706</v>
      </c>
      <c r="AE14" s="63" t="n">
        <f aca="false">Assumptions!$B$12+(AE13-1)*14</f>
        <v>46720</v>
      </c>
      <c r="AF14" s="63" t="n">
        <f aca="false">Assumptions!$B$12+(AF13-1)*14</f>
        <v>46734</v>
      </c>
      <c r="AG14" s="63" t="n">
        <f aca="false">Assumptions!$B$12+(AG13-1)*14</f>
        <v>46748</v>
      </c>
      <c r="AH14" s="63" t="n">
        <f aca="false">Assumptions!$B$12+(AH13-1)*14</f>
        <v>46762</v>
      </c>
      <c r="AI14" s="63" t="n">
        <f aca="false">Assumptions!$B$12+(AI13-1)*14</f>
        <v>46776</v>
      </c>
      <c r="AJ14" s="63" t="n">
        <f aca="false">Assumptions!$B$12+(AJ13-1)*14</f>
        <v>46790</v>
      </c>
      <c r="AK14" s="63" t="n">
        <f aca="false">Assumptions!$B$12+(AK13-1)*14</f>
        <v>46804</v>
      </c>
      <c r="AL14" s="63" t="n">
        <f aca="false">Assumptions!$B$12+(AL13-1)*14</f>
        <v>46818</v>
      </c>
      <c r="AM14" s="63" t="n">
        <f aca="false">Assumptions!$B$12+(AM13-1)*14</f>
        <v>46832</v>
      </c>
      <c r="AN14" s="63" t="n">
        <f aca="false">Assumptions!$B$12+(AN13-1)*14</f>
        <v>46846</v>
      </c>
      <c r="AO14" s="63" t="n">
        <f aca="false">Assumptions!$B$12+(AO13-1)*14</f>
        <v>46860</v>
      </c>
      <c r="AP14" s="63" t="n">
        <f aca="false">Assumptions!$B$12+(AP13-1)*14</f>
        <v>46874</v>
      </c>
      <c r="AQ14" s="63" t="n">
        <f aca="false">Assumptions!$B$12+(AQ13-1)*14</f>
        <v>46888</v>
      </c>
      <c r="AR14" s="63" t="n">
        <f aca="false">Assumptions!$B$12+(AR13-1)*14</f>
        <v>46902</v>
      </c>
      <c r="AS14" s="63" t="n">
        <f aca="false">Assumptions!$B$12+(AS13-1)*14</f>
        <v>46916</v>
      </c>
      <c r="AT14" s="63" t="n">
        <f aca="false">Assumptions!$B$12+(AT13-1)*14</f>
        <v>46930</v>
      </c>
    </row>
    <row r="15" customFormat="false" ht="15" hidden="false" customHeight="false" outlineLevel="0" collapsed="false">
      <c r="A15" s="47" t="s">
        <v>144</v>
      </c>
      <c r="B15" s="6" t="s">
        <v>4991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</row>
    <row r="16" customFormat="false" ht="15" hidden="false" customHeight="false" outlineLevel="0" collapsed="false">
      <c r="A16" s="51" t="s">
        <v>244</v>
      </c>
      <c r="B16" s="6" t="s">
        <v>4992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</row>
    <row r="17" customFormat="false" ht="15" hidden="false" customHeight="false" outlineLevel="0" collapsed="false">
      <c r="A17" s="52" t="s">
        <v>962</v>
      </c>
      <c r="B17" s="6" t="s">
        <v>4993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</row>
    <row r="18" customFormat="false" ht="15" hidden="false" customHeight="false" outlineLevel="0" collapsed="false">
      <c r="A18" s="53" t="s">
        <v>272</v>
      </c>
      <c r="B18" s="6" t="s">
        <v>265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</row>
    <row r="19" customFormat="false" ht="15" hidden="false" customHeight="false" outlineLevel="0" collapsed="false">
      <c r="A19" s="54" t="s">
        <v>287</v>
      </c>
      <c r="B19" s="6" t="s">
        <v>4994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</row>
    <row r="20" customFormat="false" ht="15" hidden="false" customHeight="false" outlineLevel="0" collapsed="false">
      <c r="A20" s="64" t="s">
        <v>4995</v>
      </c>
      <c r="B20" s="6" t="s">
        <v>4996</v>
      </c>
      <c r="C20" s="16" t="str">
        <f aca="false">IF(C$13=$P$6,"★","")</f>
        <v/>
      </c>
      <c r="D20" s="16" t="str">
        <f aca="false">IF(D$13=$P$6,"★","")</f>
        <v/>
      </c>
      <c r="E20" s="16" t="str">
        <f aca="false">IF(E$13=$P$6,"★","")</f>
        <v/>
      </c>
      <c r="F20" s="16" t="str">
        <f aca="false">IF(F$13=$P$6,"★","")</f>
        <v/>
      </c>
      <c r="G20" s="16" t="str">
        <f aca="false">IF(G$13=$P$6,"★","")</f>
        <v/>
      </c>
      <c r="H20" s="16" t="str">
        <f aca="false">IF(H$13=$P$6,"★","")</f>
        <v/>
      </c>
      <c r="I20" s="16" t="str">
        <f aca="false">IF(I$13=$P$6,"★","")</f>
        <v/>
      </c>
      <c r="J20" s="16" t="str">
        <f aca="false">IF(J$13=$P$6,"★","")</f>
        <v/>
      </c>
      <c r="K20" s="16" t="str">
        <f aca="false">IF(K$13=$P$6,"★","")</f>
        <v/>
      </c>
      <c r="L20" s="16" t="str">
        <f aca="false">IF(L$13=$P$6,"★","")</f>
        <v/>
      </c>
      <c r="M20" s="16" t="str">
        <f aca="false">IF(M$13=$P$6,"★","")</f>
        <v/>
      </c>
      <c r="N20" s="16" t="str">
        <f aca="false">IF(N$13=$P$6,"★","")</f>
        <v/>
      </c>
      <c r="O20" s="16" t="str">
        <f aca="false">IF(O$13=$P$6,"★","")</f>
        <v/>
      </c>
      <c r="P20" s="16" t="str">
        <f aca="false">IF(P$13=$P$6,"★","")</f>
        <v/>
      </c>
      <c r="Q20" s="16" t="str">
        <f aca="false">IF(Q$13=$P$6,"★","")</f>
        <v>★</v>
      </c>
      <c r="R20" s="16" t="str">
        <f aca="false">IF(R$13=$P$6,"★","")</f>
        <v/>
      </c>
      <c r="S20" s="16" t="str">
        <f aca="false">IF(S$13=$P$6,"★","")</f>
        <v/>
      </c>
      <c r="T20" s="16" t="str">
        <f aca="false">IF(T$13=$P$6,"★","")</f>
        <v/>
      </c>
      <c r="U20" s="16" t="str">
        <f aca="false">IF(U$13=$P$6,"★","")</f>
        <v/>
      </c>
      <c r="V20" s="16" t="str">
        <f aca="false">IF(V$13=$P$6,"★","")</f>
        <v/>
      </c>
      <c r="W20" s="16" t="str">
        <f aca="false">IF(W$13=$P$6,"★","")</f>
        <v/>
      </c>
      <c r="X20" s="16" t="str">
        <f aca="false">IF(X$13=$P$6,"★","")</f>
        <v/>
      </c>
      <c r="Y20" s="16" t="str">
        <f aca="false">IF(Y$13=$P$6,"★","")</f>
        <v/>
      </c>
      <c r="Z20" s="16" t="str">
        <f aca="false">IF(Z$13=$P$6,"★","")</f>
        <v/>
      </c>
      <c r="AA20" s="16" t="str">
        <f aca="false">IF(AA$13=$P$6,"★","")</f>
        <v/>
      </c>
      <c r="AB20" s="16" t="str">
        <f aca="false">IF(AB$13=$P$6,"★","")</f>
        <v/>
      </c>
      <c r="AC20" s="16" t="str">
        <f aca="false">IF(AC$13=$P$6,"★","")</f>
        <v/>
      </c>
      <c r="AD20" s="16" t="str">
        <f aca="false">IF(AD$13=$P$6,"★","")</f>
        <v/>
      </c>
      <c r="AE20" s="16" t="str">
        <f aca="false">IF(AE$13=$P$6,"★","")</f>
        <v/>
      </c>
      <c r="AF20" s="16" t="str">
        <f aca="false">IF(AF$13=$P$6,"★","")</f>
        <v/>
      </c>
      <c r="AG20" s="16" t="str">
        <f aca="false">IF(AG$13=$P$6,"★","")</f>
        <v/>
      </c>
      <c r="AH20" s="16" t="str">
        <f aca="false">IF(AH$13=$P$6,"★","")</f>
        <v/>
      </c>
      <c r="AI20" s="16" t="str">
        <f aca="false">IF(AI$13=$P$6,"★","")</f>
        <v/>
      </c>
      <c r="AJ20" s="16" t="str">
        <f aca="false">IF(AJ$13=$P$6,"★","")</f>
        <v/>
      </c>
      <c r="AK20" s="16" t="str">
        <f aca="false">IF(AK$13=$P$6,"★","")</f>
        <v/>
      </c>
      <c r="AL20" s="16" t="str">
        <f aca="false">IF(AL$13=$P$6,"★","")</f>
        <v/>
      </c>
      <c r="AM20" s="16" t="str">
        <f aca="false">IF(AM$13=$P$6,"★","")</f>
        <v/>
      </c>
      <c r="AN20" s="16" t="str">
        <f aca="false">IF(AN$13=$P$6,"★","")</f>
        <v/>
      </c>
      <c r="AO20" s="16" t="str">
        <f aca="false">IF(AO$13=$P$6,"★","")</f>
        <v/>
      </c>
      <c r="AP20" s="16" t="str">
        <f aca="false">IF(AP$13=$P$6,"★","")</f>
        <v/>
      </c>
      <c r="AQ20" s="16" t="str">
        <f aca="false">IF(AQ$13=$P$6,"★","")</f>
        <v/>
      </c>
      <c r="AR20" s="16" t="str">
        <f aca="false">IF(AR$13=$P$6,"★","")</f>
        <v/>
      </c>
      <c r="AS20" s="16" t="str">
        <f aca="false">IF(AS$13=$P$6,"★","")</f>
        <v/>
      </c>
      <c r="AT20" s="16" t="str">
        <f aca="false">IF(AT$13=$P$6,"★","")</f>
        <v/>
      </c>
    </row>
    <row r="21" customFormat="false" ht="15" hidden="false" customHeight="false" outlineLevel="0" collapsed="false">
      <c r="A21" s="26" t="s">
        <v>4997</v>
      </c>
    </row>
    <row r="23" customFormat="false" ht="15" hidden="false" customHeight="false" outlineLevel="0" collapsed="false">
      <c r="A23" s="11" t="s">
        <v>4998</v>
      </c>
    </row>
    <row r="24" customFormat="false" ht="31.5" hidden="false" customHeight="true" outlineLevel="0" collapsed="false">
      <c r="A24" s="3" t="s">
        <v>116</v>
      </c>
      <c r="B24" s="3" t="s">
        <v>117</v>
      </c>
      <c r="C24" s="3" t="s">
        <v>144</v>
      </c>
      <c r="D24" s="3" t="s">
        <v>244</v>
      </c>
      <c r="E24" s="3" t="s">
        <v>962</v>
      </c>
      <c r="F24" s="3" t="s">
        <v>272</v>
      </c>
      <c r="G24" s="3" t="s">
        <v>287</v>
      </c>
      <c r="H24" s="3" t="s">
        <v>4988</v>
      </c>
      <c r="I24" s="3" t="s">
        <v>4999</v>
      </c>
    </row>
    <row r="25" customFormat="false" ht="15" hidden="false" customHeight="false" outlineLevel="0" collapsed="false">
      <c r="A25" s="7" t="s">
        <v>138</v>
      </c>
      <c r="B25" s="6" t="s">
        <v>139</v>
      </c>
      <c r="C25" s="48" t="n">
        <f aca="false">SUMIFS(WBS!$U$5:$U$279,WBS!$B$5:$B$279,$A25,WBS!$H$5:$H$279,"P0")</f>
        <v>275.8</v>
      </c>
      <c r="D25" s="48" t="n">
        <f aca="false">SUMIFS(WBS!$U$5:$U$279,WBS!$B$5:$B$279,$A25,WBS!$H$5:$H$279,"P1")</f>
        <v>101.7</v>
      </c>
      <c r="E25" s="48" t="n">
        <f aca="false">SUMIFS(WBS!$U$5:$U$279,WBS!$B$5:$B$279,$A25,WBS!$H$5:$H$279,"P2")</f>
        <v>0</v>
      </c>
      <c r="F25" s="48" t="n">
        <f aca="false">SUMIFS(WBS!$U$5:$U$279,WBS!$B$5:$B$279,$A25,WBS!$H$5:$H$279,"P3")</f>
        <v>35.9</v>
      </c>
      <c r="G25" s="48" t="n">
        <f aca="false">SUMIFS(WBS!$U$5:$U$279,WBS!$B$5:$B$279,$A25,WBS!$H$5:$H$279,"P4")</f>
        <v>11.8</v>
      </c>
      <c r="H25" s="49" t="n">
        <f aca="false">SUM(C25:G25)</f>
        <v>425.2</v>
      </c>
      <c r="I25" s="14" t="n">
        <f aca="false">COUNTIF(WBS!$B$5:$B$279,$A25)</f>
        <v>22</v>
      </c>
    </row>
    <row r="26" customFormat="false" ht="15" hidden="false" customHeight="false" outlineLevel="0" collapsed="false">
      <c r="A26" s="7" t="s">
        <v>293</v>
      </c>
      <c r="B26" s="6" t="s">
        <v>294</v>
      </c>
      <c r="C26" s="48" t="n">
        <f aca="false">SUMIFS(WBS!$U$5:$U$279,WBS!$B$5:$B$279,$A26,WBS!$H$5:$H$279,"P0")</f>
        <v>154.1</v>
      </c>
      <c r="D26" s="48" t="n">
        <f aca="false">SUMIFS(WBS!$U$5:$U$279,WBS!$B$5:$B$279,$A26,WBS!$H$5:$H$279,"P1")</f>
        <v>64.8</v>
      </c>
      <c r="E26" s="48" t="n">
        <f aca="false">SUMIFS(WBS!$U$5:$U$279,WBS!$B$5:$B$279,$A26,WBS!$H$5:$H$279,"P2")</f>
        <v>0</v>
      </c>
      <c r="F26" s="48" t="n">
        <f aca="false">SUMIFS(WBS!$U$5:$U$279,WBS!$B$5:$B$279,$A26,WBS!$H$5:$H$279,"P3")</f>
        <v>50.5</v>
      </c>
      <c r="G26" s="48" t="n">
        <f aca="false">SUMIFS(WBS!$U$5:$U$279,WBS!$B$5:$B$279,$A26,WBS!$H$5:$H$279,"P4")</f>
        <v>8.8</v>
      </c>
      <c r="H26" s="49" t="n">
        <f aca="false">SUM(C26:G26)</f>
        <v>278.2</v>
      </c>
      <c r="I26" s="14" t="n">
        <f aca="false">COUNTIF(WBS!$B$5:$B$279,$A26)</f>
        <v>21</v>
      </c>
    </row>
    <row r="27" customFormat="false" ht="15" hidden="false" customHeight="false" outlineLevel="0" collapsed="false">
      <c r="A27" s="7" t="s">
        <v>436</v>
      </c>
      <c r="B27" s="6" t="s">
        <v>437</v>
      </c>
      <c r="C27" s="48" t="n">
        <f aca="false">SUMIFS(WBS!$U$5:$U$279,WBS!$B$5:$B$279,$A27,WBS!$H$5:$H$279,"P0")</f>
        <v>67</v>
      </c>
      <c r="D27" s="48" t="n">
        <f aca="false">SUMIFS(WBS!$U$5:$U$279,WBS!$B$5:$B$279,$A27,WBS!$H$5:$H$279,"P1")</f>
        <v>16.7</v>
      </c>
      <c r="E27" s="48" t="n">
        <f aca="false">SUMIFS(WBS!$U$5:$U$279,WBS!$B$5:$B$279,$A27,WBS!$H$5:$H$279,"P2")</f>
        <v>0</v>
      </c>
      <c r="F27" s="48" t="n">
        <f aca="false">SUMIFS(WBS!$U$5:$U$279,WBS!$B$5:$B$279,$A27,WBS!$H$5:$H$279,"P3")</f>
        <v>26.5</v>
      </c>
      <c r="G27" s="48" t="n">
        <f aca="false">SUMIFS(WBS!$U$5:$U$279,WBS!$B$5:$B$279,$A27,WBS!$H$5:$H$279,"P4")</f>
        <v>2.9</v>
      </c>
      <c r="H27" s="49" t="n">
        <f aca="false">SUM(C27:G27)</f>
        <v>113.1</v>
      </c>
      <c r="I27" s="14" t="n">
        <f aca="false">COUNTIF(WBS!$B$5:$B$279,$A27)</f>
        <v>10</v>
      </c>
    </row>
    <row r="28" customFormat="false" ht="15" hidden="false" customHeight="false" outlineLevel="0" collapsed="false">
      <c r="A28" s="7" t="s">
        <v>509</v>
      </c>
      <c r="B28" s="6" t="s">
        <v>510</v>
      </c>
      <c r="C28" s="48" t="n">
        <f aca="false">SUMIFS(WBS!$U$5:$U$279,WBS!$B$5:$B$279,$A28,WBS!$H$5:$H$279,"P0")</f>
        <v>0</v>
      </c>
      <c r="D28" s="48" t="n">
        <f aca="false">SUMIFS(WBS!$U$5:$U$279,WBS!$B$5:$B$279,$A28,WBS!$H$5:$H$279,"P1")</f>
        <v>296.5</v>
      </c>
      <c r="E28" s="48" t="n">
        <f aca="false">SUMIFS(WBS!$U$5:$U$279,WBS!$B$5:$B$279,$A28,WBS!$H$5:$H$279,"P2")</f>
        <v>0</v>
      </c>
      <c r="F28" s="48" t="n">
        <f aca="false">SUMIFS(WBS!$U$5:$U$279,WBS!$B$5:$B$279,$A28,WBS!$H$5:$H$279,"P3")</f>
        <v>68.2</v>
      </c>
      <c r="G28" s="48" t="n">
        <f aca="false">SUMIFS(WBS!$U$5:$U$279,WBS!$B$5:$B$279,$A28,WBS!$H$5:$H$279,"P4")</f>
        <v>16.7</v>
      </c>
      <c r="H28" s="49" t="n">
        <f aca="false">SUM(C28:G28)</f>
        <v>381.4</v>
      </c>
      <c r="I28" s="14" t="n">
        <f aca="false">COUNTIF(WBS!$B$5:$B$279,$A28)</f>
        <v>24</v>
      </c>
    </row>
    <row r="29" customFormat="false" ht="15" hidden="false" customHeight="false" outlineLevel="0" collapsed="false">
      <c r="A29" s="7" t="s">
        <v>688</v>
      </c>
      <c r="B29" s="6" t="s">
        <v>689</v>
      </c>
      <c r="C29" s="48" t="n">
        <f aca="false">SUMIFS(WBS!$U$5:$U$279,WBS!$B$5:$B$279,$A29,WBS!$H$5:$H$279,"P0")</f>
        <v>0</v>
      </c>
      <c r="D29" s="48" t="n">
        <f aca="false">SUMIFS(WBS!$U$5:$U$279,WBS!$B$5:$B$279,$A29,WBS!$H$5:$H$279,"P1")</f>
        <v>104.6</v>
      </c>
      <c r="E29" s="48" t="n">
        <f aca="false">SUMIFS(WBS!$U$5:$U$279,WBS!$B$5:$B$279,$A29,WBS!$H$5:$H$279,"P2")</f>
        <v>0</v>
      </c>
      <c r="F29" s="48" t="n">
        <f aca="false">SUMIFS(WBS!$U$5:$U$279,WBS!$B$5:$B$279,$A29,WBS!$H$5:$H$279,"P3")</f>
        <v>58</v>
      </c>
      <c r="G29" s="48" t="n">
        <f aca="false">SUMIFS(WBS!$U$5:$U$279,WBS!$B$5:$B$279,$A29,WBS!$H$5:$H$279,"P4")</f>
        <v>5.9</v>
      </c>
      <c r="H29" s="49" t="n">
        <f aca="false">SUM(C29:G29)</f>
        <v>168.5</v>
      </c>
      <c r="I29" s="14" t="n">
        <f aca="false">COUNTIF(WBS!$B$5:$B$279,$A29)</f>
        <v>16</v>
      </c>
    </row>
    <row r="30" customFormat="false" ht="15" hidden="false" customHeight="false" outlineLevel="0" collapsed="false">
      <c r="A30" s="7" t="s">
        <v>804</v>
      </c>
      <c r="B30" s="6" t="s">
        <v>805</v>
      </c>
      <c r="C30" s="48" t="n">
        <f aca="false">SUMIFS(WBS!$U$5:$U$279,WBS!$B$5:$B$279,$A30,WBS!$H$5:$H$279,"P0")</f>
        <v>0</v>
      </c>
      <c r="D30" s="48" t="n">
        <f aca="false">SUMIFS(WBS!$U$5:$U$279,WBS!$B$5:$B$279,$A30,WBS!$H$5:$H$279,"P1")</f>
        <v>175.6</v>
      </c>
      <c r="E30" s="48" t="n">
        <f aca="false">SUMIFS(WBS!$U$5:$U$279,WBS!$B$5:$B$279,$A30,WBS!$H$5:$H$279,"P2")</f>
        <v>0</v>
      </c>
      <c r="F30" s="48" t="n">
        <f aca="false">SUMIFS(WBS!$U$5:$U$279,WBS!$B$5:$B$279,$A30,WBS!$H$5:$H$279,"P3")</f>
        <v>55.1</v>
      </c>
      <c r="G30" s="48" t="n">
        <f aca="false">SUMIFS(WBS!$U$5:$U$279,WBS!$B$5:$B$279,$A30,WBS!$H$5:$H$279,"P4")</f>
        <v>8.8</v>
      </c>
      <c r="H30" s="49" t="n">
        <f aca="false">SUM(C30:G30)</f>
        <v>239.5</v>
      </c>
      <c r="I30" s="14" t="n">
        <f aca="false">COUNTIF(WBS!$B$5:$B$279,$A30)</f>
        <v>20</v>
      </c>
    </row>
    <row r="31" customFormat="false" ht="15" hidden="false" customHeight="false" outlineLevel="0" collapsed="false">
      <c r="A31" s="7" t="s">
        <v>942</v>
      </c>
      <c r="B31" s="6" t="s">
        <v>943</v>
      </c>
      <c r="C31" s="48" t="n">
        <f aca="false">SUMIFS(WBS!$U$5:$U$279,WBS!$B$5:$B$279,$A31,WBS!$H$5:$H$279,"P0")</f>
        <v>0</v>
      </c>
      <c r="D31" s="48" t="n">
        <f aca="false">SUMIFS(WBS!$U$5:$U$279,WBS!$B$5:$B$279,$A31,WBS!$H$5:$H$279,"P1")</f>
        <v>33.4</v>
      </c>
      <c r="E31" s="48" t="n">
        <f aca="false">SUMIFS(WBS!$U$5:$U$279,WBS!$B$5:$B$279,$A31,WBS!$H$5:$H$279,"P2")</f>
        <v>43.8</v>
      </c>
      <c r="F31" s="48" t="n">
        <f aca="false">SUMIFS(WBS!$U$5:$U$279,WBS!$B$5:$B$279,$A31,WBS!$H$5:$H$279,"P3")</f>
        <v>58.8</v>
      </c>
      <c r="G31" s="48" t="n">
        <f aca="false">SUMIFS(WBS!$U$5:$U$279,WBS!$B$5:$B$279,$A31,WBS!$H$5:$H$279,"P4")</f>
        <v>11.8</v>
      </c>
      <c r="H31" s="49" t="n">
        <f aca="false">SUM(C31:G31)</f>
        <v>147.8</v>
      </c>
      <c r="I31" s="14" t="n">
        <f aca="false">COUNTIF(WBS!$B$5:$B$279,$A31)</f>
        <v>13</v>
      </c>
    </row>
    <row r="32" customFormat="false" ht="15" hidden="false" customHeight="false" outlineLevel="0" collapsed="false">
      <c r="A32" s="7" t="s">
        <v>1032</v>
      </c>
      <c r="B32" s="6" t="s">
        <v>1033</v>
      </c>
      <c r="C32" s="48" t="n">
        <f aca="false">SUMIFS(WBS!$U$5:$U$279,WBS!$B$5:$B$279,$A32,WBS!$H$5:$H$279,"P0")</f>
        <v>0</v>
      </c>
      <c r="D32" s="48" t="n">
        <f aca="false">SUMIFS(WBS!$U$5:$U$279,WBS!$B$5:$B$279,$A32,WBS!$H$5:$H$279,"P1")</f>
        <v>0</v>
      </c>
      <c r="E32" s="48" t="n">
        <f aca="false">SUMIFS(WBS!$U$5:$U$279,WBS!$B$5:$B$279,$A32,WBS!$H$5:$H$279,"P2")</f>
        <v>88.9</v>
      </c>
      <c r="F32" s="48" t="n">
        <f aca="false">SUMIFS(WBS!$U$5:$U$279,WBS!$B$5:$B$279,$A32,WBS!$H$5:$H$279,"P3")</f>
        <v>85.5</v>
      </c>
      <c r="G32" s="48" t="n">
        <f aca="false">SUMIFS(WBS!$U$5:$U$279,WBS!$B$5:$B$279,$A32,WBS!$H$5:$H$279,"P4")</f>
        <v>26.5</v>
      </c>
      <c r="H32" s="49" t="n">
        <f aca="false">SUM(C32:G32)</f>
        <v>200.9</v>
      </c>
      <c r="I32" s="14" t="n">
        <f aca="false">COUNTIF(WBS!$B$5:$B$279,$A32)</f>
        <v>11</v>
      </c>
    </row>
    <row r="33" customFormat="false" ht="15" hidden="false" customHeight="false" outlineLevel="0" collapsed="false">
      <c r="A33" s="7" t="s">
        <v>1109</v>
      </c>
      <c r="B33" s="6" t="s">
        <v>1110</v>
      </c>
      <c r="C33" s="48" t="n">
        <f aca="false">SUMIFS(WBS!$U$5:$U$279,WBS!$B$5:$B$279,$A33,WBS!$H$5:$H$279,"P0")</f>
        <v>0</v>
      </c>
      <c r="D33" s="48" t="n">
        <f aca="false">SUMIFS(WBS!$U$5:$U$279,WBS!$B$5:$B$279,$A33,WBS!$H$5:$H$279,"P1")</f>
        <v>157.6</v>
      </c>
      <c r="E33" s="48" t="n">
        <f aca="false">SUMIFS(WBS!$U$5:$U$279,WBS!$B$5:$B$279,$A33,WBS!$H$5:$H$279,"P2")</f>
        <v>0</v>
      </c>
      <c r="F33" s="48" t="n">
        <f aca="false">SUMIFS(WBS!$U$5:$U$279,WBS!$B$5:$B$279,$A33,WBS!$H$5:$H$279,"P3")</f>
        <v>117.9</v>
      </c>
      <c r="G33" s="48" t="n">
        <f aca="false">SUMIFS(WBS!$U$5:$U$279,WBS!$B$5:$B$279,$A33,WBS!$H$5:$H$279,"P4")</f>
        <v>0</v>
      </c>
      <c r="H33" s="49" t="n">
        <f aca="false">SUM(C33:G33)</f>
        <v>275.5</v>
      </c>
      <c r="I33" s="14" t="n">
        <f aca="false">COUNTIF(WBS!$B$5:$B$279,$A33)</f>
        <v>21</v>
      </c>
    </row>
    <row r="34" customFormat="false" ht="15" hidden="false" customHeight="false" outlineLevel="0" collapsed="false">
      <c r="A34" s="7" t="s">
        <v>1257</v>
      </c>
      <c r="B34" s="6" t="s">
        <v>1258</v>
      </c>
      <c r="C34" s="48" t="n">
        <f aca="false">SUMIFS(WBS!$U$5:$U$279,WBS!$B$5:$B$279,$A34,WBS!$H$5:$H$279,"P0")</f>
        <v>0</v>
      </c>
      <c r="D34" s="48" t="n">
        <f aca="false">SUMIFS(WBS!$U$5:$U$279,WBS!$B$5:$B$279,$A34,WBS!$H$5:$H$279,"P1")</f>
        <v>132.5</v>
      </c>
      <c r="E34" s="48" t="n">
        <f aca="false">SUMIFS(WBS!$U$5:$U$279,WBS!$B$5:$B$279,$A34,WBS!$H$5:$H$279,"P2")</f>
        <v>0</v>
      </c>
      <c r="F34" s="48" t="n">
        <f aca="false">SUMIFS(WBS!$U$5:$U$279,WBS!$B$5:$B$279,$A34,WBS!$H$5:$H$279,"P3")</f>
        <v>37.3</v>
      </c>
      <c r="G34" s="48" t="n">
        <f aca="false">SUMIFS(WBS!$U$5:$U$279,WBS!$B$5:$B$279,$A34,WBS!$H$5:$H$279,"P4")</f>
        <v>20.6</v>
      </c>
      <c r="H34" s="49" t="n">
        <f aca="false">SUM(C34:G34)</f>
        <v>190.4</v>
      </c>
      <c r="I34" s="14" t="n">
        <f aca="false">COUNTIF(WBS!$B$5:$B$279,$A34)</f>
        <v>17</v>
      </c>
    </row>
    <row r="35" customFormat="false" ht="15" hidden="false" customHeight="false" outlineLevel="0" collapsed="false">
      <c r="A35" s="7" t="s">
        <v>1374</v>
      </c>
      <c r="B35" s="6" t="s">
        <v>1375</v>
      </c>
      <c r="C35" s="48" t="n">
        <f aca="false">SUMIFS(WBS!$U$5:$U$279,WBS!$B$5:$B$279,$A35,WBS!$H$5:$H$279,"P0")</f>
        <v>0</v>
      </c>
      <c r="D35" s="48" t="n">
        <f aca="false">SUMIFS(WBS!$U$5:$U$279,WBS!$B$5:$B$279,$A35,WBS!$H$5:$H$279,"P1")</f>
        <v>54</v>
      </c>
      <c r="E35" s="48" t="n">
        <f aca="false">SUMIFS(WBS!$U$5:$U$279,WBS!$B$5:$B$279,$A35,WBS!$H$5:$H$279,"P2")</f>
        <v>0</v>
      </c>
      <c r="F35" s="48" t="n">
        <f aca="false">SUMIFS(WBS!$U$5:$U$279,WBS!$B$5:$B$279,$A35,WBS!$H$5:$H$279,"P3")</f>
        <v>83.4</v>
      </c>
      <c r="G35" s="48" t="n">
        <f aca="false">SUMIFS(WBS!$U$5:$U$279,WBS!$B$5:$B$279,$A35,WBS!$H$5:$H$279,"P4")</f>
        <v>5.9</v>
      </c>
      <c r="H35" s="49" t="n">
        <f aca="false">SUM(C35:G35)</f>
        <v>143.3</v>
      </c>
      <c r="I35" s="14" t="n">
        <f aca="false">COUNTIF(WBS!$B$5:$B$279,$A35)</f>
        <v>12</v>
      </c>
    </row>
    <row r="36" customFormat="false" ht="15" hidden="false" customHeight="false" outlineLevel="0" collapsed="false">
      <c r="A36" s="7" t="s">
        <v>1457</v>
      </c>
      <c r="B36" s="6" t="s">
        <v>1458</v>
      </c>
      <c r="C36" s="48" t="n">
        <f aca="false">SUMIFS(WBS!$U$5:$U$279,WBS!$B$5:$B$279,$A36,WBS!$H$5:$H$279,"P0")</f>
        <v>0</v>
      </c>
      <c r="D36" s="48" t="n">
        <f aca="false">SUMIFS(WBS!$U$5:$U$279,WBS!$B$5:$B$279,$A36,WBS!$H$5:$H$279,"P1")</f>
        <v>0</v>
      </c>
      <c r="E36" s="48" t="n">
        <f aca="false">SUMIFS(WBS!$U$5:$U$279,WBS!$B$5:$B$279,$A36,WBS!$H$5:$H$279,"P2")</f>
        <v>129.5</v>
      </c>
      <c r="F36" s="48" t="n">
        <f aca="false">SUMIFS(WBS!$U$5:$U$279,WBS!$B$5:$B$279,$A36,WBS!$H$5:$H$279,"P3")</f>
        <v>29.4</v>
      </c>
      <c r="G36" s="48" t="n">
        <f aca="false">SUMIFS(WBS!$U$5:$U$279,WBS!$B$5:$B$279,$A36,WBS!$H$5:$H$279,"P4")</f>
        <v>20.6</v>
      </c>
      <c r="H36" s="49" t="n">
        <f aca="false">SUM(C36:G36)</f>
        <v>179.5</v>
      </c>
      <c r="I36" s="14" t="n">
        <f aca="false">COUNTIF(WBS!$B$5:$B$279,$A36)</f>
        <v>18</v>
      </c>
    </row>
    <row r="37" customFormat="false" ht="15" hidden="false" customHeight="false" outlineLevel="0" collapsed="false">
      <c r="A37" s="7" t="s">
        <v>1584</v>
      </c>
      <c r="B37" s="6" t="s">
        <v>1585</v>
      </c>
      <c r="C37" s="48" t="n">
        <f aca="false">SUMIFS(WBS!$U$5:$U$279,WBS!$B$5:$B$279,$A37,WBS!$H$5:$H$279,"P0")</f>
        <v>0</v>
      </c>
      <c r="D37" s="48" t="n">
        <f aca="false">SUMIFS(WBS!$U$5:$U$279,WBS!$B$5:$B$279,$A37,WBS!$H$5:$H$279,"P1")</f>
        <v>0</v>
      </c>
      <c r="E37" s="48" t="n">
        <f aca="false">SUMIFS(WBS!$U$5:$U$279,WBS!$B$5:$B$279,$A37,WBS!$H$5:$H$279,"P2")</f>
        <v>68.7</v>
      </c>
      <c r="F37" s="48" t="n">
        <f aca="false">SUMIFS(WBS!$U$5:$U$279,WBS!$B$5:$B$279,$A37,WBS!$H$5:$H$279,"P3")</f>
        <v>83.4</v>
      </c>
      <c r="G37" s="48" t="n">
        <f aca="false">SUMIFS(WBS!$U$5:$U$279,WBS!$B$5:$B$279,$A37,WBS!$H$5:$H$279,"P4")</f>
        <v>0</v>
      </c>
      <c r="H37" s="49" t="n">
        <f aca="false">SUM(C37:G37)</f>
        <v>152.1</v>
      </c>
      <c r="I37" s="14" t="n">
        <f aca="false">COUNTIF(WBS!$B$5:$B$279,$A37)</f>
        <v>14</v>
      </c>
    </row>
    <row r="38" customFormat="false" ht="15" hidden="false" customHeight="false" outlineLevel="0" collapsed="false">
      <c r="A38" s="7" t="s">
        <v>1674</v>
      </c>
      <c r="B38" s="6" t="s">
        <v>1675</v>
      </c>
      <c r="C38" s="48" t="n">
        <f aca="false">SUMIFS(WBS!$U$5:$U$279,WBS!$B$5:$B$279,$A38,WBS!$H$5:$H$279,"P0")</f>
        <v>0</v>
      </c>
      <c r="D38" s="48" t="n">
        <f aca="false">SUMIFS(WBS!$U$5:$U$279,WBS!$B$5:$B$279,$A38,WBS!$H$5:$H$279,"P1")</f>
        <v>0</v>
      </c>
      <c r="E38" s="48" t="n">
        <f aca="false">SUMIFS(WBS!$U$5:$U$279,WBS!$B$5:$B$279,$A38,WBS!$H$5:$H$279,"P2")</f>
        <v>80.4</v>
      </c>
      <c r="F38" s="48" t="n">
        <f aca="false">SUMIFS(WBS!$U$5:$U$279,WBS!$B$5:$B$279,$A38,WBS!$H$5:$H$279,"P3")</f>
        <v>58.8</v>
      </c>
      <c r="G38" s="48" t="n">
        <f aca="false">SUMIFS(WBS!$U$5:$U$279,WBS!$B$5:$B$279,$A38,WBS!$H$5:$H$279,"P4")</f>
        <v>11.8</v>
      </c>
      <c r="H38" s="49" t="n">
        <f aca="false">SUM(C38:G38)</f>
        <v>151</v>
      </c>
      <c r="I38" s="14" t="n">
        <f aca="false">COUNTIF(WBS!$B$5:$B$279,$A38)</f>
        <v>15</v>
      </c>
    </row>
    <row r="39" customFormat="false" ht="15" hidden="false" customHeight="false" outlineLevel="0" collapsed="false">
      <c r="A39" s="7" t="s">
        <v>1777</v>
      </c>
      <c r="B39" s="6" t="s">
        <v>1778</v>
      </c>
      <c r="C39" s="48" t="n">
        <f aca="false">SUMIFS(WBS!$U$5:$U$279,WBS!$B$5:$B$279,$A39,WBS!$H$5:$H$279,"P0")</f>
        <v>0</v>
      </c>
      <c r="D39" s="48" t="n">
        <f aca="false">SUMIFS(WBS!$U$5:$U$279,WBS!$B$5:$B$279,$A39,WBS!$H$5:$H$279,"P1")</f>
        <v>0</v>
      </c>
      <c r="E39" s="48" t="n">
        <f aca="false">SUMIFS(WBS!$U$5:$U$279,WBS!$B$5:$B$279,$A39,WBS!$H$5:$H$279,"P2")</f>
        <v>71.1</v>
      </c>
      <c r="F39" s="48" t="n">
        <f aca="false">SUMIFS(WBS!$U$5:$U$279,WBS!$B$5:$B$279,$A39,WBS!$H$5:$H$279,"P3")</f>
        <v>58.9</v>
      </c>
      <c r="G39" s="48" t="n">
        <f aca="false">SUMIFS(WBS!$U$5:$U$279,WBS!$B$5:$B$279,$A39,WBS!$H$5:$H$279,"P4")</f>
        <v>8.8</v>
      </c>
      <c r="H39" s="49" t="n">
        <f aca="false">SUM(C39:G39)</f>
        <v>138.8</v>
      </c>
      <c r="I39" s="14" t="n">
        <f aca="false">COUNTIF(WBS!$B$5:$B$279,$A39)</f>
        <v>14</v>
      </c>
    </row>
    <row r="40" customFormat="false" ht="15" hidden="false" customHeight="false" outlineLevel="0" collapsed="false">
      <c r="A40" s="7" t="s">
        <v>1875</v>
      </c>
      <c r="B40" s="6" t="s">
        <v>1876</v>
      </c>
      <c r="C40" s="48" t="n">
        <f aca="false">SUMIFS(WBS!$U$5:$U$279,WBS!$B$5:$B$279,$A40,WBS!$H$5:$H$279,"P0")</f>
        <v>0</v>
      </c>
      <c r="D40" s="48" t="n">
        <f aca="false">SUMIFS(WBS!$U$5:$U$279,WBS!$B$5:$B$279,$A40,WBS!$H$5:$H$279,"P1")</f>
        <v>0</v>
      </c>
      <c r="E40" s="48" t="n">
        <f aca="false">SUMIFS(WBS!$U$5:$U$279,WBS!$B$5:$B$279,$A40,WBS!$H$5:$H$279,"P2")</f>
        <v>47</v>
      </c>
      <c r="F40" s="48" t="n">
        <f aca="false">SUMIFS(WBS!$U$5:$U$279,WBS!$B$5:$B$279,$A40,WBS!$H$5:$H$279,"P3")</f>
        <v>38.1</v>
      </c>
      <c r="G40" s="48" t="n">
        <f aca="false">SUMIFS(WBS!$U$5:$U$279,WBS!$B$5:$B$279,$A40,WBS!$H$5:$H$279,"P4")</f>
        <v>20.6</v>
      </c>
      <c r="H40" s="49" t="n">
        <f aca="false">SUM(C40:G40)</f>
        <v>105.7</v>
      </c>
      <c r="I40" s="14" t="n">
        <f aca="false">COUNTIF(WBS!$B$5:$B$279,$A40)</f>
        <v>14</v>
      </c>
    </row>
    <row r="41" customFormat="false" ht="15" hidden="false" customHeight="false" outlineLevel="0" collapsed="false">
      <c r="A41" s="7" t="s">
        <v>1964</v>
      </c>
      <c r="B41" s="6" t="s">
        <v>1965</v>
      </c>
      <c r="C41" s="48" t="n">
        <f aca="false">SUMIFS(WBS!$U$5:$U$279,WBS!$B$5:$B$279,$A41,WBS!$H$5:$H$279,"P0")</f>
        <v>0</v>
      </c>
      <c r="D41" s="48" t="n">
        <f aca="false">SUMIFS(WBS!$U$5:$U$279,WBS!$B$5:$B$279,$A41,WBS!$H$5:$H$279,"P1")</f>
        <v>0</v>
      </c>
      <c r="E41" s="48" t="n">
        <f aca="false">SUMIFS(WBS!$U$5:$U$279,WBS!$B$5:$B$279,$A41,WBS!$H$5:$H$279,"P2")</f>
        <v>35.9</v>
      </c>
      <c r="F41" s="48" t="n">
        <f aca="false">SUMIFS(WBS!$U$5:$U$279,WBS!$B$5:$B$279,$A41,WBS!$H$5:$H$279,"P3")</f>
        <v>95.7</v>
      </c>
      <c r="G41" s="48" t="n">
        <f aca="false">SUMIFS(WBS!$U$5:$U$279,WBS!$B$5:$B$279,$A41,WBS!$H$5:$H$279,"P4")</f>
        <v>72.7</v>
      </c>
      <c r="H41" s="49" t="n">
        <f aca="false">SUM(C41:G41)</f>
        <v>204.3</v>
      </c>
      <c r="I41" s="14" t="n">
        <f aca="false">COUNTIF(WBS!$B$5:$B$279,$A41)</f>
        <v>13</v>
      </c>
    </row>
    <row r="42" customFormat="false" ht="15" hidden="false" customHeight="false" outlineLevel="0" collapsed="false">
      <c r="A42" s="7" t="s">
        <v>4670</v>
      </c>
      <c r="B42" s="6" t="s">
        <v>5000</v>
      </c>
      <c r="C42" s="48" t="n">
        <f aca="false">SUMIFS(Project_Tasks!$P$5:$P$57,Project_Tasks!$B$5:$B$57,"P0")</f>
        <v>214</v>
      </c>
      <c r="D42" s="48" t="n">
        <f aca="false">SUMIFS(Project_Tasks!$P$5:$P$57,Project_Tasks!$B$5:$B$57,"P1")</f>
        <v>258</v>
      </c>
      <c r="E42" s="48" t="n">
        <f aca="false">SUMIFS(Project_Tasks!$P$5:$P$57,Project_Tasks!$B$5:$B$57,"P2")</f>
        <v>112</v>
      </c>
      <c r="F42" s="48" t="n">
        <f aca="false">SUMIFS(Project_Tasks!$P$5:$P$57,Project_Tasks!$B$5:$B$57,"P3")</f>
        <v>135</v>
      </c>
      <c r="G42" s="48" t="n">
        <f aca="false">SUMIFS(Project_Tasks!$P$5:$P$57,Project_Tasks!$B$5:$B$57,"P4")</f>
        <v>73</v>
      </c>
      <c r="H42" s="49" t="n">
        <f aca="false">SUM(C42:G42)</f>
        <v>792</v>
      </c>
      <c r="I42" s="14" t="n">
        <f aca="false">COUNTA(Project_Tasks!$A$5:$A$57)</f>
        <v>53</v>
      </c>
    </row>
    <row r="43" customFormat="false" ht="15" hidden="false" customHeight="false" outlineLevel="0" collapsed="false">
      <c r="A43" s="55" t="s">
        <v>4988</v>
      </c>
      <c r="B43" s="65"/>
      <c r="C43" s="39" t="n">
        <f aca="false">SUM(C25:C42)</f>
        <v>710.9</v>
      </c>
      <c r="D43" s="39" t="n">
        <f aca="false">SUM(D25:D42)</f>
        <v>1395.4</v>
      </c>
      <c r="E43" s="39" t="n">
        <f aca="false">SUM(E25:E42)</f>
        <v>677.3</v>
      </c>
      <c r="F43" s="39" t="n">
        <f aca="false">SUM(F25:F42)</f>
        <v>1176.4</v>
      </c>
      <c r="G43" s="39" t="n">
        <f aca="false">SUM(G25:G42)</f>
        <v>327.2</v>
      </c>
      <c r="H43" s="39" t="n">
        <f aca="false">SUM(H25:H42)</f>
        <v>4287.2</v>
      </c>
      <c r="I43" s="56" t="n">
        <f aca="false">SUM(I25:I42)</f>
        <v>328</v>
      </c>
    </row>
    <row r="45" customFormat="false" ht="15" hidden="false" customHeight="false" outlineLevel="0" collapsed="false">
      <c r="A45" s="11" t="s">
        <v>5001</v>
      </c>
    </row>
    <row r="46" customFormat="false" ht="31.5" hidden="false" customHeight="true" outlineLevel="0" collapsed="false">
      <c r="A46" s="3" t="s">
        <v>81</v>
      </c>
      <c r="B46" s="3"/>
      <c r="C46" s="3" t="s">
        <v>5002</v>
      </c>
      <c r="D46" s="3" t="s">
        <v>5003</v>
      </c>
      <c r="E46" s="3" t="s">
        <v>5004</v>
      </c>
    </row>
    <row r="47" customFormat="false" ht="15" hidden="false" customHeight="false" outlineLevel="0" collapsed="false">
      <c r="A47" s="7" t="s">
        <v>91</v>
      </c>
      <c r="B47" s="6"/>
      <c r="C47" s="13" t="n">
        <f aca="false">C10*(1+Assumptions!$B$7)</f>
        <v>409.745</v>
      </c>
      <c r="D47" s="13" t="n">
        <f aca="false">(Assumptions!$B$24*N5+Assumptions!$C$24*N6+Assumptions!$D$24*N7+Assumptions!$E$24*N8+Assumptions!$F$24*N9)*Assumptions!$B$5*Assumptions!$B$6</f>
        <v>528</v>
      </c>
      <c r="E47" s="66" t="n">
        <f aca="false">IF(D47=0,0,C47/D47)</f>
        <v>0.776032196969697</v>
      </c>
    </row>
    <row r="48" customFormat="false" ht="15" hidden="false" customHeight="false" outlineLevel="0" collapsed="false">
      <c r="A48" s="7" t="s">
        <v>128</v>
      </c>
      <c r="B48" s="6"/>
      <c r="C48" s="13" t="n">
        <f aca="false">D10*(1+Assumptions!$B$7)</f>
        <v>223.56</v>
      </c>
      <c r="D48" s="13" t="n">
        <f aca="false">(Assumptions!$B$25*N5+Assumptions!$C$25*N6+Assumptions!$D$25*N7+Assumptions!$E$25*N8+Assumptions!$F$25*N9)*Assumptions!$B$5*Assumptions!$B$6</f>
        <v>376</v>
      </c>
      <c r="E48" s="66" t="n">
        <f aca="false">IF(D48=0,0,C48/D48)</f>
        <v>0.594574468085106</v>
      </c>
    </row>
    <row r="49" customFormat="false" ht="15" hidden="false" customHeight="false" outlineLevel="0" collapsed="false">
      <c r="A49" s="7" t="s">
        <v>2068</v>
      </c>
      <c r="B49" s="6"/>
      <c r="C49" s="13" t="n">
        <f aca="false">E10*(1+Assumptions!$B$7)</f>
        <v>1483.5</v>
      </c>
      <c r="D49" s="13" t="n">
        <f aca="false">(Assumptions!$B$26*N5+Assumptions!$C$26*N6+Assumptions!$D$26*N7+Assumptions!$E$26*N8+Assumptions!$F$26*N9)*Assumptions!$B$5*Assumptions!$B$6</f>
        <v>1680</v>
      </c>
      <c r="E49" s="66" t="n">
        <f aca="false">IF(D49=0,0,C49/D49)</f>
        <v>0.883035714285714</v>
      </c>
    </row>
    <row r="50" customFormat="false" ht="15" hidden="false" customHeight="false" outlineLevel="0" collapsed="false">
      <c r="A50" s="7" t="s">
        <v>2071</v>
      </c>
      <c r="B50" s="6"/>
      <c r="C50" s="13" t="n">
        <f aca="false">F10*(1+Assumptions!$B$7)</f>
        <v>1265</v>
      </c>
      <c r="D50" s="13" t="n">
        <f aca="false">(Assumptions!$B$27*N5+Assumptions!$C$27*N6+Assumptions!$D$27*N7+Assumptions!$E$27*N8+Assumptions!$F$27*N9)*Assumptions!$B$5*Assumptions!$B$6</f>
        <v>1376</v>
      </c>
      <c r="E50" s="66" t="n">
        <f aca="false">IF(D50=0,0,C50/D50)</f>
        <v>0.919331395348837</v>
      </c>
    </row>
    <row r="51" customFormat="false" ht="15" hidden="false" customHeight="false" outlineLevel="0" collapsed="false">
      <c r="A51" s="7" t="s">
        <v>96</v>
      </c>
      <c r="B51" s="6"/>
      <c r="C51" s="13" t="n">
        <f aca="false">G10*(1+Assumptions!$B$7)</f>
        <v>1017.175</v>
      </c>
      <c r="D51" s="13" t="n">
        <f aca="false">(Assumptions!$B$28*N5+Assumptions!$C$28*N6+Assumptions!$D$28*N7+Assumptions!$E$28*N8+Assumptions!$F$28*N9)*Assumptions!$B$5*Assumptions!$B$6</f>
        <v>1168</v>
      </c>
      <c r="E51" s="66" t="n">
        <f aca="false">IF(D51=0,0,C51/D51)</f>
        <v>0.870869006849315</v>
      </c>
    </row>
    <row r="52" customFormat="false" ht="15" hidden="false" customHeight="false" outlineLevel="0" collapsed="false">
      <c r="A52" s="7" t="s">
        <v>97</v>
      </c>
      <c r="B52" s="6"/>
      <c r="C52" s="13" t="n">
        <f aca="false">H10*(1+Assumptions!$B$7)</f>
        <v>250.7</v>
      </c>
      <c r="D52" s="13" t="n">
        <f aca="false">(Assumptions!$B$29*N5+Assumptions!$C$29*N6+Assumptions!$D$29*N7+Assumptions!$E$29*N8+Assumptions!$F$29*N9)*Assumptions!$B$5*Assumptions!$B$6</f>
        <v>376</v>
      </c>
      <c r="E52" s="66" t="n">
        <f aca="false">IF(D52=0,0,C52/D52)</f>
        <v>0.666755319148936</v>
      </c>
    </row>
    <row r="53" customFormat="false" ht="15" hidden="false" customHeight="false" outlineLevel="0" collapsed="false">
      <c r="A53" s="26" t="s">
        <v>5005</v>
      </c>
    </row>
  </sheetData>
  <conditionalFormatting sqref="C15:AT15">
    <cfRule type="expression" priority="2" aboveAverage="0" equalAverage="0" bottom="0" percent="0" rank="0" text="" dxfId="20">
      <formula>AND(C$13&gt;=$O$5,C$13&lt;=$P$5)</formula>
    </cfRule>
  </conditionalFormatting>
  <conditionalFormatting sqref="C16:AT16">
    <cfRule type="expression" priority="3" aboveAverage="0" equalAverage="0" bottom="0" percent="0" rank="0" text="" dxfId="21">
      <formula>AND(C$13&gt;=$O$6,C$13&lt;=$P$6)</formula>
    </cfRule>
  </conditionalFormatting>
  <conditionalFormatting sqref="C17:AT17">
    <cfRule type="expression" priority="4" aboveAverage="0" equalAverage="0" bottom="0" percent="0" rank="0" text="" dxfId="22">
      <formula>AND(C$13&gt;=$O$7,C$13&lt;=$P$7)</formula>
    </cfRule>
  </conditionalFormatting>
  <conditionalFormatting sqref="C18:AT18">
    <cfRule type="expression" priority="5" aboveAverage="0" equalAverage="0" bottom="0" percent="0" rank="0" text="" dxfId="23">
      <formula>AND(C$13&gt;=$O$8,C$13&lt;=$P$8)</formula>
    </cfRule>
  </conditionalFormatting>
  <conditionalFormatting sqref="C19:AT19">
    <cfRule type="expression" priority="6" aboveAverage="0" equalAverage="0" bottom="0" percent="0" rank="0" text="" dxfId="24">
      <formula>AND(C$13&gt;=$O$9,C$13&lt;=$P$9)</formula>
    </cfRule>
  </conditionalFormatting>
  <conditionalFormatting sqref="E47:E52">
    <cfRule type="cellIs" priority="7" operator="lessThan" aboveAverage="0" equalAverage="0" bottom="0" percent="0" rank="0" text="" dxfId="25">
      <formula>0.6</formula>
    </cfRule>
    <cfRule type="cellIs" priority="8" operator="greaterThanOrEqual" aboveAverage="0" equalAverage="0" bottom="0" percent="0" rank="0" text="" dxfId="26">
      <formula>0.85</formula>
    </cfRule>
  </conditionalFormatting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0" topLeftCell="D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19" min="4" style="0" width="9"/>
    <col collapsed="false" customWidth="true" hidden="false" outlineLevel="0" max="20" min="20" style="0" width="44"/>
  </cols>
  <sheetData>
    <row r="1" customFormat="false" ht="17.9" hidden="false" customHeight="false" outlineLevel="0" collapsed="false">
      <c r="A1" s="27" t="s">
        <v>5006</v>
      </c>
    </row>
    <row r="2" customFormat="false" ht="15" hidden="false" customHeight="false" outlineLevel="0" collapsed="false">
      <c r="A2" s="2" t="s">
        <v>5007</v>
      </c>
    </row>
    <row r="4" customFormat="false" ht="15" hidden="false" customHeight="false" outlineLevel="0" collapsed="false">
      <c r="A4" s="11" t="s">
        <v>5008</v>
      </c>
    </row>
    <row r="5" customFormat="false" ht="15" hidden="false" customHeight="false" outlineLevel="0" collapsed="false">
      <c r="A5" s="67" t="s">
        <v>5009</v>
      </c>
      <c r="B5" s="67" t="s">
        <v>5010</v>
      </c>
      <c r="C5" s="67" t="s">
        <v>48</v>
      </c>
      <c r="D5" s="67"/>
      <c r="E5" s="67"/>
      <c r="F5" s="67"/>
      <c r="G5" s="67"/>
      <c r="H5" s="67"/>
      <c r="I5" s="67"/>
      <c r="J5" s="67"/>
      <c r="K5" s="67"/>
      <c r="L5" s="67" t="s">
        <v>5011</v>
      </c>
      <c r="M5" s="67"/>
      <c r="N5" s="67"/>
      <c r="O5" s="67"/>
      <c r="P5" s="67"/>
      <c r="Q5" s="67"/>
      <c r="R5" s="67"/>
      <c r="S5" s="67"/>
      <c r="T5" s="67"/>
    </row>
    <row r="6" customFormat="false" ht="30" hidden="false" customHeight="true" outlineLevel="0" collapsed="false">
      <c r="A6" s="4" t="s">
        <v>5012</v>
      </c>
      <c r="B6" s="4" t="s">
        <v>5013</v>
      </c>
      <c r="C6" s="6" t="s">
        <v>5014</v>
      </c>
      <c r="D6" s="6"/>
      <c r="E6" s="6"/>
      <c r="F6" s="6"/>
      <c r="G6" s="6"/>
      <c r="H6" s="6"/>
      <c r="I6" s="6"/>
      <c r="J6" s="6"/>
      <c r="K6" s="6"/>
      <c r="L6" s="6" t="s">
        <v>5015</v>
      </c>
      <c r="M6" s="6"/>
      <c r="N6" s="6"/>
      <c r="O6" s="6"/>
      <c r="P6" s="6"/>
      <c r="Q6" s="6"/>
      <c r="R6" s="6"/>
      <c r="S6" s="6"/>
      <c r="T6" s="6"/>
    </row>
    <row r="7" customFormat="false" ht="30" hidden="false" customHeight="true" outlineLevel="0" collapsed="false">
      <c r="A7" s="4" t="s">
        <v>5016</v>
      </c>
      <c r="B7" s="4" t="s">
        <v>5017</v>
      </c>
      <c r="C7" s="6" t="s">
        <v>5018</v>
      </c>
      <c r="D7" s="6"/>
      <c r="E7" s="6"/>
      <c r="F7" s="6"/>
      <c r="G7" s="6"/>
      <c r="H7" s="6"/>
      <c r="I7" s="6"/>
      <c r="J7" s="6"/>
      <c r="K7" s="6"/>
      <c r="L7" s="6" t="s">
        <v>5019</v>
      </c>
      <c r="M7" s="6"/>
      <c r="N7" s="6"/>
      <c r="O7" s="6"/>
      <c r="P7" s="6"/>
      <c r="Q7" s="6"/>
      <c r="R7" s="6"/>
      <c r="S7" s="6"/>
      <c r="T7" s="6"/>
    </row>
    <row r="8" customFormat="false" ht="30" hidden="false" customHeight="true" outlineLevel="0" collapsed="false">
      <c r="A8" s="4" t="s">
        <v>1374</v>
      </c>
      <c r="B8" s="4" t="s">
        <v>1374</v>
      </c>
      <c r="C8" s="6" t="s">
        <v>5020</v>
      </c>
      <c r="D8" s="6"/>
      <c r="E8" s="6"/>
      <c r="F8" s="6"/>
      <c r="G8" s="6"/>
      <c r="H8" s="6"/>
      <c r="I8" s="6"/>
      <c r="J8" s="6"/>
      <c r="K8" s="6"/>
      <c r="L8" s="6" t="s">
        <v>5021</v>
      </c>
      <c r="M8" s="6"/>
      <c r="N8" s="6"/>
      <c r="O8" s="6"/>
      <c r="P8" s="6"/>
      <c r="Q8" s="6"/>
      <c r="R8" s="6"/>
      <c r="S8" s="6"/>
      <c r="T8" s="6"/>
    </row>
    <row r="9" customFormat="false" ht="30" hidden="false" customHeight="true" outlineLevel="0" collapsed="false">
      <c r="A9" s="4" t="s">
        <v>5022</v>
      </c>
      <c r="B9" s="4" t="s">
        <v>5023</v>
      </c>
      <c r="C9" s="6" t="s">
        <v>5024</v>
      </c>
      <c r="D9" s="6"/>
      <c r="E9" s="6"/>
      <c r="F9" s="6"/>
      <c r="G9" s="6"/>
      <c r="H9" s="6"/>
      <c r="I9" s="6"/>
      <c r="J9" s="6"/>
      <c r="K9" s="6"/>
      <c r="L9" s="6" t="s">
        <v>5025</v>
      </c>
      <c r="M9" s="6"/>
      <c r="N9" s="6"/>
      <c r="O9" s="6"/>
      <c r="P9" s="6"/>
      <c r="Q9" s="6"/>
      <c r="R9" s="6"/>
      <c r="S9" s="6"/>
      <c r="T9" s="6"/>
    </row>
    <row r="10" customFormat="false" ht="30" hidden="false" customHeight="true" outlineLevel="0" collapsed="false">
      <c r="A10" s="4" t="s">
        <v>5026</v>
      </c>
      <c r="B10" s="4" t="s">
        <v>4699</v>
      </c>
      <c r="C10" s="6" t="s">
        <v>5027</v>
      </c>
      <c r="D10" s="6"/>
      <c r="E10" s="6"/>
      <c r="F10" s="6"/>
      <c r="G10" s="6"/>
      <c r="H10" s="6"/>
      <c r="I10" s="6"/>
      <c r="J10" s="6"/>
      <c r="K10" s="6"/>
      <c r="L10" s="6" t="s">
        <v>5019</v>
      </c>
      <c r="M10" s="6"/>
      <c r="N10" s="6"/>
      <c r="O10" s="6"/>
      <c r="P10" s="6"/>
      <c r="Q10" s="6"/>
      <c r="R10" s="6"/>
      <c r="S10" s="6"/>
      <c r="T10" s="6"/>
    </row>
    <row r="11" customFormat="false" ht="30" hidden="false" customHeight="true" outlineLevel="0" collapsed="false">
      <c r="A11" s="4" t="s">
        <v>5028</v>
      </c>
      <c r="B11" s="4" t="s">
        <v>5029</v>
      </c>
      <c r="C11" s="6" t="s">
        <v>5030</v>
      </c>
      <c r="D11" s="6"/>
      <c r="E11" s="6"/>
      <c r="F11" s="6"/>
      <c r="G11" s="6"/>
      <c r="H11" s="6"/>
      <c r="I11" s="6"/>
      <c r="J11" s="6"/>
      <c r="K11" s="6"/>
      <c r="L11" s="6" t="s">
        <v>5031</v>
      </c>
      <c r="M11" s="6"/>
      <c r="N11" s="6"/>
      <c r="O11" s="6"/>
      <c r="P11" s="6"/>
      <c r="Q11" s="6"/>
      <c r="R11" s="6"/>
      <c r="S11" s="6"/>
      <c r="T11" s="6"/>
    </row>
    <row r="12" customFormat="false" ht="30" hidden="false" customHeight="true" outlineLevel="0" collapsed="false">
      <c r="A12" s="4" t="s">
        <v>5032</v>
      </c>
      <c r="B12" s="4" t="s">
        <v>5033</v>
      </c>
      <c r="C12" s="6" t="s">
        <v>5034</v>
      </c>
      <c r="D12" s="6"/>
      <c r="E12" s="6"/>
      <c r="F12" s="6"/>
      <c r="G12" s="6"/>
      <c r="H12" s="6"/>
      <c r="I12" s="6"/>
      <c r="J12" s="6"/>
      <c r="K12" s="6"/>
      <c r="L12" s="6" t="s">
        <v>5035</v>
      </c>
      <c r="M12" s="6"/>
      <c r="N12" s="6"/>
      <c r="O12" s="6"/>
      <c r="P12" s="6"/>
      <c r="Q12" s="6"/>
      <c r="R12" s="6"/>
      <c r="S12" s="6"/>
      <c r="T12" s="6"/>
    </row>
    <row r="13" customFormat="false" ht="30" hidden="false" customHeight="true" outlineLevel="0" collapsed="false">
      <c r="A13" s="4" t="s">
        <v>5036</v>
      </c>
      <c r="B13" s="4" t="s">
        <v>5037</v>
      </c>
      <c r="C13" s="6" t="s">
        <v>5038</v>
      </c>
      <c r="D13" s="6"/>
      <c r="E13" s="6"/>
      <c r="F13" s="6"/>
      <c r="G13" s="6"/>
      <c r="H13" s="6"/>
      <c r="I13" s="6"/>
      <c r="J13" s="6"/>
      <c r="K13" s="6"/>
      <c r="L13" s="6" t="s">
        <v>5039</v>
      </c>
      <c r="M13" s="6"/>
      <c r="N13" s="6"/>
      <c r="O13" s="6"/>
      <c r="P13" s="6"/>
      <c r="Q13" s="6"/>
      <c r="R13" s="6"/>
      <c r="S13" s="6"/>
      <c r="T13" s="6"/>
    </row>
    <row r="14" customFormat="false" ht="30" hidden="false" customHeight="true" outlineLevel="0" collapsed="false">
      <c r="A14" s="4" t="s">
        <v>5040</v>
      </c>
      <c r="B14" s="4" t="s">
        <v>5041</v>
      </c>
      <c r="C14" s="6" t="s">
        <v>5042</v>
      </c>
      <c r="D14" s="6"/>
      <c r="E14" s="6"/>
      <c r="F14" s="6"/>
      <c r="G14" s="6"/>
      <c r="H14" s="6"/>
      <c r="I14" s="6"/>
      <c r="J14" s="6"/>
      <c r="K14" s="6"/>
      <c r="L14" s="6" t="s">
        <v>5043</v>
      </c>
      <c r="M14" s="6"/>
      <c r="N14" s="6"/>
      <c r="O14" s="6"/>
      <c r="P14" s="6"/>
      <c r="Q14" s="6"/>
      <c r="R14" s="6"/>
      <c r="S14" s="6"/>
      <c r="T14" s="6"/>
    </row>
    <row r="15" customFormat="false" ht="30" hidden="false" customHeight="true" outlineLevel="0" collapsed="false">
      <c r="A15" s="4" t="s">
        <v>5044</v>
      </c>
      <c r="B15" s="4" t="s">
        <v>5045</v>
      </c>
      <c r="C15" s="6" t="s">
        <v>5046</v>
      </c>
      <c r="D15" s="6"/>
      <c r="E15" s="6"/>
      <c r="F15" s="6"/>
      <c r="G15" s="6"/>
      <c r="H15" s="6"/>
      <c r="I15" s="6"/>
      <c r="J15" s="6"/>
      <c r="K15" s="6"/>
      <c r="L15" s="6" t="s">
        <v>5019</v>
      </c>
      <c r="M15" s="6"/>
      <c r="N15" s="6"/>
      <c r="O15" s="6"/>
      <c r="P15" s="6"/>
      <c r="Q15" s="6"/>
      <c r="R15" s="6"/>
      <c r="S15" s="6"/>
      <c r="T15" s="6"/>
    </row>
    <row r="16" customFormat="false" ht="30" hidden="false" customHeight="true" outlineLevel="0" collapsed="false">
      <c r="A16" s="4" t="s">
        <v>5047</v>
      </c>
      <c r="B16" s="4" t="s">
        <v>5048</v>
      </c>
      <c r="C16" s="6" t="s">
        <v>5049</v>
      </c>
      <c r="D16" s="6"/>
      <c r="E16" s="6"/>
      <c r="F16" s="6"/>
      <c r="G16" s="6"/>
      <c r="H16" s="6"/>
      <c r="I16" s="6"/>
      <c r="J16" s="6"/>
      <c r="K16" s="6"/>
      <c r="L16" s="6" t="s">
        <v>5050</v>
      </c>
      <c r="M16" s="6"/>
      <c r="N16" s="6"/>
      <c r="O16" s="6"/>
      <c r="P16" s="6"/>
      <c r="Q16" s="6"/>
      <c r="R16" s="6"/>
      <c r="S16" s="6"/>
      <c r="T16" s="6"/>
    </row>
    <row r="17" customFormat="false" ht="30" hidden="false" customHeight="true" outlineLevel="0" collapsed="false">
      <c r="A17" s="4" t="s">
        <v>5051</v>
      </c>
      <c r="B17" s="4" t="s">
        <v>5052</v>
      </c>
      <c r="C17" s="6" t="s">
        <v>5053</v>
      </c>
      <c r="D17" s="6"/>
      <c r="E17" s="6"/>
      <c r="F17" s="6"/>
      <c r="G17" s="6"/>
      <c r="H17" s="6"/>
      <c r="I17" s="6"/>
      <c r="J17" s="6"/>
      <c r="K17" s="6"/>
      <c r="L17" s="6" t="s">
        <v>5054</v>
      </c>
      <c r="M17" s="6"/>
      <c r="N17" s="6"/>
      <c r="O17" s="6"/>
      <c r="P17" s="6"/>
      <c r="Q17" s="6"/>
      <c r="R17" s="6"/>
      <c r="S17" s="6"/>
      <c r="T17" s="6"/>
    </row>
    <row r="18" customFormat="false" ht="30" hidden="false" customHeight="true" outlineLevel="0" collapsed="false">
      <c r="A18" s="4" t="s">
        <v>5055</v>
      </c>
      <c r="B18" s="4" t="s">
        <v>5056</v>
      </c>
      <c r="C18" s="6" t="s">
        <v>5057</v>
      </c>
      <c r="D18" s="6"/>
      <c r="E18" s="6"/>
      <c r="F18" s="6"/>
      <c r="G18" s="6"/>
      <c r="H18" s="6"/>
      <c r="I18" s="6"/>
      <c r="J18" s="6"/>
      <c r="K18" s="6"/>
      <c r="L18" s="6" t="s">
        <v>5058</v>
      </c>
      <c r="M18" s="6"/>
      <c r="N18" s="6"/>
      <c r="O18" s="6"/>
      <c r="P18" s="6"/>
      <c r="Q18" s="6"/>
      <c r="R18" s="6"/>
      <c r="S18" s="6"/>
      <c r="T18" s="6"/>
    </row>
    <row r="19" customFormat="false" ht="30" hidden="false" customHeight="true" outlineLevel="0" collapsed="false">
      <c r="A19" s="4" t="s">
        <v>5059</v>
      </c>
      <c r="B19" s="4" t="s">
        <v>5060</v>
      </c>
      <c r="C19" s="6" t="s">
        <v>5061</v>
      </c>
      <c r="D19" s="6"/>
      <c r="E19" s="6"/>
      <c r="F19" s="6"/>
      <c r="G19" s="6"/>
      <c r="H19" s="6"/>
      <c r="I19" s="6"/>
      <c r="J19" s="6"/>
      <c r="K19" s="6"/>
      <c r="L19" s="6" t="s">
        <v>5062</v>
      </c>
      <c r="M19" s="6"/>
      <c r="N19" s="6"/>
      <c r="O19" s="6"/>
      <c r="P19" s="6"/>
      <c r="Q19" s="6"/>
      <c r="R19" s="6"/>
      <c r="S19" s="6"/>
      <c r="T19" s="6"/>
    </row>
    <row r="20" customFormat="false" ht="30" hidden="false" customHeight="true" outlineLevel="0" collapsed="false">
      <c r="A20" s="4" t="s">
        <v>5063</v>
      </c>
      <c r="B20" s="4" t="s">
        <v>5064</v>
      </c>
      <c r="C20" s="6" t="s">
        <v>5065</v>
      </c>
      <c r="D20" s="6"/>
      <c r="E20" s="6"/>
      <c r="F20" s="6"/>
      <c r="G20" s="6"/>
      <c r="H20" s="6"/>
      <c r="I20" s="6"/>
      <c r="J20" s="6"/>
      <c r="K20" s="6"/>
      <c r="L20" s="6" t="s">
        <v>5066</v>
      </c>
      <c r="M20" s="6"/>
      <c r="N20" s="6"/>
      <c r="O20" s="6"/>
      <c r="P20" s="6"/>
      <c r="Q20" s="6"/>
      <c r="R20" s="6"/>
      <c r="S20" s="6"/>
      <c r="T20" s="6"/>
    </row>
    <row r="21" customFormat="false" ht="30" hidden="false" customHeight="true" outlineLevel="0" collapsed="false">
      <c r="A21" s="4" t="s">
        <v>5067</v>
      </c>
      <c r="B21" s="4" t="s">
        <v>5068</v>
      </c>
      <c r="C21" s="6" t="s">
        <v>5069</v>
      </c>
      <c r="D21" s="6"/>
      <c r="E21" s="6"/>
      <c r="F21" s="6"/>
      <c r="G21" s="6"/>
      <c r="H21" s="6"/>
      <c r="I21" s="6"/>
      <c r="J21" s="6"/>
      <c r="K21" s="6"/>
      <c r="L21" s="6" t="s">
        <v>5070</v>
      </c>
      <c r="M21" s="6"/>
      <c r="N21" s="6"/>
      <c r="O21" s="6"/>
      <c r="P21" s="6"/>
      <c r="Q21" s="6"/>
      <c r="R21" s="6"/>
      <c r="S21" s="6"/>
      <c r="T21" s="6"/>
    </row>
    <row r="23" customFormat="false" ht="15" hidden="false" customHeight="false" outlineLevel="0" collapsed="false">
      <c r="A23" s="11" t="s">
        <v>5071</v>
      </c>
    </row>
    <row r="24" customFormat="false" ht="15" hidden="false" customHeight="false" outlineLevel="0" collapsed="false">
      <c r="A24" s="68" t="s">
        <v>5072</v>
      </c>
    </row>
    <row r="25" customFormat="false" ht="57.75" hidden="false" customHeight="true" outlineLevel="0" collapsed="false">
      <c r="A25" s="3" t="s">
        <v>5073</v>
      </c>
      <c r="B25" s="3" t="s">
        <v>5074</v>
      </c>
      <c r="C25" s="3" t="s">
        <v>5075</v>
      </c>
      <c r="D25" s="3" t="s">
        <v>5013</v>
      </c>
      <c r="E25" s="3" t="s">
        <v>5017</v>
      </c>
      <c r="F25" s="3" t="s">
        <v>1374</v>
      </c>
      <c r="G25" s="3" t="s">
        <v>5023</v>
      </c>
      <c r="H25" s="3" t="s">
        <v>4699</v>
      </c>
      <c r="I25" s="3" t="s">
        <v>5029</v>
      </c>
      <c r="J25" s="3" t="s">
        <v>5033</v>
      </c>
      <c r="K25" s="3" t="s">
        <v>5037</v>
      </c>
      <c r="L25" s="3" t="s">
        <v>5041</v>
      </c>
      <c r="M25" s="3" t="s">
        <v>5045</v>
      </c>
      <c r="N25" s="3" t="s">
        <v>5048</v>
      </c>
      <c r="O25" s="3" t="s">
        <v>5052</v>
      </c>
      <c r="P25" s="3" t="s">
        <v>5056</v>
      </c>
      <c r="Q25" s="3" t="s">
        <v>5060</v>
      </c>
      <c r="R25" s="3" t="s">
        <v>5064</v>
      </c>
      <c r="S25" s="3" t="s">
        <v>5068</v>
      </c>
      <c r="T25" s="3" t="s">
        <v>5076</v>
      </c>
    </row>
    <row r="26" customFormat="false" ht="15" hidden="false" customHeight="false" outlineLevel="0" collapsed="false">
      <c r="A26" s="6" t="s">
        <v>5077</v>
      </c>
      <c r="B26" s="28" t="s">
        <v>5078</v>
      </c>
      <c r="C26" s="6" t="s">
        <v>5079</v>
      </c>
      <c r="D26" s="69" t="s">
        <v>5080</v>
      </c>
      <c r="E26" s="70" t="s">
        <v>79</v>
      </c>
      <c r="F26" s="70" t="s">
        <v>79</v>
      </c>
      <c r="G26" s="70" t="s">
        <v>79</v>
      </c>
      <c r="H26" s="70" t="s">
        <v>79</v>
      </c>
      <c r="I26" s="70" t="s">
        <v>79</v>
      </c>
      <c r="J26" s="70" t="s">
        <v>79</v>
      </c>
      <c r="K26" s="70" t="s">
        <v>79</v>
      </c>
      <c r="L26" s="70" t="s">
        <v>79</v>
      </c>
      <c r="M26" s="70" t="s">
        <v>79</v>
      </c>
      <c r="N26" s="70" t="s">
        <v>79</v>
      </c>
      <c r="O26" s="70" t="s">
        <v>79</v>
      </c>
      <c r="P26" s="70" t="s">
        <v>79</v>
      </c>
      <c r="Q26" s="70" t="s">
        <v>79</v>
      </c>
      <c r="R26" s="70" t="s">
        <v>79</v>
      </c>
      <c r="S26" s="70" t="s">
        <v>79</v>
      </c>
      <c r="T26" s="28" t="s">
        <v>5081</v>
      </c>
    </row>
    <row r="27" customFormat="false" ht="15" hidden="false" customHeight="false" outlineLevel="0" collapsed="false">
      <c r="A27" s="6" t="s">
        <v>5077</v>
      </c>
      <c r="B27" s="28" t="s">
        <v>5082</v>
      </c>
      <c r="C27" s="6" t="s">
        <v>5083</v>
      </c>
      <c r="D27" s="69" t="s">
        <v>5084</v>
      </c>
      <c r="E27" s="69" t="s">
        <v>5080</v>
      </c>
      <c r="F27" s="71" t="s">
        <v>5085</v>
      </c>
      <c r="G27" s="70" t="s">
        <v>79</v>
      </c>
      <c r="H27" s="70" t="s">
        <v>79</v>
      </c>
      <c r="I27" s="70" t="s">
        <v>79</v>
      </c>
      <c r="J27" s="70" t="s">
        <v>79</v>
      </c>
      <c r="K27" s="70" t="s">
        <v>79</v>
      </c>
      <c r="L27" s="70" t="s">
        <v>79</v>
      </c>
      <c r="M27" s="70" t="s">
        <v>79</v>
      </c>
      <c r="N27" s="70" t="s">
        <v>79</v>
      </c>
      <c r="O27" s="71" t="s">
        <v>5085</v>
      </c>
      <c r="P27" s="70" t="s">
        <v>79</v>
      </c>
      <c r="Q27" s="70" t="s">
        <v>79</v>
      </c>
      <c r="R27" s="70" t="s">
        <v>79</v>
      </c>
      <c r="S27" s="70" t="s">
        <v>79</v>
      </c>
      <c r="T27" s="28" t="s">
        <v>5086</v>
      </c>
    </row>
    <row r="28" customFormat="false" ht="15" hidden="false" customHeight="false" outlineLevel="0" collapsed="false">
      <c r="A28" s="6" t="s">
        <v>5077</v>
      </c>
      <c r="B28" s="28" t="s">
        <v>5087</v>
      </c>
      <c r="C28" s="6" t="s">
        <v>322</v>
      </c>
      <c r="D28" s="70" t="s">
        <v>79</v>
      </c>
      <c r="E28" s="72" t="s">
        <v>5088</v>
      </c>
      <c r="F28" s="71" t="s">
        <v>5085</v>
      </c>
      <c r="G28" s="70" t="s">
        <v>79</v>
      </c>
      <c r="H28" s="70" t="s">
        <v>79</v>
      </c>
      <c r="I28" s="70" t="s">
        <v>79</v>
      </c>
      <c r="J28" s="70" t="s">
        <v>79</v>
      </c>
      <c r="K28" s="70" t="s">
        <v>79</v>
      </c>
      <c r="L28" s="70" t="s">
        <v>79</v>
      </c>
      <c r="M28" s="70" t="s">
        <v>79</v>
      </c>
      <c r="N28" s="70" t="s">
        <v>79</v>
      </c>
      <c r="O28" s="71" t="s">
        <v>5085</v>
      </c>
      <c r="P28" s="70" t="s">
        <v>79</v>
      </c>
      <c r="Q28" s="70" t="s">
        <v>79</v>
      </c>
      <c r="R28" s="70" t="s">
        <v>79</v>
      </c>
      <c r="S28" s="70" t="s">
        <v>79</v>
      </c>
      <c r="T28" s="28" t="s">
        <v>5089</v>
      </c>
    </row>
    <row r="29" customFormat="false" ht="15" hidden="false" customHeight="false" outlineLevel="0" collapsed="false">
      <c r="A29" s="6" t="s">
        <v>5077</v>
      </c>
      <c r="B29" s="28" t="s">
        <v>5090</v>
      </c>
      <c r="C29" s="6" t="s">
        <v>5091</v>
      </c>
      <c r="D29" s="70" t="s">
        <v>79</v>
      </c>
      <c r="E29" s="69" t="s">
        <v>5080</v>
      </c>
      <c r="F29" s="71" t="s">
        <v>5085</v>
      </c>
      <c r="G29" s="70" t="s">
        <v>79</v>
      </c>
      <c r="H29" s="70" t="s">
        <v>79</v>
      </c>
      <c r="I29" s="70" t="s">
        <v>79</v>
      </c>
      <c r="J29" s="70" t="s">
        <v>79</v>
      </c>
      <c r="K29" s="70" t="s">
        <v>79</v>
      </c>
      <c r="L29" s="70" t="s">
        <v>79</v>
      </c>
      <c r="M29" s="70" t="s">
        <v>79</v>
      </c>
      <c r="N29" s="70" t="s">
        <v>79</v>
      </c>
      <c r="O29" s="71" t="s">
        <v>5085</v>
      </c>
      <c r="P29" s="70" t="s">
        <v>79</v>
      </c>
      <c r="Q29" s="70" t="s">
        <v>79</v>
      </c>
      <c r="R29" s="70" t="s">
        <v>79</v>
      </c>
      <c r="S29" s="70" t="s">
        <v>79</v>
      </c>
      <c r="T29" s="28"/>
    </row>
    <row r="30" customFormat="false" ht="15" hidden="false" customHeight="false" outlineLevel="0" collapsed="false">
      <c r="A30" s="6" t="s">
        <v>5077</v>
      </c>
      <c r="B30" s="28" t="s">
        <v>5092</v>
      </c>
      <c r="C30" s="6" t="s">
        <v>5093</v>
      </c>
      <c r="D30" s="70" t="s">
        <v>79</v>
      </c>
      <c r="E30" s="69" t="s">
        <v>5080</v>
      </c>
      <c r="F30" s="69" t="s">
        <v>5094</v>
      </c>
      <c r="G30" s="71" t="s">
        <v>5085</v>
      </c>
      <c r="H30" s="70" t="s">
        <v>79</v>
      </c>
      <c r="I30" s="71" t="s">
        <v>5085</v>
      </c>
      <c r="J30" s="71" t="s">
        <v>5085</v>
      </c>
      <c r="K30" s="70" t="s">
        <v>79</v>
      </c>
      <c r="L30" s="70" t="s">
        <v>79</v>
      </c>
      <c r="M30" s="71" t="s">
        <v>5085</v>
      </c>
      <c r="N30" s="70" t="s">
        <v>79</v>
      </c>
      <c r="O30" s="71" t="s">
        <v>5085</v>
      </c>
      <c r="P30" s="70" t="s">
        <v>79</v>
      </c>
      <c r="Q30" s="70" t="s">
        <v>79</v>
      </c>
      <c r="R30" s="70" t="s">
        <v>79</v>
      </c>
      <c r="S30" s="70" t="s">
        <v>79</v>
      </c>
      <c r="T30" s="28"/>
    </row>
    <row r="31" customFormat="false" ht="15" hidden="false" customHeight="false" outlineLevel="0" collapsed="false">
      <c r="A31" s="6" t="s">
        <v>5077</v>
      </c>
      <c r="B31" s="28" t="s">
        <v>5095</v>
      </c>
      <c r="C31" s="6" t="s">
        <v>5096</v>
      </c>
      <c r="D31" s="70" t="s">
        <v>79</v>
      </c>
      <c r="E31" s="69" t="s">
        <v>5080</v>
      </c>
      <c r="F31" s="70" t="s">
        <v>79</v>
      </c>
      <c r="G31" s="70" t="s">
        <v>79</v>
      </c>
      <c r="H31" s="70" t="s">
        <v>79</v>
      </c>
      <c r="I31" s="70" t="s">
        <v>79</v>
      </c>
      <c r="J31" s="70" t="s">
        <v>79</v>
      </c>
      <c r="K31" s="70" t="s">
        <v>79</v>
      </c>
      <c r="L31" s="70" t="s">
        <v>79</v>
      </c>
      <c r="M31" s="71" t="s">
        <v>5085</v>
      </c>
      <c r="N31" s="70" t="s">
        <v>79</v>
      </c>
      <c r="O31" s="71" t="s">
        <v>5085</v>
      </c>
      <c r="P31" s="70" t="s">
        <v>79</v>
      </c>
      <c r="Q31" s="70" t="s">
        <v>79</v>
      </c>
      <c r="R31" s="70" t="s">
        <v>79</v>
      </c>
      <c r="S31" s="70" t="s">
        <v>79</v>
      </c>
      <c r="T31" s="28" t="s">
        <v>5097</v>
      </c>
    </row>
    <row r="32" customFormat="false" ht="15" hidden="false" customHeight="false" outlineLevel="0" collapsed="false">
      <c r="A32" s="6" t="s">
        <v>5077</v>
      </c>
      <c r="B32" s="28" t="s">
        <v>5098</v>
      </c>
      <c r="C32" s="6" t="s">
        <v>5099</v>
      </c>
      <c r="D32" s="70" t="s">
        <v>79</v>
      </c>
      <c r="E32" s="69" t="s">
        <v>5080</v>
      </c>
      <c r="F32" s="71" t="s">
        <v>5085</v>
      </c>
      <c r="G32" s="70" t="s">
        <v>79</v>
      </c>
      <c r="H32" s="70" t="s">
        <v>79</v>
      </c>
      <c r="I32" s="70" t="s">
        <v>79</v>
      </c>
      <c r="J32" s="69" t="s">
        <v>5094</v>
      </c>
      <c r="K32" s="70" t="s">
        <v>79</v>
      </c>
      <c r="L32" s="70" t="s">
        <v>79</v>
      </c>
      <c r="M32" s="70" t="s">
        <v>79</v>
      </c>
      <c r="N32" s="70" t="s">
        <v>79</v>
      </c>
      <c r="O32" s="71" t="s">
        <v>5085</v>
      </c>
      <c r="P32" s="70" t="s">
        <v>79</v>
      </c>
      <c r="Q32" s="70" t="s">
        <v>79</v>
      </c>
      <c r="R32" s="70" t="s">
        <v>79</v>
      </c>
      <c r="S32" s="70" t="s">
        <v>79</v>
      </c>
      <c r="T32" s="28" t="s">
        <v>5100</v>
      </c>
    </row>
    <row r="33" customFormat="false" ht="15" hidden="false" customHeight="false" outlineLevel="0" collapsed="false">
      <c r="A33" s="6" t="s">
        <v>5077</v>
      </c>
      <c r="B33" s="28" t="s">
        <v>5101</v>
      </c>
      <c r="C33" s="6" t="s">
        <v>348</v>
      </c>
      <c r="D33" s="71" t="s">
        <v>5102</v>
      </c>
      <c r="E33" s="71" t="s">
        <v>5102</v>
      </c>
      <c r="F33" s="71" t="s">
        <v>5102</v>
      </c>
      <c r="G33" s="70" t="s">
        <v>79</v>
      </c>
      <c r="H33" s="70" t="s">
        <v>79</v>
      </c>
      <c r="I33" s="70" t="s">
        <v>79</v>
      </c>
      <c r="J33" s="70" t="s">
        <v>79</v>
      </c>
      <c r="K33" s="70" t="s">
        <v>79</v>
      </c>
      <c r="L33" s="70" t="s">
        <v>79</v>
      </c>
      <c r="M33" s="71" t="s">
        <v>5102</v>
      </c>
      <c r="N33" s="70" t="s">
        <v>79</v>
      </c>
      <c r="O33" s="71" t="s">
        <v>5102</v>
      </c>
      <c r="P33" s="70" t="s">
        <v>79</v>
      </c>
      <c r="Q33" s="70" t="s">
        <v>79</v>
      </c>
      <c r="R33" s="70" t="s">
        <v>79</v>
      </c>
      <c r="S33" s="70" t="s">
        <v>79</v>
      </c>
      <c r="T33" s="28" t="s">
        <v>5103</v>
      </c>
    </row>
    <row r="34" customFormat="false" ht="15" hidden="false" customHeight="false" outlineLevel="0" collapsed="false">
      <c r="A34" s="6" t="s">
        <v>5077</v>
      </c>
      <c r="B34" s="28" t="s">
        <v>5104</v>
      </c>
      <c r="C34" s="6" t="s">
        <v>5105</v>
      </c>
      <c r="D34" s="70" t="s">
        <v>79</v>
      </c>
      <c r="E34" s="69" t="s">
        <v>5106</v>
      </c>
      <c r="F34" s="71" t="s">
        <v>5085</v>
      </c>
      <c r="G34" s="70" t="s">
        <v>79</v>
      </c>
      <c r="H34" s="70" t="s">
        <v>79</v>
      </c>
      <c r="I34" s="71" t="s">
        <v>5107</v>
      </c>
      <c r="J34" s="71" t="s">
        <v>5107</v>
      </c>
      <c r="K34" s="70" t="s">
        <v>79</v>
      </c>
      <c r="L34" s="70" t="s">
        <v>79</v>
      </c>
      <c r="M34" s="70" t="s">
        <v>79</v>
      </c>
      <c r="N34" s="70" t="s">
        <v>79</v>
      </c>
      <c r="O34" s="71" t="s">
        <v>5085</v>
      </c>
      <c r="P34" s="70" t="s">
        <v>79</v>
      </c>
      <c r="Q34" s="70" t="s">
        <v>79</v>
      </c>
      <c r="R34" s="70" t="s">
        <v>79</v>
      </c>
      <c r="S34" s="70" t="s">
        <v>79</v>
      </c>
      <c r="T34" s="28" t="s">
        <v>5108</v>
      </c>
    </row>
    <row r="35" customFormat="false" ht="15" hidden="false" customHeight="false" outlineLevel="0" collapsed="false">
      <c r="A35" s="6" t="s">
        <v>5077</v>
      </c>
      <c r="B35" s="28" t="s">
        <v>5109</v>
      </c>
      <c r="C35" s="6" t="s">
        <v>5110</v>
      </c>
      <c r="D35" s="71" t="s">
        <v>5107</v>
      </c>
      <c r="E35" s="71" t="s">
        <v>5107</v>
      </c>
      <c r="F35" s="70" t="s">
        <v>79</v>
      </c>
      <c r="G35" s="70" t="s">
        <v>79</v>
      </c>
      <c r="H35" s="70" t="s">
        <v>79</v>
      </c>
      <c r="I35" s="70" t="s">
        <v>79</v>
      </c>
      <c r="J35" s="70" t="s">
        <v>79</v>
      </c>
      <c r="K35" s="70" t="s">
        <v>79</v>
      </c>
      <c r="L35" s="70" t="s">
        <v>79</v>
      </c>
      <c r="M35" s="70" t="s">
        <v>79</v>
      </c>
      <c r="N35" s="70" t="s">
        <v>79</v>
      </c>
      <c r="O35" s="70" t="s">
        <v>79</v>
      </c>
      <c r="P35" s="70" t="s">
        <v>79</v>
      </c>
      <c r="Q35" s="70" t="s">
        <v>79</v>
      </c>
      <c r="R35" s="70" t="s">
        <v>79</v>
      </c>
      <c r="S35" s="70" t="s">
        <v>79</v>
      </c>
      <c r="T35" s="28" t="s">
        <v>5111</v>
      </c>
    </row>
    <row r="36" customFormat="false" ht="15" hidden="false" customHeight="false" outlineLevel="0" collapsed="false">
      <c r="A36" s="6" t="s">
        <v>5077</v>
      </c>
      <c r="B36" s="28" t="s">
        <v>5112</v>
      </c>
      <c r="C36" s="6" t="s">
        <v>5113</v>
      </c>
      <c r="D36" s="70" t="s">
        <v>79</v>
      </c>
      <c r="E36" s="69" t="s">
        <v>5080</v>
      </c>
      <c r="F36" s="69" t="s">
        <v>5094</v>
      </c>
      <c r="G36" s="69" t="s">
        <v>5094</v>
      </c>
      <c r="H36" s="70" t="s">
        <v>79</v>
      </c>
      <c r="I36" s="70" t="s">
        <v>79</v>
      </c>
      <c r="J36" s="70" t="s">
        <v>79</v>
      </c>
      <c r="K36" s="69" t="s">
        <v>5094</v>
      </c>
      <c r="L36" s="70" t="s">
        <v>79</v>
      </c>
      <c r="M36" s="70" t="s">
        <v>79</v>
      </c>
      <c r="N36" s="70" t="s">
        <v>79</v>
      </c>
      <c r="O36" s="71" t="s">
        <v>5085</v>
      </c>
      <c r="P36" s="70" t="s">
        <v>79</v>
      </c>
      <c r="Q36" s="70" t="s">
        <v>79</v>
      </c>
      <c r="R36" s="70" t="s">
        <v>79</v>
      </c>
      <c r="S36" s="70" t="s">
        <v>79</v>
      </c>
      <c r="T36" s="28"/>
    </row>
    <row r="37" customFormat="false" ht="15" hidden="false" customHeight="false" outlineLevel="0" collapsed="false">
      <c r="A37" s="6" t="s">
        <v>5114</v>
      </c>
      <c r="B37" s="28" t="s">
        <v>5115</v>
      </c>
      <c r="C37" s="6" t="s">
        <v>5116</v>
      </c>
      <c r="D37" s="70" t="s">
        <v>79</v>
      </c>
      <c r="E37" s="69" t="s">
        <v>5080</v>
      </c>
      <c r="F37" s="69" t="s">
        <v>5117</v>
      </c>
      <c r="G37" s="71" t="s">
        <v>5085</v>
      </c>
      <c r="H37" s="71" t="s">
        <v>5085</v>
      </c>
      <c r="I37" s="71" t="s">
        <v>5085</v>
      </c>
      <c r="J37" s="71" t="s">
        <v>5085</v>
      </c>
      <c r="K37" s="71" t="s">
        <v>5085</v>
      </c>
      <c r="L37" s="71" t="s">
        <v>5085</v>
      </c>
      <c r="M37" s="71" t="s">
        <v>5085</v>
      </c>
      <c r="N37" s="71" t="s">
        <v>5085</v>
      </c>
      <c r="O37" s="71" t="s">
        <v>5085</v>
      </c>
      <c r="P37" s="71" t="s">
        <v>5085</v>
      </c>
      <c r="Q37" s="71" t="s">
        <v>5085</v>
      </c>
      <c r="R37" s="70" t="s">
        <v>79</v>
      </c>
      <c r="S37" s="70" t="s">
        <v>79</v>
      </c>
      <c r="T37" s="28"/>
    </row>
    <row r="38" customFormat="false" ht="15" hidden="false" customHeight="false" outlineLevel="0" collapsed="false">
      <c r="A38" s="6" t="s">
        <v>5114</v>
      </c>
      <c r="B38" s="28" t="s">
        <v>5118</v>
      </c>
      <c r="C38" s="6" t="s">
        <v>473</v>
      </c>
      <c r="D38" s="70" t="s">
        <v>79</v>
      </c>
      <c r="E38" s="69" t="s">
        <v>5080</v>
      </c>
      <c r="F38" s="69" t="s">
        <v>5080</v>
      </c>
      <c r="G38" s="69" t="s">
        <v>5094</v>
      </c>
      <c r="H38" s="69" t="s">
        <v>5094</v>
      </c>
      <c r="I38" s="71" t="s">
        <v>5085</v>
      </c>
      <c r="J38" s="71" t="s">
        <v>5085</v>
      </c>
      <c r="K38" s="70" t="s">
        <v>79</v>
      </c>
      <c r="L38" s="70" t="s">
        <v>79</v>
      </c>
      <c r="M38" s="70" t="s">
        <v>79</v>
      </c>
      <c r="N38" s="69" t="s">
        <v>5094</v>
      </c>
      <c r="O38" s="71" t="s">
        <v>5085</v>
      </c>
      <c r="P38" s="70" t="s">
        <v>79</v>
      </c>
      <c r="Q38" s="70" t="s">
        <v>79</v>
      </c>
      <c r="R38" s="70" t="s">
        <v>79</v>
      </c>
      <c r="S38" s="70" t="s">
        <v>79</v>
      </c>
      <c r="T38" s="28"/>
    </row>
    <row r="39" customFormat="false" ht="15" hidden="false" customHeight="false" outlineLevel="0" collapsed="false">
      <c r="A39" s="6" t="s">
        <v>5114</v>
      </c>
      <c r="B39" s="28" t="s">
        <v>5119</v>
      </c>
      <c r="C39" s="6" t="s">
        <v>5120</v>
      </c>
      <c r="D39" s="69" t="s">
        <v>5080</v>
      </c>
      <c r="E39" s="69" t="s">
        <v>5080</v>
      </c>
      <c r="F39" s="69" t="s">
        <v>5080</v>
      </c>
      <c r="G39" s="69" t="s">
        <v>5094</v>
      </c>
      <c r="H39" s="71" t="s">
        <v>5085</v>
      </c>
      <c r="I39" s="71" t="s">
        <v>5085</v>
      </c>
      <c r="J39" s="71" t="s">
        <v>5085</v>
      </c>
      <c r="K39" s="71" t="s">
        <v>5085</v>
      </c>
      <c r="L39" s="70" t="s">
        <v>79</v>
      </c>
      <c r="M39" s="71" t="s">
        <v>5085</v>
      </c>
      <c r="N39" s="70" t="s">
        <v>79</v>
      </c>
      <c r="O39" s="71" t="s">
        <v>5085</v>
      </c>
      <c r="P39" s="70" t="s">
        <v>79</v>
      </c>
      <c r="Q39" s="70" t="s">
        <v>79</v>
      </c>
      <c r="R39" s="70" t="s">
        <v>79</v>
      </c>
      <c r="S39" s="70" t="s">
        <v>79</v>
      </c>
      <c r="T39" s="28" t="s">
        <v>5121</v>
      </c>
    </row>
    <row r="40" customFormat="false" ht="15" hidden="false" customHeight="false" outlineLevel="0" collapsed="false">
      <c r="A40" s="6" t="s">
        <v>5114</v>
      </c>
      <c r="B40" s="28" t="s">
        <v>5122</v>
      </c>
      <c r="C40" s="6" t="s">
        <v>5123</v>
      </c>
      <c r="D40" s="69" t="s">
        <v>5080</v>
      </c>
      <c r="E40" s="69" t="s">
        <v>5117</v>
      </c>
      <c r="F40" s="71" t="s">
        <v>5085</v>
      </c>
      <c r="G40" s="70" t="s">
        <v>79</v>
      </c>
      <c r="H40" s="70" t="s">
        <v>79</v>
      </c>
      <c r="I40" s="70" t="s">
        <v>79</v>
      </c>
      <c r="J40" s="70" t="s">
        <v>79</v>
      </c>
      <c r="K40" s="70" t="s">
        <v>79</v>
      </c>
      <c r="L40" s="70" t="s">
        <v>79</v>
      </c>
      <c r="M40" s="70" t="s">
        <v>79</v>
      </c>
      <c r="N40" s="70" t="s">
        <v>79</v>
      </c>
      <c r="O40" s="71" t="s">
        <v>5085</v>
      </c>
      <c r="P40" s="70" t="s">
        <v>79</v>
      </c>
      <c r="Q40" s="70" t="s">
        <v>79</v>
      </c>
      <c r="R40" s="70" t="s">
        <v>79</v>
      </c>
      <c r="S40" s="70" t="s">
        <v>79</v>
      </c>
      <c r="T40" s="28"/>
    </row>
    <row r="41" customFormat="false" ht="15" hidden="false" customHeight="false" outlineLevel="0" collapsed="false">
      <c r="A41" s="6" t="s">
        <v>5124</v>
      </c>
      <c r="B41" s="28" t="s">
        <v>5125</v>
      </c>
      <c r="C41" s="6" t="s">
        <v>5126</v>
      </c>
      <c r="D41" s="70" t="s">
        <v>79</v>
      </c>
      <c r="E41" s="70" t="s">
        <v>79</v>
      </c>
      <c r="F41" s="72" t="s">
        <v>5127</v>
      </c>
      <c r="G41" s="69" t="s">
        <v>5094</v>
      </c>
      <c r="H41" s="71" t="s">
        <v>5085</v>
      </c>
      <c r="I41" s="70" t="s">
        <v>79</v>
      </c>
      <c r="J41" s="69" t="s">
        <v>5117</v>
      </c>
      <c r="K41" s="71" t="s">
        <v>5085</v>
      </c>
      <c r="L41" s="70" t="s">
        <v>79</v>
      </c>
      <c r="M41" s="70" t="s">
        <v>79</v>
      </c>
      <c r="N41" s="70" t="s">
        <v>79</v>
      </c>
      <c r="O41" s="71" t="s">
        <v>5085</v>
      </c>
      <c r="P41" s="70" t="s">
        <v>79</v>
      </c>
      <c r="Q41" s="70" t="s">
        <v>79</v>
      </c>
      <c r="R41" s="70" t="s">
        <v>79</v>
      </c>
      <c r="S41" s="70" t="s">
        <v>79</v>
      </c>
      <c r="T41" s="28" t="s">
        <v>5128</v>
      </c>
    </row>
    <row r="42" customFormat="false" ht="15" hidden="false" customHeight="false" outlineLevel="0" collapsed="false">
      <c r="A42" s="6" t="s">
        <v>5124</v>
      </c>
      <c r="B42" s="28" t="s">
        <v>5129</v>
      </c>
      <c r="C42" s="6" t="s">
        <v>5130</v>
      </c>
      <c r="D42" s="70" t="s">
        <v>79</v>
      </c>
      <c r="E42" s="70" t="s">
        <v>79</v>
      </c>
      <c r="F42" s="69" t="s">
        <v>5106</v>
      </c>
      <c r="G42" s="69" t="s">
        <v>5131</v>
      </c>
      <c r="H42" s="70" t="s">
        <v>79</v>
      </c>
      <c r="I42" s="70" t="s">
        <v>79</v>
      </c>
      <c r="J42" s="69" t="s">
        <v>5131</v>
      </c>
      <c r="K42" s="71" t="s">
        <v>5085</v>
      </c>
      <c r="L42" s="70" t="s">
        <v>79</v>
      </c>
      <c r="M42" s="70" t="s">
        <v>79</v>
      </c>
      <c r="N42" s="70" t="s">
        <v>79</v>
      </c>
      <c r="O42" s="71" t="s">
        <v>5085</v>
      </c>
      <c r="P42" s="70" t="s">
        <v>79</v>
      </c>
      <c r="Q42" s="70" t="s">
        <v>79</v>
      </c>
      <c r="R42" s="70" t="s">
        <v>79</v>
      </c>
      <c r="S42" s="70" t="s">
        <v>79</v>
      </c>
      <c r="T42" s="28"/>
    </row>
    <row r="43" customFormat="false" ht="23.85" hidden="false" customHeight="false" outlineLevel="0" collapsed="false">
      <c r="A43" s="6" t="s">
        <v>5124</v>
      </c>
      <c r="B43" s="28" t="s">
        <v>5132</v>
      </c>
      <c r="C43" s="6" t="s">
        <v>5133</v>
      </c>
      <c r="D43" s="70" t="s">
        <v>79</v>
      </c>
      <c r="E43" s="70" t="s">
        <v>79</v>
      </c>
      <c r="F43" s="72" t="s">
        <v>5127</v>
      </c>
      <c r="G43" s="69" t="s">
        <v>5094</v>
      </c>
      <c r="H43" s="69" t="s">
        <v>5117</v>
      </c>
      <c r="I43" s="70" t="s">
        <v>79</v>
      </c>
      <c r="J43" s="70" t="s">
        <v>79</v>
      </c>
      <c r="K43" s="69" t="s">
        <v>5094</v>
      </c>
      <c r="L43" s="70" t="s">
        <v>79</v>
      </c>
      <c r="M43" s="70" t="s">
        <v>79</v>
      </c>
      <c r="N43" s="70" t="s">
        <v>79</v>
      </c>
      <c r="O43" s="71" t="s">
        <v>5085</v>
      </c>
      <c r="P43" s="70" t="s">
        <v>79</v>
      </c>
      <c r="Q43" s="70" t="s">
        <v>79</v>
      </c>
      <c r="R43" s="70" t="s">
        <v>79</v>
      </c>
      <c r="S43" s="71" t="s">
        <v>5085</v>
      </c>
      <c r="T43" s="28" t="s">
        <v>5134</v>
      </c>
    </row>
    <row r="44" customFormat="false" ht="15" hidden="false" customHeight="false" outlineLevel="0" collapsed="false">
      <c r="A44" s="6" t="s">
        <v>5124</v>
      </c>
      <c r="B44" s="28" t="s">
        <v>5135</v>
      </c>
      <c r="C44" s="6" t="s">
        <v>5136</v>
      </c>
      <c r="D44" s="70" t="s">
        <v>79</v>
      </c>
      <c r="E44" s="70" t="s">
        <v>79</v>
      </c>
      <c r="F44" s="72" t="s">
        <v>5127</v>
      </c>
      <c r="G44" s="69" t="s">
        <v>5094</v>
      </c>
      <c r="H44" s="70" t="s">
        <v>79</v>
      </c>
      <c r="I44" s="70" t="s">
        <v>79</v>
      </c>
      <c r="J44" s="69" t="s">
        <v>5117</v>
      </c>
      <c r="K44" s="69" t="s">
        <v>5094</v>
      </c>
      <c r="L44" s="70" t="s">
        <v>79</v>
      </c>
      <c r="M44" s="70" t="s">
        <v>79</v>
      </c>
      <c r="N44" s="70" t="s">
        <v>79</v>
      </c>
      <c r="O44" s="71" t="s">
        <v>5085</v>
      </c>
      <c r="P44" s="70" t="s">
        <v>79</v>
      </c>
      <c r="Q44" s="70" t="s">
        <v>79</v>
      </c>
      <c r="R44" s="70" t="s">
        <v>79</v>
      </c>
      <c r="S44" s="71" t="s">
        <v>5085</v>
      </c>
      <c r="T44" s="28"/>
    </row>
    <row r="45" customFormat="false" ht="15" hidden="false" customHeight="false" outlineLevel="0" collapsed="false">
      <c r="A45" s="6" t="s">
        <v>5124</v>
      </c>
      <c r="B45" s="28" t="s">
        <v>5137</v>
      </c>
      <c r="C45" s="6" t="s">
        <v>5138</v>
      </c>
      <c r="D45" s="70" t="s">
        <v>79</v>
      </c>
      <c r="E45" s="70" t="s">
        <v>79</v>
      </c>
      <c r="F45" s="71" t="s">
        <v>5102</v>
      </c>
      <c r="G45" s="71" t="s">
        <v>5102</v>
      </c>
      <c r="H45" s="70" t="s">
        <v>79</v>
      </c>
      <c r="I45" s="70" t="s">
        <v>79</v>
      </c>
      <c r="J45" s="71" t="s">
        <v>5085</v>
      </c>
      <c r="K45" s="71" t="s">
        <v>5085</v>
      </c>
      <c r="L45" s="71" t="s">
        <v>5085</v>
      </c>
      <c r="M45" s="70" t="s">
        <v>79</v>
      </c>
      <c r="N45" s="70" t="s">
        <v>79</v>
      </c>
      <c r="O45" s="71" t="s">
        <v>5102</v>
      </c>
      <c r="P45" s="70" t="s">
        <v>79</v>
      </c>
      <c r="Q45" s="70" t="s">
        <v>79</v>
      </c>
      <c r="R45" s="70" t="s">
        <v>79</v>
      </c>
      <c r="S45" s="69" t="s">
        <v>5139</v>
      </c>
      <c r="T45" s="28" t="s">
        <v>5140</v>
      </c>
    </row>
    <row r="46" customFormat="false" ht="15" hidden="false" customHeight="false" outlineLevel="0" collapsed="false">
      <c r="A46" s="6" t="s">
        <v>5124</v>
      </c>
      <c r="B46" s="28" t="s">
        <v>5141</v>
      </c>
      <c r="C46" s="6" t="s">
        <v>5142</v>
      </c>
      <c r="D46" s="70" t="s">
        <v>79</v>
      </c>
      <c r="E46" s="70" t="s">
        <v>79</v>
      </c>
      <c r="F46" s="69" t="s">
        <v>5139</v>
      </c>
      <c r="G46" s="69" t="s">
        <v>5139</v>
      </c>
      <c r="H46" s="70" t="s">
        <v>79</v>
      </c>
      <c r="I46" s="70" t="s">
        <v>79</v>
      </c>
      <c r="J46" s="70" t="s">
        <v>79</v>
      </c>
      <c r="K46" s="70" t="s">
        <v>79</v>
      </c>
      <c r="L46" s="69" t="s">
        <v>5139</v>
      </c>
      <c r="M46" s="70" t="s">
        <v>79</v>
      </c>
      <c r="N46" s="70" t="s">
        <v>79</v>
      </c>
      <c r="O46" s="71" t="s">
        <v>5085</v>
      </c>
      <c r="P46" s="70" t="s">
        <v>79</v>
      </c>
      <c r="Q46" s="70" t="s">
        <v>79</v>
      </c>
      <c r="R46" s="70" t="s">
        <v>79</v>
      </c>
      <c r="S46" s="70" t="s">
        <v>79</v>
      </c>
      <c r="T46" s="28" t="s">
        <v>5143</v>
      </c>
    </row>
    <row r="47" customFormat="false" ht="15" hidden="false" customHeight="false" outlineLevel="0" collapsed="false">
      <c r="A47" s="6" t="s">
        <v>5124</v>
      </c>
      <c r="B47" s="28" t="s">
        <v>5144</v>
      </c>
      <c r="C47" s="6" t="s">
        <v>5145</v>
      </c>
      <c r="D47" s="70" t="s">
        <v>79</v>
      </c>
      <c r="E47" s="70" t="s">
        <v>79</v>
      </c>
      <c r="F47" s="71" t="s">
        <v>5146</v>
      </c>
      <c r="G47" s="71" t="s">
        <v>5146</v>
      </c>
      <c r="H47" s="70" t="s">
        <v>79</v>
      </c>
      <c r="I47" s="70" t="s">
        <v>79</v>
      </c>
      <c r="J47" s="71" t="s">
        <v>5107</v>
      </c>
      <c r="K47" s="71" t="s">
        <v>5147</v>
      </c>
      <c r="L47" s="70" t="s">
        <v>79</v>
      </c>
      <c r="M47" s="70" t="s">
        <v>79</v>
      </c>
      <c r="N47" s="70" t="s">
        <v>79</v>
      </c>
      <c r="O47" s="71" t="s">
        <v>5147</v>
      </c>
      <c r="P47" s="70" t="s">
        <v>79</v>
      </c>
      <c r="Q47" s="70" t="s">
        <v>79</v>
      </c>
      <c r="R47" s="70" t="s">
        <v>79</v>
      </c>
      <c r="S47" s="70" t="s">
        <v>79</v>
      </c>
      <c r="T47" s="28" t="s">
        <v>5148</v>
      </c>
    </row>
    <row r="48" customFormat="false" ht="15" hidden="false" customHeight="false" outlineLevel="0" collapsed="false">
      <c r="A48" s="6" t="s">
        <v>5124</v>
      </c>
      <c r="B48" s="28" t="s">
        <v>5149</v>
      </c>
      <c r="C48" s="6" t="s">
        <v>5150</v>
      </c>
      <c r="D48" s="70" t="s">
        <v>79</v>
      </c>
      <c r="E48" s="70" t="s">
        <v>79</v>
      </c>
      <c r="F48" s="72" t="s">
        <v>5088</v>
      </c>
      <c r="G48" s="69" t="s">
        <v>5094</v>
      </c>
      <c r="H48" s="70" t="s">
        <v>79</v>
      </c>
      <c r="I48" s="70" t="s">
        <v>79</v>
      </c>
      <c r="J48" s="70" t="s">
        <v>79</v>
      </c>
      <c r="K48" s="69" t="s">
        <v>5131</v>
      </c>
      <c r="L48" s="70" t="s">
        <v>79</v>
      </c>
      <c r="M48" s="70" t="s">
        <v>79</v>
      </c>
      <c r="N48" s="70" t="s">
        <v>79</v>
      </c>
      <c r="O48" s="71" t="s">
        <v>5085</v>
      </c>
      <c r="P48" s="70" t="s">
        <v>79</v>
      </c>
      <c r="Q48" s="70" t="s">
        <v>79</v>
      </c>
      <c r="R48" s="70" t="s">
        <v>79</v>
      </c>
      <c r="S48" s="70" t="s">
        <v>79</v>
      </c>
      <c r="T48" s="28"/>
    </row>
    <row r="49" customFormat="false" ht="15" hidden="false" customHeight="false" outlineLevel="0" collapsed="false">
      <c r="A49" s="6" t="s">
        <v>5151</v>
      </c>
      <c r="B49" s="28" t="s">
        <v>5152</v>
      </c>
      <c r="C49" s="6" t="s">
        <v>5153</v>
      </c>
      <c r="D49" s="70" t="s">
        <v>79</v>
      </c>
      <c r="E49" s="70" t="s">
        <v>79</v>
      </c>
      <c r="F49" s="72" t="s">
        <v>5127</v>
      </c>
      <c r="G49" s="69" t="s">
        <v>5094</v>
      </c>
      <c r="H49" s="72" t="s">
        <v>5154</v>
      </c>
      <c r="I49" s="71" t="s">
        <v>5085</v>
      </c>
      <c r="J49" s="71" t="s">
        <v>5085</v>
      </c>
      <c r="K49" s="71" t="s">
        <v>5085</v>
      </c>
      <c r="L49" s="70" t="s">
        <v>79</v>
      </c>
      <c r="M49" s="70" t="s">
        <v>79</v>
      </c>
      <c r="N49" s="70" t="s">
        <v>79</v>
      </c>
      <c r="O49" s="71" t="s">
        <v>5085</v>
      </c>
      <c r="P49" s="70" t="s">
        <v>79</v>
      </c>
      <c r="Q49" s="71" t="s">
        <v>5085</v>
      </c>
      <c r="R49" s="70" t="s">
        <v>79</v>
      </c>
      <c r="S49" s="71" t="s">
        <v>5085</v>
      </c>
      <c r="T49" s="28" t="s">
        <v>5155</v>
      </c>
    </row>
    <row r="50" customFormat="false" ht="15" hidden="false" customHeight="false" outlineLevel="0" collapsed="false">
      <c r="A50" s="6" t="s">
        <v>5151</v>
      </c>
      <c r="B50" s="28" t="s">
        <v>5156</v>
      </c>
      <c r="C50" s="6" t="s">
        <v>5157</v>
      </c>
      <c r="D50" s="70" t="s">
        <v>79</v>
      </c>
      <c r="E50" s="70" t="s">
        <v>79</v>
      </c>
      <c r="F50" s="69" t="s">
        <v>5080</v>
      </c>
      <c r="G50" s="71" t="s">
        <v>5085</v>
      </c>
      <c r="H50" s="69" t="s">
        <v>5080</v>
      </c>
      <c r="I50" s="70" t="s">
        <v>79</v>
      </c>
      <c r="J50" s="70" t="s">
        <v>79</v>
      </c>
      <c r="K50" s="70" t="s">
        <v>79</v>
      </c>
      <c r="L50" s="70" t="s">
        <v>79</v>
      </c>
      <c r="M50" s="70" t="s">
        <v>79</v>
      </c>
      <c r="N50" s="70" t="s">
        <v>79</v>
      </c>
      <c r="O50" s="71" t="s">
        <v>5085</v>
      </c>
      <c r="P50" s="70" t="s">
        <v>79</v>
      </c>
      <c r="Q50" s="70" t="s">
        <v>79</v>
      </c>
      <c r="R50" s="70" t="s">
        <v>79</v>
      </c>
      <c r="S50" s="70" t="s">
        <v>79</v>
      </c>
      <c r="T50" s="28"/>
    </row>
    <row r="51" customFormat="false" ht="15" hidden="false" customHeight="false" outlineLevel="0" collapsed="false">
      <c r="A51" s="6" t="s">
        <v>5151</v>
      </c>
      <c r="B51" s="28" t="s">
        <v>5158</v>
      </c>
      <c r="C51" s="6" t="s">
        <v>5159</v>
      </c>
      <c r="D51" s="70" t="s">
        <v>79</v>
      </c>
      <c r="E51" s="70" t="s">
        <v>79</v>
      </c>
      <c r="F51" s="69" t="s">
        <v>5080</v>
      </c>
      <c r="G51" s="69" t="s">
        <v>5094</v>
      </c>
      <c r="H51" s="70" t="s">
        <v>79</v>
      </c>
      <c r="I51" s="69" t="s">
        <v>5094</v>
      </c>
      <c r="J51" s="70" t="s">
        <v>79</v>
      </c>
      <c r="K51" s="69" t="s">
        <v>5094</v>
      </c>
      <c r="L51" s="70" t="s">
        <v>79</v>
      </c>
      <c r="M51" s="70" t="s">
        <v>79</v>
      </c>
      <c r="N51" s="70" t="s">
        <v>79</v>
      </c>
      <c r="O51" s="71" t="s">
        <v>5085</v>
      </c>
      <c r="P51" s="70" t="s">
        <v>79</v>
      </c>
      <c r="Q51" s="70" t="s">
        <v>79</v>
      </c>
      <c r="R51" s="70" t="s">
        <v>79</v>
      </c>
      <c r="S51" s="70" t="s">
        <v>79</v>
      </c>
      <c r="T51" s="28"/>
    </row>
    <row r="52" customFormat="false" ht="15" hidden="false" customHeight="false" outlineLevel="0" collapsed="false">
      <c r="A52" s="6" t="s">
        <v>5160</v>
      </c>
      <c r="B52" s="28" t="s">
        <v>5161</v>
      </c>
      <c r="C52" s="6" t="s">
        <v>5162</v>
      </c>
      <c r="D52" s="70" t="s">
        <v>79</v>
      </c>
      <c r="E52" s="70" t="s">
        <v>79</v>
      </c>
      <c r="F52" s="72" t="s">
        <v>5088</v>
      </c>
      <c r="G52" s="69" t="s">
        <v>5080</v>
      </c>
      <c r="H52" s="71" t="s">
        <v>5085</v>
      </c>
      <c r="I52" s="69" t="s">
        <v>5094</v>
      </c>
      <c r="J52" s="69" t="s">
        <v>5094</v>
      </c>
      <c r="K52" s="70" t="s">
        <v>79</v>
      </c>
      <c r="L52" s="70" t="s">
        <v>79</v>
      </c>
      <c r="M52" s="71" t="s">
        <v>5085</v>
      </c>
      <c r="N52" s="70" t="s">
        <v>79</v>
      </c>
      <c r="O52" s="71" t="s">
        <v>5085</v>
      </c>
      <c r="P52" s="70" t="s">
        <v>79</v>
      </c>
      <c r="Q52" s="70" t="s">
        <v>79</v>
      </c>
      <c r="R52" s="70" t="s">
        <v>79</v>
      </c>
      <c r="S52" s="70" t="s">
        <v>79</v>
      </c>
      <c r="T52" s="28" t="s">
        <v>5163</v>
      </c>
    </row>
    <row r="53" customFormat="false" ht="15" hidden="false" customHeight="false" outlineLevel="0" collapsed="false">
      <c r="A53" s="6" t="s">
        <v>5160</v>
      </c>
      <c r="B53" s="28" t="s">
        <v>5164</v>
      </c>
      <c r="C53" s="6" t="s">
        <v>5165</v>
      </c>
      <c r="D53" s="70" t="s">
        <v>79</v>
      </c>
      <c r="E53" s="70" t="s">
        <v>79</v>
      </c>
      <c r="F53" s="72" t="s">
        <v>5166</v>
      </c>
      <c r="G53" s="69" t="s">
        <v>5167</v>
      </c>
      <c r="H53" s="71" t="s">
        <v>5085</v>
      </c>
      <c r="I53" s="69" t="s">
        <v>5094</v>
      </c>
      <c r="J53" s="71" t="s">
        <v>5085</v>
      </c>
      <c r="K53" s="71" t="s">
        <v>5085</v>
      </c>
      <c r="L53" s="70" t="s">
        <v>79</v>
      </c>
      <c r="M53" s="71" t="s">
        <v>5085</v>
      </c>
      <c r="N53" s="70" t="s">
        <v>79</v>
      </c>
      <c r="O53" s="71" t="s">
        <v>5102</v>
      </c>
      <c r="P53" s="71" t="s">
        <v>5085</v>
      </c>
      <c r="Q53" s="70" t="s">
        <v>79</v>
      </c>
      <c r="R53" s="70" t="s">
        <v>79</v>
      </c>
      <c r="S53" s="70" t="s">
        <v>79</v>
      </c>
      <c r="T53" s="28" t="s">
        <v>5163</v>
      </c>
    </row>
    <row r="54" customFormat="false" ht="15" hidden="false" customHeight="false" outlineLevel="0" collapsed="false">
      <c r="A54" s="6" t="s">
        <v>5160</v>
      </c>
      <c r="B54" s="28" t="s">
        <v>5168</v>
      </c>
      <c r="C54" s="6" t="s">
        <v>5169</v>
      </c>
      <c r="D54" s="69" t="s">
        <v>5080</v>
      </c>
      <c r="E54" s="70" t="s">
        <v>79</v>
      </c>
      <c r="F54" s="72" t="s">
        <v>5170</v>
      </c>
      <c r="G54" s="69" t="s">
        <v>5094</v>
      </c>
      <c r="H54" s="69" t="s">
        <v>5094</v>
      </c>
      <c r="I54" s="71" t="s">
        <v>5171</v>
      </c>
      <c r="J54" s="70" t="s">
        <v>79</v>
      </c>
      <c r="K54" s="70" t="s">
        <v>79</v>
      </c>
      <c r="L54" s="70" t="s">
        <v>79</v>
      </c>
      <c r="M54" s="70" t="s">
        <v>79</v>
      </c>
      <c r="N54" s="70" t="s">
        <v>79</v>
      </c>
      <c r="O54" s="71" t="s">
        <v>5085</v>
      </c>
      <c r="P54" s="70" t="s">
        <v>79</v>
      </c>
      <c r="Q54" s="70" t="s">
        <v>79</v>
      </c>
      <c r="R54" s="70" t="s">
        <v>79</v>
      </c>
      <c r="S54" s="70" t="s">
        <v>79</v>
      </c>
      <c r="T54" s="28" t="s">
        <v>5172</v>
      </c>
    </row>
    <row r="55" customFormat="false" ht="15" hidden="false" customHeight="false" outlineLevel="0" collapsed="false">
      <c r="A55" s="6" t="s">
        <v>5160</v>
      </c>
      <c r="B55" s="28" t="s">
        <v>5173</v>
      </c>
      <c r="C55" s="6" t="s">
        <v>5174</v>
      </c>
      <c r="D55" s="70" t="s">
        <v>79</v>
      </c>
      <c r="E55" s="70" t="s">
        <v>79</v>
      </c>
      <c r="F55" s="72" t="s">
        <v>5088</v>
      </c>
      <c r="G55" s="69" t="s">
        <v>5094</v>
      </c>
      <c r="H55" s="70" t="s">
        <v>79</v>
      </c>
      <c r="I55" s="69" t="s">
        <v>5117</v>
      </c>
      <c r="J55" s="70" t="s">
        <v>79</v>
      </c>
      <c r="K55" s="70" t="s">
        <v>79</v>
      </c>
      <c r="L55" s="70" t="s">
        <v>79</v>
      </c>
      <c r="M55" s="69" t="s">
        <v>5117</v>
      </c>
      <c r="N55" s="70" t="s">
        <v>79</v>
      </c>
      <c r="O55" s="71" t="s">
        <v>5085</v>
      </c>
      <c r="P55" s="71" t="s">
        <v>5085</v>
      </c>
      <c r="Q55" s="70" t="s">
        <v>79</v>
      </c>
      <c r="R55" s="70" t="s">
        <v>79</v>
      </c>
      <c r="S55" s="70" t="s">
        <v>79</v>
      </c>
      <c r="T55" s="28"/>
    </row>
    <row r="56" customFormat="false" ht="15" hidden="false" customHeight="false" outlineLevel="0" collapsed="false">
      <c r="A56" s="6" t="s">
        <v>5160</v>
      </c>
      <c r="B56" s="28" t="s">
        <v>5175</v>
      </c>
      <c r="C56" s="6" t="s">
        <v>5176</v>
      </c>
      <c r="D56" s="70" t="s">
        <v>79</v>
      </c>
      <c r="E56" s="70" t="s">
        <v>79</v>
      </c>
      <c r="F56" s="72" t="s">
        <v>5177</v>
      </c>
      <c r="G56" s="69" t="s">
        <v>5178</v>
      </c>
      <c r="H56" s="71" t="s">
        <v>5085</v>
      </c>
      <c r="I56" s="71" t="s">
        <v>5085</v>
      </c>
      <c r="J56" s="71" t="s">
        <v>5085</v>
      </c>
      <c r="K56" s="70" t="s">
        <v>79</v>
      </c>
      <c r="L56" s="70" t="s">
        <v>79</v>
      </c>
      <c r="M56" s="71" t="s">
        <v>5085</v>
      </c>
      <c r="N56" s="70" t="s">
        <v>79</v>
      </c>
      <c r="O56" s="71" t="s">
        <v>5102</v>
      </c>
      <c r="P56" s="71" t="s">
        <v>5085</v>
      </c>
      <c r="Q56" s="70" t="s">
        <v>79</v>
      </c>
      <c r="R56" s="70" t="s">
        <v>79</v>
      </c>
      <c r="S56" s="70" t="s">
        <v>79</v>
      </c>
      <c r="T56" s="28"/>
    </row>
    <row r="57" customFormat="false" ht="15" hidden="false" customHeight="false" outlineLevel="0" collapsed="false">
      <c r="A57" s="6" t="s">
        <v>5160</v>
      </c>
      <c r="B57" s="28" t="s">
        <v>5179</v>
      </c>
      <c r="C57" s="6" t="s">
        <v>5180</v>
      </c>
      <c r="D57" s="70" t="s">
        <v>79</v>
      </c>
      <c r="E57" s="70" t="s">
        <v>79</v>
      </c>
      <c r="F57" s="71" t="s">
        <v>5085</v>
      </c>
      <c r="G57" s="71" t="s">
        <v>5085</v>
      </c>
      <c r="H57" s="70" t="s">
        <v>79</v>
      </c>
      <c r="I57" s="70" t="s">
        <v>79</v>
      </c>
      <c r="J57" s="69" t="s">
        <v>5106</v>
      </c>
      <c r="K57" s="70" t="s">
        <v>79</v>
      </c>
      <c r="L57" s="70" t="s">
        <v>79</v>
      </c>
      <c r="M57" s="71" t="s">
        <v>5085</v>
      </c>
      <c r="N57" s="70" t="s">
        <v>79</v>
      </c>
      <c r="O57" s="71" t="s">
        <v>5085</v>
      </c>
      <c r="P57" s="70" t="s">
        <v>79</v>
      </c>
      <c r="Q57" s="70" t="s">
        <v>79</v>
      </c>
      <c r="R57" s="70" t="s">
        <v>79</v>
      </c>
      <c r="S57" s="70" t="s">
        <v>79</v>
      </c>
      <c r="T57" s="28"/>
    </row>
    <row r="58" customFormat="false" ht="22.35" hidden="false" customHeight="false" outlineLevel="0" collapsed="false">
      <c r="A58" s="6" t="s">
        <v>1109</v>
      </c>
      <c r="B58" s="28" t="s">
        <v>5181</v>
      </c>
      <c r="C58" s="6" t="s">
        <v>5182</v>
      </c>
      <c r="D58" s="70" t="s">
        <v>79</v>
      </c>
      <c r="E58" s="70" t="s">
        <v>79</v>
      </c>
      <c r="F58" s="72" t="s">
        <v>5183</v>
      </c>
      <c r="G58" s="69" t="s">
        <v>5131</v>
      </c>
      <c r="H58" s="69" t="s">
        <v>5117</v>
      </c>
      <c r="I58" s="71" t="s">
        <v>5085</v>
      </c>
      <c r="J58" s="71" t="s">
        <v>5085</v>
      </c>
      <c r="K58" s="70" t="s">
        <v>79</v>
      </c>
      <c r="L58" s="69" t="s">
        <v>5139</v>
      </c>
      <c r="M58" s="70" t="s">
        <v>79</v>
      </c>
      <c r="N58" s="70" t="s">
        <v>79</v>
      </c>
      <c r="O58" s="71" t="s">
        <v>5102</v>
      </c>
      <c r="P58" s="70" t="s">
        <v>79</v>
      </c>
      <c r="Q58" s="70" t="s">
        <v>79</v>
      </c>
      <c r="R58" s="70" t="s">
        <v>79</v>
      </c>
      <c r="S58" s="69" t="s">
        <v>5084</v>
      </c>
      <c r="T58" s="28" t="s">
        <v>5184</v>
      </c>
    </row>
    <row r="59" customFormat="false" ht="22.35" hidden="false" customHeight="false" outlineLevel="0" collapsed="false">
      <c r="A59" s="6" t="s">
        <v>1109</v>
      </c>
      <c r="B59" s="28" t="s">
        <v>5185</v>
      </c>
      <c r="C59" s="6" t="s">
        <v>5186</v>
      </c>
      <c r="D59" s="70" t="s">
        <v>79</v>
      </c>
      <c r="E59" s="70" t="s">
        <v>79</v>
      </c>
      <c r="F59" s="69" t="s">
        <v>5106</v>
      </c>
      <c r="G59" s="69" t="s">
        <v>5131</v>
      </c>
      <c r="H59" s="69" t="s">
        <v>5117</v>
      </c>
      <c r="I59" s="69" t="s">
        <v>5117</v>
      </c>
      <c r="J59" s="69" t="s">
        <v>5117</v>
      </c>
      <c r="K59" s="70" t="s">
        <v>79</v>
      </c>
      <c r="L59" s="70" t="s">
        <v>79</v>
      </c>
      <c r="M59" s="70" t="s">
        <v>79</v>
      </c>
      <c r="N59" s="70" t="s">
        <v>79</v>
      </c>
      <c r="O59" s="71" t="s">
        <v>5085</v>
      </c>
      <c r="P59" s="70" t="s">
        <v>79</v>
      </c>
      <c r="Q59" s="70" t="s">
        <v>79</v>
      </c>
      <c r="R59" s="69" t="s">
        <v>5117</v>
      </c>
      <c r="S59" s="70" t="s">
        <v>79</v>
      </c>
      <c r="T59" s="28" t="s">
        <v>5187</v>
      </c>
    </row>
    <row r="60" customFormat="false" ht="15" hidden="false" customHeight="false" outlineLevel="0" collapsed="false">
      <c r="A60" s="6" t="s">
        <v>1109</v>
      </c>
      <c r="B60" s="28" t="s">
        <v>5188</v>
      </c>
      <c r="C60" s="6" t="s">
        <v>5189</v>
      </c>
      <c r="D60" s="70" t="s">
        <v>79</v>
      </c>
      <c r="E60" s="70" t="s">
        <v>79</v>
      </c>
      <c r="F60" s="72" t="s">
        <v>5190</v>
      </c>
      <c r="G60" s="69" t="s">
        <v>5139</v>
      </c>
      <c r="H60" s="70" t="s">
        <v>79</v>
      </c>
      <c r="I60" s="70" t="s">
        <v>79</v>
      </c>
      <c r="J60" s="69" t="s">
        <v>5191</v>
      </c>
      <c r="K60" s="70" t="s">
        <v>79</v>
      </c>
      <c r="L60" s="70" t="s">
        <v>79</v>
      </c>
      <c r="M60" s="70" t="s">
        <v>79</v>
      </c>
      <c r="N60" s="70" t="s">
        <v>79</v>
      </c>
      <c r="O60" s="71" t="s">
        <v>5085</v>
      </c>
      <c r="P60" s="70" t="s">
        <v>79</v>
      </c>
      <c r="Q60" s="70" t="s">
        <v>79</v>
      </c>
      <c r="R60" s="70" t="s">
        <v>79</v>
      </c>
      <c r="S60" s="70" t="s">
        <v>79</v>
      </c>
      <c r="T60" s="28" t="s">
        <v>5192</v>
      </c>
    </row>
    <row r="61" customFormat="false" ht="15" hidden="false" customHeight="false" outlineLevel="0" collapsed="false">
      <c r="A61" s="6" t="s">
        <v>1109</v>
      </c>
      <c r="B61" s="28" t="s">
        <v>5193</v>
      </c>
      <c r="C61" s="6" t="s">
        <v>5194</v>
      </c>
      <c r="D61" s="70" t="s">
        <v>79</v>
      </c>
      <c r="E61" s="70" t="s">
        <v>79</v>
      </c>
      <c r="F61" s="72" t="s">
        <v>5170</v>
      </c>
      <c r="G61" s="69" t="s">
        <v>5094</v>
      </c>
      <c r="H61" s="69" t="s">
        <v>5117</v>
      </c>
      <c r="I61" s="70" t="s">
        <v>79</v>
      </c>
      <c r="J61" s="70" t="s">
        <v>79</v>
      </c>
      <c r="K61" s="70" t="s">
        <v>79</v>
      </c>
      <c r="L61" s="70" t="s">
        <v>79</v>
      </c>
      <c r="M61" s="70" t="s">
        <v>79</v>
      </c>
      <c r="N61" s="70" t="s">
        <v>79</v>
      </c>
      <c r="O61" s="71" t="s">
        <v>5085</v>
      </c>
      <c r="P61" s="70" t="s">
        <v>79</v>
      </c>
      <c r="Q61" s="70" t="s">
        <v>79</v>
      </c>
      <c r="R61" s="70" t="s">
        <v>79</v>
      </c>
      <c r="S61" s="70" t="s">
        <v>79</v>
      </c>
      <c r="T61" s="28"/>
    </row>
    <row r="62" customFormat="false" ht="15" hidden="false" customHeight="false" outlineLevel="0" collapsed="false">
      <c r="A62" s="6" t="s">
        <v>5195</v>
      </c>
      <c r="B62" s="28" t="s">
        <v>5196</v>
      </c>
      <c r="C62" s="6" t="s">
        <v>5197</v>
      </c>
      <c r="D62" s="70" t="s">
        <v>79</v>
      </c>
      <c r="E62" s="70" t="s">
        <v>79</v>
      </c>
      <c r="F62" s="72" t="s">
        <v>5198</v>
      </c>
      <c r="G62" s="69" t="s">
        <v>5131</v>
      </c>
      <c r="H62" s="69" t="s">
        <v>5117</v>
      </c>
      <c r="I62" s="69" t="s">
        <v>5084</v>
      </c>
      <c r="J62" s="69" t="s">
        <v>5094</v>
      </c>
      <c r="K62" s="69" t="s">
        <v>5084</v>
      </c>
      <c r="L62" s="69" t="s">
        <v>5084</v>
      </c>
      <c r="M62" s="69" t="s">
        <v>5131</v>
      </c>
      <c r="N62" s="70" t="s">
        <v>79</v>
      </c>
      <c r="O62" s="71" t="s">
        <v>5085</v>
      </c>
      <c r="P62" s="71" t="s">
        <v>5085</v>
      </c>
      <c r="Q62" s="69" t="s">
        <v>5084</v>
      </c>
      <c r="R62" s="69" t="s">
        <v>5084</v>
      </c>
      <c r="S62" s="70" t="s">
        <v>79</v>
      </c>
      <c r="T62" s="28" t="s">
        <v>5199</v>
      </c>
    </row>
    <row r="63" customFormat="false" ht="15" hidden="false" customHeight="false" outlineLevel="0" collapsed="false">
      <c r="A63" s="6" t="s">
        <v>5195</v>
      </c>
      <c r="B63" s="28" t="s">
        <v>5200</v>
      </c>
      <c r="C63" s="6" t="s">
        <v>5201</v>
      </c>
      <c r="D63" s="70" t="s">
        <v>79</v>
      </c>
      <c r="E63" s="70" t="s">
        <v>79</v>
      </c>
      <c r="F63" s="72" t="s">
        <v>5202</v>
      </c>
      <c r="G63" s="69" t="s">
        <v>5094</v>
      </c>
      <c r="H63" s="69" t="s">
        <v>5117</v>
      </c>
      <c r="I63" s="70" t="s">
        <v>79</v>
      </c>
      <c r="J63" s="70" t="s">
        <v>79</v>
      </c>
      <c r="K63" s="70" t="s">
        <v>79</v>
      </c>
      <c r="L63" s="70" t="s">
        <v>79</v>
      </c>
      <c r="M63" s="71" t="s">
        <v>5085</v>
      </c>
      <c r="N63" s="70" t="s">
        <v>79</v>
      </c>
      <c r="O63" s="71" t="s">
        <v>5085</v>
      </c>
      <c r="P63" s="71" t="s">
        <v>5085</v>
      </c>
      <c r="Q63" s="70" t="s">
        <v>79</v>
      </c>
      <c r="R63" s="70" t="s">
        <v>79</v>
      </c>
      <c r="S63" s="70" t="s">
        <v>79</v>
      </c>
      <c r="T63" s="28" t="s">
        <v>5203</v>
      </c>
    </row>
    <row r="64" customFormat="false" ht="22.35" hidden="false" customHeight="false" outlineLevel="0" collapsed="false">
      <c r="A64" s="6" t="s">
        <v>5204</v>
      </c>
      <c r="B64" s="28" t="s">
        <v>5205</v>
      </c>
      <c r="C64" s="6" t="s">
        <v>5206</v>
      </c>
      <c r="D64" s="70" t="s">
        <v>79</v>
      </c>
      <c r="E64" s="70" t="s">
        <v>79</v>
      </c>
      <c r="F64" s="72" t="s">
        <v>5088</v>
      </c>
      <c r="G64" s="69" t="s">
        <v>5094</v>
      </c>
      <c r="H64" s="69" t="s">
        <v>5117</v>
      </c>
      <c r="I64" s="69" t="s">
        <v>5117</v>
      </c>
      <c r="J64" s="69" t="s">
        <v>5117</v>
      </c>
      <c r="K64" s="70" t="s">
        <v>79</v>
      </c>
      <c r="L64" s="70" t="s">
        <v>79</v>
      </c>
      <c r="M64" s="69" t="s">
        <v>5117</v>
      </c>
      <c r="N64" s="70" t="s">
        <v>79</v>
      </c>
      <c r="O64" s="71" t="s">
        <v>5085</v>
      </c>
      <c r="P64" s="72" t="s">
        <v>5207</v>
      </c>
      <c r="Q64" s="70" t="s">
        <v>79</v>
      </c>
      <c r="R64" s="69" t="s">
        <v>5117</v>
      </c>
      <c r="S64" s="70" t="s">
        <v>79</v>
      </c>
      <c r="T64" s="28" t="s">
        <v>5208</v>
      </c>
    </row>
    <row r="65" customFormat="false" ht="15" hidden="false" customHeight="false" outlineLevel="0" collapsed="false">
      <c r="A65" s="6" t="s">
        <v>5204</v>
      </c>
      <c r="B65" s="28" t="s">
        <v>5209</v>
      </c>
      <c r="C65" s="6" t="s">
        <v>1397</v>
      </c>
      <c r="D65" s="70" t="s">
        <v>79</v>
      </c>
      <c r="E65" s="70" t="s">
        <v>79</v>
      </c>
      <c r="F65" s="72" t="s">
        <v>5207</v>
      </c>
      <c r="G65" s="71" t="s">
        <v>5085</v>
      </c>
      <c r="H65" s="70" t="s">
        <v>79</v>
      </c>
      <c r="I65" s="70" t="s">
        <v>79</v>
      </c>
      <c r="J65" s="69" t="s">
        <v>5117</v>
      </c>
      <c r="K65" s="70" t="s">
        <v>79</v>
      </c>
      <c r="L65" s="70" t="s">
        <v>79</v>
      </c>
      <c r="M65" s="69" t="s">
        <v>5106</v>
      </c>
      <c r="N65" s="70" t="s">
        <v>79</v>
      </c>
      <c r="O65" s="71" t="s">
        <v>5085</v>
      </c>
      <c r="P65" s="70" t="s">
        <v>79</v>
      </c>
      <c r="Q65" s="70" t="s">
        <v>79</v>
      </c>
      <c r="R65" s="70" t="s">
        <v>79</v>
      </c>
      <c r="S65" s="70" t="s">
        <v>79</v>
      </c>
      <c r="T65" s="28"/>
    </row>
    <row r="66" customFormat="false" ht="15" hidden="false" customHeight="false" outlineLevel="0" collapsed="false">
      <c r="A66" s="6" t="s">
        <v>5204</v>
      </c>
      <c r="B66" s="28" t="s">
        <v>5210</v>
      </c>
      <c r="C66" s="6" t="s">
        <v>5211</v>
      </c>
      <c r="D66" s="70" t="s">
        <v>79</v>
      </c>
      <c r="E66" s="70" t="s">
        <v>79</v>
      </c>
      <c r="F66" s="72" t="s">
        <v>5088</v>
      </c>
      <c r="G66" s="69" t="s">
        <v>5094</v>
      </c>
      <c r="H66" s="69" t="s">
        <v>5117</v>
      </c>
      <c r="I66" s="70" t="s">
        <v>79</v>
      </c>
      <c r="J66" s="70" t="s">
        <v>79</v>
      </c>
      <c r="K66" s="70" t="s">
        <v>79</v>
      </c>
      <c r="L66" s="70" t="s">
        <v>79</v>
      </c>
      <c r="M66" s="70" t="s">
        <v>79</v>
      </c>
      <c r="N66" s="70" t="s">
        <v>79</v>
      </c>
      <c r="O66" s="71" t="s">
        <v>5085</v>
      </c>
      <c r="P66" s="70" t="s">
        <v>79</v>
      </c>
      <c r="Q66" s="70" t="s">
        <v>79</v>
      </c>
      <c r="R66" s="70" t="s">
        <v>79</v>
      </c>
      <c r="S66" s="70" t="s">
        <v>79</v>
      </c>
      <c r="T66" s="28"/>
    </row>
    <row r="67" customFormat="false" ht="15" hidden="false" customHeight="false" outlineLevel="0" collapsed="false">
      <c r="A67" s="6" t="s">
        <v>5204</v>
      </c>
      <c r="B67" s="28" t="s">
        <v>5212</v>
      </c>
      <c r="C67" s="6" t="s">
        <v>5213</v>
      </c>
      <c r="D67" s="70" t="s">
        <v>79</v>
      </c>
      <c r="E67" s="70" t="s">
        <v>79</v>
      </c>
      <c r="F67" s="72" t="s">
        <v>5170</v>
      </c>
      <c r="G67" s="69" t="s">
        <v>5094</v>
      </c>
      <c r="H67" s="69" t="s">
        <v>5094</v>
      </c>
      <c r="I67" s="70" t="s">
        <v>79</v>
      </c>
      <c r="J67" s="70" t="s">
        <v>79</v>
      </c>
      <c r="K67" s="70" t="s">
        <v>79</v>
      </c>
      <c r="L67" s="70" t="s">
        <v>79</v>
      </c>
      <c r="M67" s="69" t="s">
        <v>5094</v>
      </c>
      <c r="N67" s="70" t="s">
        <v>79</v>
      </c>
      <c r="O67" s="71" t="s">
        <v>5085</v>
      </c>
      <c r="P67" s="70" t="s">
        <v>79</v>
      </c>
      <c r="Q67" s="70" t="s">
        <v>79</v>
      </c>
      <c r="R67" s="70" t="s">
        <v>79</v>
      </c>
      <c r="S67" s="70" t="s">
        <v>79</v>
      </c>
      <c r="T67" s="28"/>
    </row>
    <row r="68" customFormat="false" ht="15" hidden="false" customHeight="false" outlineLevel="0" collapsed="false">
      <c r="A68" s="6" t="s">
        <v>5214</v>
      </c>
      <c r="B68" s="28" t="s">
        <v>5215</v>
      </c>
      <c r="C68" s="6" t="s">
        <v>5216</v>
      </c>
      <c r="D68" s="70" t="s">
        <v>79</v>
      </c>
      <c r="E68" s="70" t="s">
        <v>79</v>
      </c>
      <c r="F68" s="72" t="s">
        <v>5088</v>
      </c>
      <c r="G68" s="69" t="s">
        <v>5094</v>
      </c>
      <c r="H68" s="71" t="s">
        <v>5085</v>
      </c>
      <c r="I68" s="69" t="s">
        <v>5139</v>
      </c>
      <c r="J68" s="71" t="s">
        <v>5085</v>
      </c>
      <c r="K68" s="70" t="s">
        <v>79</v>
      </c>
      <c r="L68" s="70" t="s">
        <v>79</v>
      </c>
      <c r="M68" s="69" t="s">
        <v>5117</v>
      </c>
      <c r="N68" s="69" t="s">
        <v>5080</v>
      </c>
      <c r="O68" s="71" t="s">
        <v>5085</v>
      </c>
      <c r="P68" s="70" t="s">
        <v>79</v>
      </c>
      <c r="Q68" s="70" t="s">
        <v>79</v>
      </c>
      <c r="R68" s="70" t="s">
        <v>79</v>
      </c>
      <c r="S68" s="70" t="s">
        <v>79</v>
      </c>
      <c r="T68" s="28" t="s">
        <v>5217</v>
      </c>
    </row>
    <row r="69" customFormat="false" ht="15" hidden="false" customHeight="false" outlineLevel="0" collapsed="false">
      <c r="A69" s="6" t="s">
        <v>5214</v>
      </c>
      <c r="B69" s="28" t="s">
        <v>5218</v>
      </c>
      <c r="C69" s="6" t="s">
        <v>5219</v>
      </c>
      <c r="D69" s="70" t="s">
        <v>79</v>
      </c>
      <c r="E69" s="70" t="s">
        <v>79</v>
      </c>
      <c r="F69" s="72" t="s">
        <v>5088</v>
      </c>
      <c r="G69" s="69" t="s">
        <v>5131</v>
      </c>
      <c r="H69" s="70" t="s">
        <v>79</v>
      </c>
      <c r="I69" s="70" t="s">
        <v>79</v>
      </c>
      <c r="J69" s="70" t="s">
        <v>79</v>
      </c>
      <c r="K69" s="70" t="s">
        <v>79</v>
      </c>
      <c r="L69" s="70" t="s">
        <v>79</v>
      </c>
      <c r="M69" s="69" t="s">
        <v>5220</v>
      </c>
      <c r="N69" s="69" t="s">
        <v>5131</v>
      </c>
      <c r="O69" s="71" t="s">
        <v>5085</v>
      </c>
      <c r="P69" s="70" t="s">
        <v>79</v>
      </c>
      <c r="Q69" s="70" t="s">
        <v>79</v>
      </c>
      <c r="R69" s="69" t="s">
        <v>5117</v>
      </c>
      <c r="S69" s="70" t="s">
        <v>79</v>
      </c>
      <c r="T69" s="28" t="s">
        <v>5221</v>
      </c>
    </row>
    <row r="70" customFormat="false" ht="15" hidden="false" customHeight="false" outlineLevel="0" collapsed="false">
      <c r="A70" s="6" t="s">
        <v>5222</v>
      </c>
      <c r="B70" s="28" t="s">
        <v>5223</v>
      </c>
      <c r="C70" s="6" t="s">
        <v>5224</v>
      </c>
      <c r="D70" s="70" t="s">
        <v>79</v>
      </c>
      <c r="E70" s="70" t="s">
        <v>79</v>
      </c>
      <c r="F70" s="72" t="s">
        <v>5207</v>
      </c>
      <c r="G70" s="71" t="s">
        <v>5085</v>
      </c>
      <c r="H70" s="72" t="s">
        <v>5127</v>
      </c>
      <c r="I70" s="71" t="s">
        <v>5085</v>
      </c>
      <c r="J70" s="70" t="s">
        <v>79</v>
      </c>
      <c r="K70" s="70" t="s">
        <v>79</v>
      </c>
      <c r="L70" s="70" t="s">
        <v>79</v>
      </c>
      <c r="M70" s="70" t="s">
        <v>79</v>
      </c>
      <c r="N70" s="69" t="s">
        <v>5139</v>
      </c>
      <c r="O70" s="71" t="s">
        <v>5085</v>
      </c>
      <c r="P70" s="70" t="s">
        <v>79</v>
      </c>
      <c r="Q70" s="70" t="s">
        <v>79</v>
      </c>
      <c r="R70" s="71" t="s">
        <v>5085</v>
      </c>
      <c r="S70" s="70" t="s">
        <v>79</v>
      </c>
      <c r="T70" s="28" t="s">
        <v>5225</v>
      </c>
    </row>
    <row r="71" customFormat="false" ht="15" hidden="false" customHeight="false" outlineLevel="0" collapsed="false">
      <c r="A71" s="6" t="s">
        <v>5222</v>
      </c>
      <c r="B71" s="28" t="s">
        <v>5226</v>
      </c>
      <c r="C71" s="6" t="s">
        <v>1876</v>
      </c>
      <c r="D71" s="70" t="s">
        <v>79</v>
      </c>
      <c r="E71" s="70" t="s">
        <v>79</v>
      </c>
      <c r="F71" s="72" t="s">
        <v>5207</v>
      </c>
      <c r="G71" s="71" t="s">
        <v>5085</v>
      </c>
      <c r="H71" s="72" t="s">
        <v>5127</v>
      </c>
      <c r="I71" s="71" t="s">
        <v>5085</v>
      </c>
      <c r="J71" s="70" t="s">
        <v>79</v>
      </c>
      <c r="K71" s="70" t="s">
        <v>79</v>
      </c>
      <c r="L71" s="70" t="s">
        <v>79</v>
      </c>
      <c r="M71" s="70" t="s">
        <v>79</v>
      </c>
      <c r="N71" s="70" t="s">
        <v>79</v>
      </c>
      <c r="O71" s="71" t="s">
        <v>5085</v>
      </c>
      <c r="P71" s="70" t="s">
        <v>79</v>
      </c>
      <c r="Q71" s="70" t="s">
        <v>79</v>
      </c>
      <c r="R71" s="71" t="s">
        <v>5085</v>
      </c>
      <c r="S71" s="70" t="s">
        <v>79</v>
      </c>
      <c r="T71" s="28"/>
    </row>
    <row r="72" customFormat="false" ht="15" hidden="false" customHeight="false" outlineLevel="0" collapsed="false">
      <c r="A72" s="6" t="s">
        <v>5222</v>
      </c>
      <c r="B72" s="28" t="s">
        <v>5227</v>
      </c>
      <c r="C72" s="6" t="s">
        <v>1918</v>
      </c>
      <c r="D72" s="70" t="s">
        <v>79</v>
      </c>
      <c r="E72" s="70" t="s">
        <v>79</v>
      </c>
      <c r="F72" s="71" t="s">
        <v>5085</v>
      </c>
      <c r="G72" s="70" t="s">
        <v>79</v>
      </c>
      <c r="H72" s="72" t="s">
        <v>5170</v>
      </c>
      <c r="I72" s="70" t="s">
        <v>79</v>
      </c>
      <c r="J72" s="70" t="s">
        <v>79</v>
      </c>
      <c r="K72" s="70" t="s">
        <v>79</v>
      </c>
      <c r="L72" s="70" t="s">
        <v>79</v>
      </c>
      <c r="M72" s="70" t="s">
        <v>79</v>
      </c>
      <c r="N72" s="70" t="s">
        <v>79</v>
      </c>
      <c r="O72" s="71" t="s">
        <v>5085</v>
      </c>
      <c r="P72" s="70" t="s">
        <v>79</v>
      </c>
      <c r="Q72" s="70" t="s">
        <v>79</v>
      </c>
      <c r="R72" s="70" t="s">
        <v>79</v>
      </c>
      <c r="S72" s="70" t="s">
        <v>79</v>
      </c>
      <c r="T72" s="28"/>
    </row>
    <row r="73" customFormat="false" ht="15" hidden="false" customHeight="false" outlineLevel="0" collapsed="false">
      <c r="A73" s="6" t="s">
        <v>1374</v>
      </c>
      <c r="B73" s="28" t="s">
        <v>5228</v>
      </c>
      <c r="C73" s="6" t="s">
        <v>5229</v>
      </c>
      <c r="D73" s="70" t="s">
        <v>79</v>
      </c>
      <c r="E73" s="69" t="s">
        <v>5117</v>
      </c>
      <c r="F73" s="69" t="s">
        <v>5094</v>
      </c>
      <c r="G73" s="70" t="s">
        <v>79</v>
      </c>
      <c r="H73" s="71" t="s">
        <v>5085</v>
      </c>
      <c r="I73" s="70" t="s">
        <v>79</v>
      </c>
      <c r="J73" s="70" t="s">
        <v>79</v>
      </c>
      <c r="K73" s="70" t="s">
        <v>79</v>
      </c>
      <c r="L73" s="70" t="s">
        <v>79</v>
      </c>
      <c r="M73" s="70" t="s">
        <v>79</v>
      </c>
      <c r="N73" s="70" t="s">
        <v>79</v>
      </c>
      <c r="O73" s="71" t="s">
        <v>5085</v>
      </c>
      <c r="P73" s="71" t="s">
        <v>5085</v>
      </c>
      <c r="Q73" s="70" t="s">
        <v>79</v>
      </c>
      <c r="R73" s="70" t="s">
        <v>79</v>
      </c>
      <c r="S73" s="70" t="s">
        <v>79</v>
      </c>
      <c r="T73" s="28"/>
    </row>
    <row r="74" customFormat="false" ht="15" hidden="false" customHeight="false" outlineLevel="0" collapsed="false">
      <c r="A74" s="6" t="s">
        <v>1374</v>
      </c>
      <c r="B74" s="28" t="s">
        <v>5230</v>
      </c>
      <c r="C74" s="6" t="s">
        <v>5231</v>
      </c>
      <c r="D74" s="70" t="s">
        <v>79</v>
      </c>
      <c r="E74" s="70" t="s">
        <v>79</v>
      </c>
      <c r="F74" s="69" t="s">
        <v>5106</v>
      </c>
      <c r="G74" s="69" t="s">
        <v>5131</v>
      </c>
      <c r="H74" s="69" t="s">
        <v>5117</v>
      </c>
      <c r="I74" s="69" t="s">
        <v>5117</v>
      </c>
      <c r="J74" s="69" t="s">
        <v>5117</v>
      </c>
      <c r="K74" s="70" t="s">
        <v>79</v>
      </c>
      <c r="L74" s="70" t="s">
        <v>79</v>
      </c>
      <c r="M74" s="69" t="s">
        <v>5117</v>
      </c>
      <c r="N74" s="70" t="s">
        <v>79</v>
      </c>
      <c r="O74" s="71" t="s">
        <v>5085</v>
      </c>
      <c r="P74" s="70" t="s">
        <v>79</v>
      </c>
      <c r="Q74" s="70" t="s">
        <v>79</v>
      </c>
      <c r="R74" s="70" t="s">
        <v>79</v>
      </c>
      <c r="S74" s="70" t="s">
        <v>79</v>
      </c>
      <c r="T74" s="28" t="s">
        <v>5232</v>
      </c>
    </row>
    <row r="75" customFormat="false" ht="15" hidden="false" customHeight="false" outlineLevel="0" collapsed="false">
      <c r="A75" s="6" t="s">
        <v>1374</v>
      </c>
      <c r="B75" s="28" t="s">
        <v>5233</v>
      </c>
      <c r="C75" s="6" t="s">
        <v>5234</v>
      </c>
      <c r="D75" s="70" t="s">
        <v>79</v>
      </c>
      <c r="E75" s="70" t="s">
        <v>79</v>
      </c>
      <c r="F75" s="69" t="s">
        <v>5220</v>
      </c>
      <c r="G75" s="69" t="s">
        <v>5220</v>
      </c>
      <c r="H75" s="69" t="s">
        <v>5117</v>
      </c>
      <c r="I75" s="69" t="s">
        <v>5139</v>
      </c>
      <c r="J75" s="69" t="s">
        <v>5139</v>
      </c>
      <c r="K75" s="69" t="s">
        <v>5139</v>
      </c>
      <c r="L75" s="70" t="s">
        <v>79</v>
      </c>
      <c r="M75" s="70" t="s">
        <v>79</v>
      </c>
      <c r="N75" s="70" t="s">
        <v>79</v>
      </c>
      <c r="O75" s="71" t="s">
        <v>5085</v>
      </c>
      <c r="P75" s="70" t="s">
        <v>79</v>
      </c>
      <c r="Q75" s="69" t="s">
        <v>5139</v>
      </c>
      <c r="R75" s="70" t="s">
        <v>79</v>
      </c>
      <c r="S75" s="70" t="s">
        <v>79</v>
      </c>
      <c r="T75" s="28" t="s">
        <v>5235</v>
      </c>
    </row>
    <row r="76" customFormat="false" ht="15" hidden="false" customHeight="false" outlineLevel="0" collapsed="false">
      <c r="A76" s="6" t="s">
        <v>1374</v>
      </c>
      <c r="B76" s="28" t="s">
        <v>5236</v>
      </c>
      <c r="C76" s="6" t="s">
        <v>5237</v>
      </c>
      <c r="D76" s="70" t="s">
        <v>79</v>
      </c>
      <c r="E76" s="70" t="s">
        <v>79</v>
      </c>
      <c r="F76" s="72" t="s">
        <v>5088</v>
      </c>
      <c r="G76" s="69" t="s">
        <v>5094</v>
      </c>
      <c r="H76" s="70" t="s">
        <v>79</v>
      </c>
      <c r="I76" s="71" t="s">
        <v>5085</v>
      </c>
      <c r="J76" s="70" t="s">
        <v>79</v>
      </c>
      <c r="K76" s="70" t="s">
        <v>79</v>
      </c>
      <c r="L76" s="70" t="s">
        <v>79</v>
      </c>
      <c r="M76" s="69" t="s">
        <v>5094</v>
      </c>
      <c r="N76" s="70" t="s">
        <v>79</v>
      </c>
      <c r="O76" s="71" t="s">
        <v>5085</v>
      </c>
      <c r="P76" s="72" t="s">
        <v>5207</v>
      </c>
      <c r="Q76" s="70" t="s">
        <v>79</v>
      </c>
      <c r="R76" s="70" t="s">
        <v>79</v>
      </c>
      <c r="S76" s="70" t="s">
        <v>79</v>
      </c>
      <c r="T76" s="28"/>
    </row>
    <row r="77" customFormat="false" ht="15" hidden="false" customHeight="false" outlineLevel="0" collapsed="false">
      <c r="A77" s="6" t="s">
        <v>1374</v>
      </c>
      <c r="B77" s="28" t="s">
        <v>5238</v>
      </c>
      <c r="C77" s="6" t="s">
        <v>5239</v>
      </c>
      <c r="D77" s="70" t="s">
        <v>79</v>
      </c>
      <c r="E77" s="71" t="s">
        <v>5085</v>
      </c>
      <c r="F77" s="71" t="s">
        <v>5102</v>
      </c>
      <c r="G77" s="71" t="s">
        <v>5102</v>
      </c>
      <c r="H77" s="71" t="s">
        <v>5085</v>
      </c>
      <c r="I77" s="70" t="s">
        <v>79</v>
      </c>
      <c r="J77" s="70" t="s">
        <v>79</v>
      </c>
      <c r="K77" s="70" t="s">
        <v>79</v>
      </c>
      <c r="L77" s="70" t="s">
        <v>79</v>
      </c>
      <c r="M77" s="71" t="s">
        <v>5085</v>
      </c>
      <c r="N77" s="70" t="s">
        <v>79</v>
      </c>
      <c r="O77" s="71" t="s">
        <v>5102</v>
      </c>
      <c r="P77" s="71" t="s">
        <v>5102</v>
      </c>
      <c r="Q77" s="70" t="s">
        <v>79</v>
      </c>
      <c r="R77" s="70" t="s">
        <v>79</v>
      </c>
      <c r="S77" s="70" t="s">
        <v>79</v>
      </c>
      <c r="T77" s="28"/>
    </row>
    <row r="78" customFormat="false" ht="15" hidden="false" customHeight="false" outlineLevel="0" collapsed="false">
      <c r="A78" s="6" t="s">
        <v>1374</v>
      </c>
      <c r="B78" s="28" t="s">
        <v>5240</v>
      </c>
      <c r="C78" s="6" t="s">
        <v>1445</v>
      </c>
      <c r="D78" s="70" t="s">
        <v>79</v>
      </c>
      <c r="E78" s="70" t="s">
        <v>79</v>
      </c>
      <c r="F78" s="72" t="s">
        <v>5170</v>
      </c>
      <c r="G78" s="69" t="s">
        <v>5094</v>
      </c>
      <c r="H78" s="69" t="s">
        <v>5094</v>
      </c>
      <c r="I78" s="71" t="s">
        <v>5085</v>
      </c>
      <c r="J78" s="71" t="s">
        <v>5085</v>
      </c>
      <c r="K78" s="71" t="s">
        <v>5085</v>
      </c>
      <c r="L78" s="71" t="s">
        <v>5085</v>
      </c>
      <c r="M78" s="71" t="s">
        <v>5085</v>
      </c>
      <c r="N78" s="71" t="s">
        <v>5085</v>
      </c>
      <c r="O78" s="71" t="s">
        <v>5085</v>
      </c>
      <c r="P78" s="71" t="s">
        <v>5085</v>
      </c>
      <c r="Q78" s="71" t="s">
        <v>5085</v>
      </c>
      <c r="R78" s="70" t="s">
        <v>79</v>
      </c>
      <c r="S78" s="70" t="s">
        <v>79</v>
      </c>
      <c r="T78" s="28"/>
    </row>
    <row r="79" customFormat="false" ht="15" hidden="false" customHeight="false" outlineLevel="0" collapsed="false">
      <c r="A79" s="6" t="s">
        <v>5241</v>
      </c>
      <c r="B79" s="28" t="s">
        <v>5242</v>
      </c>
      <c r="C79" s="6" t="s">
        <v>5243</v>
      </c>
      <c r="D79" s="70" t="s">
        <v>79</v>
      </c>
      <c r="E79" s="71" t="s">
        <v>5085</v>
      </c>
      <c r="F79" s="72" t="s">
        <v>5170</v>
      </c>
      <c r="G79" s="69" t="s">
        <v>5094</v>
      </c>
      <c r="H79" s="71" t="s">
        <v>5107</v>
      </c>
      <c r="I79" s="71" t="s">
        <v>5107</v>
      </c>
      <c r="J79" s="71" t="s">
        <v>5107</v>
      </c>
      <c r="K79" s="71" t="s">
        <v>5107</v>
      </c>
      <c r="L79" s="71" t="s">
        <v>5107</v>
      </c>
      <c r="M79" s="71" t="s">
        <v>5107</v>
      </c>
      <c r="N79" s="71" t="s">
        <v>5107</v>
      </c>
      <c r="O79" s="71" t="s">
        <v>5085</v>
      </c>
      <c r="P79" s="71" t="s">
        <v>5107</v>
      </c>
      <c r="Q79" s="71" t="s">
        <v>5107</v>
      </c>
      <c r="R79" s="70" t="s">
        <v>79</v>
      </c>
      <c r="S79" s="70" t="s">
        <v>79</v>
      </c>
      <c r="T79" s="28" t="s">
        <v>5244</v>
      </c>
    </row>
    <row r="80" customFormat="false" ht="15" hidden="false" customHeight="false" outlineLevel="0" collapsed="false">
      <c r="A80" s="6" t="s">
        <v>5241</v>
      </c>
      <c r="B80" s="28" t="s">
        <v>5245</v>
      </c>
      <c r="C80" s="6" t="s">
        <v>1989</v>
      </c>
      <c r="D80" s="70" t="s">
        <v>79</v>
      </c>
      <c r="E80" s="70" t="s">
        <v>79</v>
      </c>
      <c r="F80" s="72" t="s">
        <v>5170</v>
      </c>
      <c r="G80" s="70" t="s">
        <v>79</v>
      </c>
      <c r="H80" s="69" t="s">
        <v>5094</v>
      </c>
      <c r="I80" s="71" t="s">
        <v>5107</v>
      </c>
      <c r="J80" s="71" t="s">
        <v>5107</v>
      </c>
      <c r="K80" s="71" t="s">
        <v>5107</v>
      </c>
      <c r="L80" s="71" t="s">
        <v>5107</v>
      </c>
      <c r="M80" s="71" t="s">
        <v>5107</v>
      </c>
      <c r="N80" s="71" t="s">
        <v>5107</v>
      </c>
      <c r="O80" s="71" t="s">
        <v>5085</v>
      </c>
      <c r="P80" s="71" t="s">
        <v>5107</v>
      </c>
      <c r="Q80" s="71" t="s">
        <v>5107</v>
      </c>
      <c r="R80" s="70" t="s">
        <v>79</v>
      </c>
      <c r="S80" s="70" t="s">
        <v>79</v>
      </c>
      <c r="T80" s="28"/>
    </row>
    <row r="81" customFormat="false" ht="15" hidden="false" customHeight="false" outlineLevel="0" collapsed="false">
      <c r="A81" s="6" t="s">
        <v>5241</v>
      </c>
      <c r="B81" s="28" t="s">
        <v>5246</v>
      </c>
      <c r="C81" s="6" t="s">
        <v>5247</v>
      </c>
      <c r="D81" s="70" t="s">
        <v>79</v>
      </c>
      <c r="E81" s="70" t="s">
        <v>79</v>
      </c>
      <c r="F81" s="72" t="s">
        <v>5088</v>
      </c>
      <c r="G81" s="69" t="s">
        <v>5094</v>
      </c>
      <c r="H81" s="70" t="s">
        <v>79</v>
      </c>
      <c r="I81" s="69" t="s">
        <v>5117</v>
      </c>
      <c r="J81" s="69" t="s">
        <v>5117</v>
      </c>
      <c r="K81" s="70" t="s">
        <v>79</v>
      </c>
      <c r="L81" s="70" t="s">
        <v>79</v>
      </c>
      <c r="M81" s="69" t="s">
        <v>5117</v>
      </c>
      <c r="N81" s="70" t="s">
        <v>79</v>
      </c>
      <c r="O81" s="71" t="s">
        <v>5102</v>
      </c>
      <c r="P81" s="71" t="s">
        <v>5085</v>
      </c>
      <c r="Q81" s="70" t="s">
        <v>79</v>
      </c>
      <c r="R81" s="70" t="s">
        <v>79</v>
      </c>
      <c r="S81" s="70" t="s">
        <v>79</v>
      </c>
      <c r="T81" s="28"/>
    </row>
    <row r="82" customFormat="false" ht="15" hidden="false" customHeight="false" outlineLevel="0" collapsed="false">
      <c r="A82" s="6" t="s">
        <v>5241</v>
      </c>
      <c r="B82" s="28" t="s">
        <v>5248</v>
      </c>
      <c r="C82" s="6" t="s">
        <v>5249</v>
      </c>
      <c r="D82" s="70" t="s">
        <v>79</v>
      </c>
      <c r="E82" s="70" t="s">
        <v>79</v>
      </c>
      <c r="F82" s="72" t="s">
        <v>5088</v>
      </c>
      <c r="G82" s="69" t="s">
        <v>5094</v>
      </c>
      <c r="H82" s="70" t="s">
        <v>79</v>
      </c>
      <c r="I82" s="71" t="s">
        <v>5085</v>
      </c>
      <c r="J82" s="69" t="s">
        <v>5220</v>
      </c>
      <c r="K82" s="70" t="s">
        <v>79</v>
      </c>
      <c r="L82" s="70" t="s">
        <v>79</v>
      </c>
      <c r="M82" s="70" t="s">
        <v>79</v>
      </c>
      <c r="N82" s="70" t="s">
        <v>79</v>
      </c>
      <c r="O82" s="71" t="s">
        <v>5085</v>
      </c>
      <c r="P82" s="70" t="s">
        <v>79</v>
      </c>
      <c r="Q82" s="70" t="s">
        <v>79</v>
      </c>
      <c r="R82" s="70" t="s">
        <v>79</v>
      </c>
      <c r="S82" s="70" t="s">
        <v>79</v>
      </c>
      <c r="T82" s="28" t="s">
        <v>5250</v>
      </c>
    </row>
    <row r="83" customFormat="false" ht="15" hidden="false" customHeight="false" outlineLevel="0" collapsed="false">
      <c r="A83" s="6" t="s">
        <v>5241</v>
      </c>
      <c r="B83" s="28" t="s">
        <v>5251</v>
      </c>
      <c r="C83" s="6" t="s">
        <v>5252</v>
      </c>
      <c r="D83" s="70" t="s">
        <v>79</v>
      </c>
      <c r="E83" s="70" t="s">
        <v>79</v>
      </c>
      <c r="F83" s="69" t="s">
        <v>5080</v>
      </c>
      <c r="G83" s="71" t="s">
        <v>5085</v>
      </c>
      <c r="H83" s="69" t="s">
        <v>5094</v>
      </c>
      <c r="I83" s="70" t="s">
        <v>79</v>
      </c>
      <c r="J83" s="70" t="s">
        <v>79</v>
      </c>
      <c r="K83" s="70" t="s">
        <v>79</v>
      </c>
      <c r="L83" s="70" t="s">
        <v>79</v>
      </c>
      <c r="M83" s="70" t="s">
        <v>79</v>
      </c>
      <c r="N83" s="70" t="s">
        <v>79</v>
      </c>
      <c r="O83" s="71" t="s">
        <v>5085</v>
      </c>
      <c r="P83" s="71" t="s">
        <v>5085</v>
      </c>
      <c r="Q83" s="70" t="s">
        <v>79</v>
      </c>
      <c r="R83" s="70" t="s">
        <v>79</v>
      </c>
      <c r="S83" s="70" t="s">
        <v>79</v>
      </c>
      <c r="T83" s="28"/>
    </row>
    <row r="84" customFormat="false" ht="15" hidden="false" customHeight="false" outlineLevel="0" collapsed="false">
      <c r="A84" s="6" t="s">
        <v>5241</v>
      </c>
      <c r="B84" s="28" t="s">
        <v>5253</v>
      </c>
      <c r="C84" s="6" t="s">
        <v>5254</v>
      </c>
      <c r="D84" s="70" t="s">
        <v>79</v>
      </c>
      <c r="E84" s="70" t="s">
        <v>79</v>
      </c>
      <c r="F84" s="72" t="s">
        <v>5198</v>
      </c>
      <c r="G84" s="69" t="s">
        <v>5131</v>
      </c>
      <c r="H84" s="71" t="s">
        <v>5107</v>
      </c>
      <c r="I84" s="70" t="s">
        <v>79</v>
      </c>
      <c r="J84" s="69" t="s">
        <v>5094</v>
      </c>
      <c r="K84" s="70" t="s">
        <v>79</v>
      </c>
      <c r="L84" s="70" t="s">
        <v>79</v>
      </c>
      <c r="M84" s="71" t="s">
        <v>5085</v>
      </c>
      <c r="N84" s="70" t="s">
        <v>79</v>
      </c>
      <c r="O84" s="71" t="s">
        <v>5085</v>
      </c>
      <c r="P84" s="70" t="s">
        <v>79</v>
      </c>
      <c r="Q84" s="70" t="s">
        <v>79</v>
      </c>
      <c r="R84" s="70" t="s">
        <v>79</v>
      </c>
      <c r="S84" s="70" t="s">
        <v>79</v>
      </c>
      <c r="T84" s="28" t="s">
        <v>5255</v>
      </c>
    </row>
    <row r="85" customFormat="false" ht="15" hidden="false" customHeight="false" outlineLevel="0" collapsed="false">
      <c r="A85" s="6" t="s">
        <v>5241</v>
      </c>
      <c r="B85" s="28" t="s">
        <v>5256</v>
      </c>
      <c r="C85" s="6" t="s">
        <v>5257</v>
      </c>
      <c r="D85" s="70" t="s">
        <v>79</v>
      </c>
      <c r="E85" s="69" t="s">
        <v>5080</v>
      </c>
      <c r="F85" s="71" t="s">
        <v>5085</v>
      </c>
      <c r="G85" s="70" t="s">
        <v>79</v>
      </c>
      <c r="H85" s="70" t="s">
        <v>79</v>
      </c>
      <c r="I85" s="70" t="s">
        <v>79</v>
      </c>
      <c r="J85" s="69" t="s">
        <v>5080</v>
      </c>
      <c r="K85" s="70" t="s">
        <v>79</v>
      </c>
      <c r="L85" s="70" t="s">
        <v>79</v>
      </c>
      <c r="M85" s="71" t="s">
        <v>5085</v>
      </c>
      <c r="N85" s="70" t="s">
        <v>79</v>
      </c>
      <c r="O85" s="71" t="s">
        <v>5085</v>
      </c>
      <c r="P85" s="70" t="s">
        <v>79</v>
      </c>
      <c r="Q85" s="70" t="s">
        <v>79</v>
      </c>
      <c r="R85" s="70" t="s">
        <v>79</v>
      </c>
      <c r="S85" s="70" t="s">
        <v>79</v>
      </c>
      <c r="T85" s="28"/>
    </row>
    <row r="86" customFormat="false" ht="15" hidden="false" customHeight="false" outlineLevel="0" collapsed="false">
      <c r="A86" s="6" t="s">
        <v>5258</v>
      </c>
      <c r="B86" s="28" t="s">
        <v>5259</v>
      </c>
      <c r="C86" s="6" t="s">
        <v>5260</v>
      </c>
      <c r="D86" s="70" t="s">
        <v>79</v>
      </c>
      <c r="E86" s="70" t="s">
        <v>79</v>
      </c>
      <c r="F86" s="71" t="s">
        <v>5107</v>
      </c>
      <c r="G86" s="71" t="s">
        <v>5107</v>
      </c>
      <c r="H86" s="70" t="s">
        <v>79</v>
      </c>
      <c r="I86" s="70" t="s">
        <v>79</v>
      </c>
      <c r="J86" s="70" t="s">
        <v>79</v>
      </c>
      <c r="K86" s="70" t="s">
        <v>79</v>
      </c>
      <c r="L86" s="70" t="s">
        <v>79</v>
      </c>
      <c r="M86" s="71" t="s">
        <v>5107</v>
      </c>
      <c r="N86" s="70" t="s">
        <v>79</v>
      </c>
      <c r="O86" s="70" t="s">
        <v>79</v>
      </c>
      <c r="P86" s="70" t="s">
        <v>79</v>
      </c>
      <c r="Q86" s="70" t="s">
        <v>79</v>
      </c>
      <c r="R86" s="70" t="s">
        <v>79</v>
      </c>
      <c r="S86" s="70" t="s">
        <v>79</v>
      </c>
      <c r="T86" s="28" t="s">
        <v>5261</v>
      </c>
    </row>
    <row r="88" customFormat="false" ht="15" hidden="false" customHeight="false" outlineLevel="0" collapsed="false">
      <c r="A88" s="11" t="s">
        <v>5262</v>
      </c>
    </row>
    <row r="89" customFormat="false" ht="15" hidden="false" customHeight="false" outlineLevel="0" collapsed="false">
      <c r="A89" s="73" t="s">
        <v>5263</v>
      </c>
      <c r="B89" s="73" t="s">
        <v>5264</v>
      </c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</row>
    <row r="90" customFormat="false" ht="30" hidden="false" customHeight="true" outlineLevel="0" collapsed="false">
      <c r="A90" s="4" t="s">
        <v>5265</v>
      </c>
      <c r="B90" s="6" t="s">
        <v>5266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customFormat="false" ht="30" hidden="false" customHeight="true" outlineLevel="0" collapsed="false">
      <c r="A91" s="4" t="s">
        <v>5267</v>
      </c>
      <c r="B91" s="6" t="s">
        <v>5268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customFormat="false" ht="30" hidden="false" customHeight="true" outlineLevel="0" collapsed="false">
      <c r="A92" s="4" t="s">
        <v>5269</v>
      </c>
      <c r="B92" s="6" t="s">
        <v>5270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customFormat="false" ht="30" hidden="false" customHeight="true" outlineLevel="0" collapsed="false">
      <c r="A93" s="4" t="s">
        <v>5271</v>
      </c>
      <c r="B93" s="6" t="s">
        <v>5272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customFormat="false" ht="30" hidden="false" customHeight="true" outlineLevel="0" collapsed="false">
      <c r="A94" s="4" t="s">
        <v>5273</v>
      </c>
      <c r="B94" s="6" t="s">
        <v>5274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customFormat="false" ht="30" hidden="false" customHeight="true" outlineLevel="0" collapsed="false">
      <c r="A95" s="4" t="s">
        <v>5275</v>
      </c>
      <c r="B95" s="6" t="s">
        <v>5276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customFormat="false" ht="30" hidden="false" customHeight="true" outlineLevel="0" collapsed="false">
      <c r="A96" s="4" t="s">
        <v>5067</v>
      </c>
      <c r="B96" s="6" t="s">
        <v>5277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customFormat="false" ht="30" hidden="false" customHeight="true" outlineLevel="0" collapsed="false">
      <c r="A97" s="4" t="s">
        <v>5278</v>
      </c>
      <c r="B97" s="6" t="s">
        <v>5279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customFormat="false" ht="30" hidden="false" customHeight="true" outlineLevel="0" collapsed="false">
      <c r="A98" s="4" t="s">
        <v>5280</v>
      </c>
      <c r="B98" s="6" t="s">
        <v>5281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customFormat="false" ht="30" hidden="false" customHeight="true" outlineLevel="0" collapsed="false">
      <c r="A99" s="4" t="s">
        <v>5282</v>
      </c>
      <c r="B99" s="6" t="s">
        <v>5283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customFormat="false" ht="30" hidden="false" customHeight="true" outlineLevel="0" collapsed="false">
      <c r="A100" s="4" t="s">
        <v>5284</v>
      </c>
      <c r="B100" s="6" t="s">
        <v>5285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customFormat="false" ht="30" hidden="false" customHeight="true" outlineLevel="0" collapsed="false">
      <c r="A101" s="4" t="s">
        <v>5286</v>
      </c>
      <c r="B101" s="6" t="s">
        <v>5287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customFormat="false" ht="30" hidden="false" customHeight="true" outlineLevel="0" collapsed="false">
      <c r="A102" s="4" t="s">
        <v>5288</v>
      </c>
      <c r="B102" s="6" t="s">
        <v>5289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customFormat="false" ht="30" hidden="false" customHeight="true" outlineLevel="0" collapsed="false">
      <c r="A103" s="4" t="s">
        <v>424</v>
      </c>
      <c r="B103" s="6" t="s">
        <v>5290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customFormat="false" ht="30" hidden="false" customHeight="true" outlineLevel="0" collapsed="false">
      <c r="A104" s="4" t="s">
        <v>5291</v>
      </c>
      <c r="B104" s="6" t="s">
        <v>5292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customFormat="false" ht="30" hidden="false" customHeight="true" outlineLevel="0" collapsed="false">
      <c r="A105" s="4" t="s">
        <v>5293</v>
      </c>
      <c r="B105" s="6" t="s">
        <v>5294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</sheetData>
  <mergeCells count="51">
    <mergeCell ref="C5:K5"/>
    <mergeCell ref="L5:T5"/>
    <mergeCell ref="C6:K6"/>
    <mergeCell ref="L6:T6"/>
    <mergeCell ref="C7:K7"/>
    <mergeCell ref="L7:T7"/>
    <mergeCell ref="C8:K8"/>
    <mergeCell ref="L8:T8"/>
    <mergeCell ref="C9:K9"/>
    <mergeCell ref="L9:T9"/>
    <mergeCell ref="C10:K10"/>
    <mergeCell ref="L10:T10"/>
    <mergeCell ref="C11:K11"/>
    <mergeCell ref="L11:T11"/>
    <mergeCell ref="C12:K12"/>
    <mergeCell ref="L12:T12"/>
    <mergeCell ref="C13:K13"/>
    <mergeCell ref="L13:T13"/>
    <mergeCell ref="C14:K14"/>
    <mergeCell ref="L14:T14"/>
    <mergeCell ref="C15:K15"/>
    <mergeCell ref="L15:T15"/>
    <mergeCell ref="C16:K16"/>
    <mergeCell ref="L16:T16"/>
    <mergeCell ref="C17:K17"/>
    <mergeCell ref="L17:T17"/>
    <mergeCell ref="C18:K18"/>
    <mergeCell ref="L18:T18"/>
    <mergeCell ref="C19:K19"/>
    <mergeCell ref="L19:T19"/>
    <mergeCell ref="C20:K20"/>
    <mergeCell ref="L20:T20"/>
    <mergeCell ref="C21:K21"/>
    <mergeCell ref="L21:T21"/>
    <mergeCell ref="B89:T89"/>
    <mergeCell ref="B90:T90"/>
    <mergeCell ref="B91:T91"/>
    <mergeCell ref="B92:T92"/>
    <mergeCell ref="B93:T93"/>
    <mergeCell ref="B94:T94"/>
    <mergeCell ref="B95:T95"/>
    <mergeCell ref="B96:T96"/>
    <mergeCell ref="B97:T97"/>
    <mergeCell ref="B98:T98"/>
    <mergeCell ref="B99:T99"/>
    <mergeCell ref="B100:T100"/>
    <mergeCell ref="B101:T101"/>
    <mergeCell ref="B102:T102"/>
    <mergeCell ref="B103:T103"/>
    <mergeCell ref="B104:T104"/>
    <mergeCell ref="B105:T105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32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10"/>
  </cols>
  <sheetData>
    <row r="1" customFormat="false" ht="17.9" hidden="false" customHeight="false" outlineLevel="0" collapsed="false">
      <c r="A1" s="27" t="s">
        <v>5295</v>
      </c>
    </row>
    <row r="2" customFormat="false" ht="15" hidden="false" customHeight="false" outlineLevel="0" collapsed="false">
      <c r="A2" s="2" t="s">
        <v>5296</v>
      </c>
    </row>
    <row r="4" customFormat="false" ht="31.5" hidden="false" customHeight="true" outlineLevel="0" collapsed="false">
      <c r="A4" s="3" t="s">
        <v>5297</v>
      </c>
      <c r="B4" s="3" t="s">
        <v>5298</v>
      </c>
      <c r="C4" s="3" t="s">
        <v>5299</v>
      </c>
      <c r="D4" s="3" t="s">
        <v>5300</v>
      </c>
      <c r="E4" s="3" t="s">
        <v>121</v>
      </c>
      <c r="F4" s="3" t="s">
        <v>135</v>
      </c>
      <c r="G4" s="3" t="s">
        <v>5301</v>
      </c>
      <c r="H4" s="3" t="s">
        <v>22</v>
      </c>
      <c r="I4" s="3" t="s">
        <v>5302</v>
      </c>
      <c r="J4" s="3" t="s">
        <v>5303</v>
      </c>
    </row>
    <row r="5" customFormat="false" ht="15" hidden="false" customHeight="false" outlineLevel="0" collapsed="false">
      <c r="A5" s="7" t="s">
        <v>1456</v>
      </c>
      <c r="B5" s="6" t="s">
        <v>5304</v>
      </c>
      <c r="C5" s="6" t="s">
        <v>1459</v>
      </c>
      <c r="D5" s="6" t="s">
        <v>1460</v>
      </c>
      <c r="E5" s="29" t="s">
        <v>143</v>
      </c>
      <c r="F5" s="34" t="s">
        <v>320</v>
      </c>
      <c r="G5" s="14" t="str">
        <f aca="false">IFERROR(INDEX(WBS!$B$5:$B$279,MATCH($A5,WBS!$A$5:$A$279,0)),"-")</f>
        <v>DPIA</v>
      </c>
      <c r="H5" s="41" t="str">
        <f aca="false">IFERROR(INDEX(WBS!$H$5:$H$279,MATCH($A5,WBS!$A$5:$A$279,0)),"-")</f>
        <v>P2</v>
      </c>
      <c r="I5" s="31" t="n">
        <f aca="false">IFERROR(INDEX(WBS!$U$5:$U$279,MATCH($A5,WBS!$A$5:$A$279,0)),0)</f>
        <v>8.8</v>
      </c>
      <c r="J5" s="7" t="str">
        <f aca="false">IF(ISNUMBER(MATCH($A5,WBS!$A$5:$A$279,0)),"✓","✗")</f>
        <v>✓</v>
      </c>
    </row>
    <row r="6" customFormat="false" ht="15" hidden="false" customHeight="false" outlineLevel="0" collapsed="false">
      <c r="A6" s="7" t="s">
        <v>1465</v>
      </c>
      <c r="B6" s="6" t="s">
        <v>5304</v>
      </c>
      <c r="C6" s="6" t="s">
        <v>1466</v>
      </c>
      <c r="D6" s="6" t="s">
        <v>1467</v>
      </c>
      <c r="E6" s="29" t="s">
        <v>143</v>
      </c>
      <c r="F6" s="34" t="s">
        <v>320</v>
      </c>
      <c r="G6" s="14" t="str">
        <f aca="false">IFERROR(INDEX(WBS!$B$5:$B$279,MATCH($A6,WBS!$A$5:$A$279,0)),"-")</f>
        <v>DPIA</v>
      </c>
      <c r="H6" s="41" t="str">
        <f aca="false">IFERROR(INDEX(WBS!$H$5:$H$279,MATCH($A6,WBS!$A$5:$A$279,0)),"-")</f>
        <v>P2</v>
      </c>
      <c r="I6" s="31" t="n">
        <f aca="false">IFERROR(INDEX(WBS!$U$5:$U$279,MATCH($A6,WBS!$A$5:$A$279,0)),0)</f>
        <v>8.8</v>
      </c>
      <c r="J6" s="7" t="str">
        <f aca="false">IF(ISNUMBER(MATCH($A6,WBS!$A$5:$A$279,0)),"✓","✗")</f>
        <v>✓</v>
      </c>
    </row>
    <row r="7" customFormat="false" ht="15" hidden="false" customHeight="false" outlineLevel="0" collapsed="false">
      <c r="A7" s="7" t="s">
        <v>1472</v>
      </c>
      <c r="B7" s="6" t="s">
        <v>5304</v>
      </c>
      <c r="C7" s="6" t="s">
        <v>1473</v>
      </c>
      <c r="D7" s="6" t="s">
        <v>1474</v>
      </c>
      <c r="E7" s="29" t="s">
        <v>143</v>
      </c>
      <c r="F7" s="34" t="s">
        <v>320</v>
      </c>
      <c r="G7" s="14" t="str">
        <f aca="false">IFERROR(INDEX(WBS!$B$5:$B$279,MATCH($A7,WBS!$A$5:$A$279,0)),"-")</f>
        <v>DPIA</v>
      </c>
      <c r="H7" s="41" t="str">
        <f aca="false">IFERROR(INDEX(WBS!$H$5:$H$279,MATCH($A7,WBS!$A$5:$A$279,0)),"-")</f>
        <v>P2</v>
      </c>
      <c r="I7" s="31" t="n">
        <f aca="false">IFERROR(INDEX(WBS!$U$5:$U$279,MATCH($A7,WBS!$A$5:$A$279,0)),0)</f>
        <v>8.8</v>
      </c>
      <c r="J7" s="7" t="str">
        <f aca="false">IF(ISNUMBER(MATCH($A7,WBS!$A$5:$A$279,0)),"✓","✗")</f>
        <v>✓</v>
      </c>
    </row>
    <row r="8" customFormat="false" ht="15" hidden="false" customHeight="false" outlineLevel="0" collapsed="false">
      <c r="A8" s="7" t="s">
        <v>1480</v>
      </c>
      <c r="B8" s="6" t="s">
        <v>5304</v>
      </c>
      <c r="C8" s="6" t="s">
        <v>1481</v>
      </c>
      <c r="D8" s="6" t="s">
        <v>1482</v>
      </c>
      <c r="E8" s="29" t="s">
        <v>143</v>
      </c>
      <c r="F8" s="34" t="s">
        <v>320</v>
      </c>
      <c r="G8" s="14" t="str">
        <f aca="false">IFERROR(INDEX(WBS!$B$5:$B$279,MATCH($A8,WBS!$A$5:$A$279,0)),"-")</f>
        <v>DPIA</v>
      </c>
      <c r="H8" s="41" t="str">
        <f aca="false">IFERROR(INDEX(WBS!$H$5:$H$279,MATCH($A8,WBS!$A$5:$A$279,0)),"-")</f>
        <v>P2</v>
      </c>
      <c r="I8" s="31" t="n">
        <f aca="false">IFERROR(INDEX(WBS!$U$5:$U$279,MATCH($A8,WBS!$A$5:$A$279,0)),0)</f>
        <v>11.8</v>
      </c>
      <c r="J8" s="7" t="str">
        <f aca="false">IF(ISNUMBER(MATCH($A8,WBS!$A$5:$A$279,0)),"✓","✗")</f>
        <v>✓</v>
      </c>
    </row>
    <row r="9" customFormat="false" ht="15" hidden="false" customHeight="false" outlineLevel="0" collapsed="false">
      <c r="A9" s="7" t="s">
        <v>1487</v>
      </c>
      <c r="B9" s="6" t="s">
        <v>5304</v>
      </c>
      <c r="C9" s="6" t="s">
        <v>1488</v>
      </c>
      <c r="D9" s="6" t="s">
        <v>1489</v>
      </c>
      <c r="E9" s="29" t="s">
        <v>143</v>
      </c>
      <c r="F9" s="34" t="s">
        <v>320</v>
      </c>
      <c r="G9" s="14" t="str">
        <f aca="false">IFERROR(INDEX(WBS!$B$5:$B$279,MATCH($A9,WBS!$A$5:$A$279,0)),"-")</f>
        <v>DPIA</v>
      </c>
      <c r="H9" s="41" t="str">
        <f aca="false">IFERROR(INDEX(WBS!$H$5:$H$279,MATCH($A9,WBS!$A$5:$A$279,0)),"-")</f>
        <v>P2</v>
      </c>
      <c r="I9" s="31" t="n">
        <f aca="false">IFERROR(INDEX(WBS!$U$5:$U$279,MATCH($A9,WBS!$A$5:$A$279,0)),0)</f>
        <v>8.8</v>
      </c>
      <c r="J9" s="7" t="str">
        <f aca="false">IF(ISNUMBER(MATCH($A9,WBS!$A$5:$A$279,0)),"✓","✗")</f>
        <v>✓</v>
      </c>
    </row>
    <row r="10" customFormat="false" ht="15" hidden="false" customHeight="false" outlineLevel="0" collapsed="false">
      <c r="A10" s="7" t="s">
        <v>1494</v>
      </c>
      <c r="B10" s="6" t="s">
        <v>5304</v>
      </c>
      <c r="C10" s="6" t="s">
        <v>1495</v>
      </c>
      <c r="D10" s="6" t="s">
        <v>1496</v>
      </c>
      <c r="E10" s="29" t="s">
        <v>143</v>
      </c>
      <c r="F10" s="34" t="s">
        <v>320</v>
      </c>
      <c r="G10" s="14" t="str">
        <f aca="false">IFERROR(INDEX(WBS!$B$5:$B$279,MATCH($A10,WBS!$A$5:$A$279,0)),"-")</f>
        <v>DPIA</v>
      </c>
      <c r="H10" s="41" t="str">
        <f aca="false">IFERROR(INDEX(WBS!$H$5:$H$279,MATCH($A10,WBS!$A$5:$A$279,0)),"-")</f>
        <v>P2</v>
      </c>
      <c r="I10" s="31" t="n">
        <f aca="false">IFERROR(INDEX(WBS!$U$5:$U$279,MATCH($A10,WBS!$A$5:$A$279,0)),0)</f>
        <v>16.7</v>
      </c>
      <c r="J10" s="7" t="str">
        <f aca="false">IF(ISNUMBER(MATCH($A10,WBS!$A$5:$A$279,0)),"✓","✗")</f>
        <v>✓</v>
      </c>
    </row>
    <row r="11" customFormat="false" ht="15" hidden="false" customHeight="false" outlineLevel="0" collapsed="false">
      <c r="A11" s="7" t="s">
        <v>1502</v>
      </c>
      <c r="B11" s="6" t="s">
        <v>5304</v>
      </c>
      <c r="C11" s="6" t="s">
        <v>1503</v>
      </c>
      <c r="D11" s="6" t="s">
        <v>1504</v>
      </c>
      <c r="E11" s="29" t="s">
        <v>143</v>
      </c>
      <c r="F11" s="34" t="s">
        <v>320</v>
      </c>
      <c r="G11" s="14" t="str">
        <f aca="false">IFERROR(INDEX(WBS!$B$5:$B$279,MATCH($A11,WBS!$A$5:$A$279,0)),"-")</f>
        <v>DPIA</v>
      </c>
      <c r="H11" s="41" t="str">
        <f aca="false">IFERROR(INDEX(WBS!$H$5:$H$279,MATCH($A11,WBS!$A$5:$A$279,0)),"-")</f>
        <v>P2</v>
      </c>
      <c r="I11" s="31" t="n">
        <f aca="false">IFERROR(INDEX(WBS!$U$5:$U$279,MATCH($A11,WBS!$A$5:$A$279,0)),0)</f>
        <v>14.7</v>
      </c>
      <c r="J11" s="7" t="str">
        <f aca="false">IF(ISNUMBER(MATCH($A11,WBS!$A$5:$A$279,0)),"✓","✗")</f>
        <v>✓</v>
      </c>
    </row>
    <row r="12" customFormat="false" ht="15" hidden="false" customHeight="false" outlineLevel="0" collapsed="false">
      <c r="A12" s="7" t="s">
        <v>1542</v>
      </c>
      <c r="B12" s="6" t="s">
        <v>5304</v>
      </c>
      <c r="C12" s="6" t="s">
        <v>1543</v>
      </c>
      <c r="D12" s="6" t="s">
        <v>1544</v>
      </c>
      <c r="E12" s="32" t="s">
        <v>265</v>
      </c>
      <c r="F12" s="34" t="s">
        <v>320</v>
      </c>
      <c r="G12" s="14" t="str">
        <f aca="false">IFERROR(INDEX(WBS!$B$5:$B$279,MATCH($A12,WBS!$A$5:$A$279,0)),"-")</f>
        <v>DPIA</v>
      </c>
      <c r="H12" s="41" t="str">
        <f aca="false">IFERROR(INDEX(WBS!$H$5:$H$279,MATCH($A12,WBS!$A$5:$A$279,0)),"-")</f>
        <v>P3</v>
      </c>
      <c r="I12" s="31" t="n">
        <f aca="false">IFERROR(INDEX(WBS!$U$5:$U$279,MATCH($A12,WBS!$A$5:$A$279,0)),0)</f>
        <v>5.9</v>
      </c>
      <c r="J12" s="7" t="str">
        <f aca="false">IF(ISNUMBER(MATCH($A12,WBS!$A$5:$A$279,0)),"✓","✗")</f>
        <v>✓</v>
      </c>
    </row>
    <row r="13" customFormat="false" ht="15" hidden="false" customHeight="false" outlineLevel="0" collapsed="false">
      <c r="A13" s="7" t="s">
        <v>1509</v>
      </c>
      <c r="B13" s="6" t="s">
        <v>5304</v>
      </c>
      <c r="C13" s="6" t="s">
        <v>1510</v>
      </c>
      <c r="D13" s="6" t="s">
        <v>1511</v>
      </c>
      <c r="E13" s="29" t="s">
        <v>143</v>
      </c>
      <c r="F13" s="34" t="s">
        <v>320</v>
      </c>
      <c r="G13" s="14" t="str">
        <f aca="false">IFERROR(INDEX(WBS!$B$5:$B$279,MATCH($A13,WBS!$A$5:$A$279,0)),"-")</f>
        <v>DPIA</v>
      </c>
      <c r="H13" s="41" t="str">
        <f aca="false">IFERROR(INDEX(WBS!$H$5:$H$279,MATCH($A13,WBS!$A$5:$A$279,0)),"-")</f>
        <v>P2</v>
      </c>
      <c r="I13" s="31" t="n">
        <f aca="false">IFERROR(INDEX(WBS!$U$5:$U$279,MATCH($A13,WBS!$A$5:$A$279,0)),0)</f>
        <v>16.7</v>
      </c>
      <c r="J13" s="7" t="str">
        <f aca="false">IF(ISNUMBER(MATCH($A13,WBS!$A$5:$A$279,0)),"✓","✗")</f>
        <v>✓</v>
      </c>
    </row>
    <row r="14" customFormat="false" ht="15" hidden="false" customHeight="false" outlineLevel="0" collapsed="false">
      <c r="A14" s="7" t="s">
        <v>1516</v>
      </c>
      <c r="B14" s="6" t="s">
        <v>5304</v>
      </c>
      <c r="C14" s="6" t="s">
        <v>1517</v>
      </c>
      <c r="D14" s="6" t="s">
        <v>1518</v>
      </c>
      <c r="E14" s="29" t="s">
        <v>143</v>
      </c>
      <c r="F14" s="34" t="s">
        <v>320</v>
      </c>
      <c r="G14" s="14" t="str">
        <f aca="false">IFERROR(INDEX(WBS!$B$5:$B$279,MATCH($A14,WBS!$A$5:$A$279,0)),"-")</f>
        <v>DPIA</v>
      </c>
      <c r="H14" s="41" t="str">
        <f aca="false">IFERROR(INDEX(WBS!$H$5:$H$279,MATCH($A14,WBS!$A$5:$A$279,0)),"-")</f>
        <v>P2</v>
      </c>
      <c r="I14" s="31" t="n">
        <f aca="false">IFERROR(INDEX(WBS!$U$5:$U$279,MATCH($A14,WBS!$A$5:$A$279,0)),0)</f>
        <v>8.8</v>
      </c>
      <c r="J14" s="7" t="str">
        <f aca="false">IF(ISNUMBER(MATCH($A14,WBS!$A$5:$A$279,0)),"✓","✗")</f>
        <v>✓</v>
      </c>
    </row>
    <row r="15" customFormat="false" ht="15" hidden="false" customHeight="false" outlineLevel="0" collapsed="false">
      <c r="A15" s="7" t="s">
        <v>1549</v>
      </c>
      <c r="B15" s="6" t="s">
        <v>5304</v>
      </c>
      <c r="C15" s="6" t="s">
        <v>1550</v>
      </c>
      <c r="D15" s="6" t="s">
        <v>1551</v>
      </c>
      <c r="E15" s="32" t="s">
        <v>265</v>
      </c>
      <c r="F15" s="35" t="s">
        <v>386</v>
      </c>
      <c r="G15" s="14" t="str">
        <f aca="false">IFERROR(INDEX(WBS!$B$5:$B$279,MATCH($A15,WBS!$A$5:$A$279,0)),"-")</f>
        <v>DPIA</v>
      </c>
      <c r="H15" s="41" t="str">
        <f aca="false">IFERROR(INDEX(WBS!$H$5:$H$279,MATCH($A15,WBS!$A$5:$A$279,0)),"-")</f>
        <v>P3</v>
      </c>
      <c r="I15" s="31" t="n">
        <f aca="false">IFERROR(INDEX(WBS!$U$5:$U$279,MATCH($A15,WBS!$A$5:$A$279,0)),0)</f>
        <v>8.8</v>
      </c>
      <c r="J15" s="7" t="str">
        <f aca="false">IF(ISNUMBER(MATCH($A15,WBS!$A$5:$A$279,0)),"✓","✗")</f>
        <v>✓</v>
      </c>
    </row>
    <row r="16" customFormat="false" ht="15" hidden="false" customHeight="false" outlineLevel="0" collapsed="false">
      <c r="A16" s="7" t="s">
        <v>1523</v>
      </c>
      <c r="B16" s="6" t="s">
        <v>5304</v>
      </c>
      <c r="C16" s="6" t="s">
        <v>1524</v>
      </c>
      <c r="D16" s="6" t="s">
        <v>1525</v>
      </c>
      <c r="E16" s="29" t="s">
        <v>143</v>
      </c>
      <c r="F16" s="34" t="s">
        <v>320</v>
      </c>
      <c r="G16" s="14" t="str">
        <f aca="false">IFERROR(INDEX(WBS!$B$5:$B$279,MATCH($A16,WBS!$A$5:$A$279,0)),"-")</f>
        <v>DPIA</v>
      </c>
      <c r="H16" s="41" t="str">
        <f aca="false">IFERROR(INDEX(WBS!$H$5:$H$279,MATCH($A16,WBS!$A$5:$A$279,0)),"-")</f>
        <v>P2</v>
      </c>
      <c r="I16" s="31" t="n">
        <f aca="false">IFERROR(INDEX(WBS!$U$5:$U$279,MATCH($A16,WBS!$A$5:$A$279,0)),0)</f>
        <v>13.8</v>
      </c>
      <c r="J16" s="7" t="str">
        <f aca="false">IF(ISNUMBER(MATCH($A16,WBS!$A$5:$A$279,0)),"✓","✗")</f>
        <v>✓</v>
      </c>
    </row>
    <row r="17" customFormat="false" ht="15" hidden="false" customHeight="false" outlineLevel="0" collapsed="false">
      <c r="A17" s="7" t="s">
        <v>1555</v>
      </c>
      <c r="B17" s="6" t="s">
        <v>5304</v>
      </c>
      <c r="C17" s="6" t="s">
        <v>1556</v>
      </c>
      <c r="D17" s="6" t="s">
        <v>1557</v>
      </c>
      <c r="E17" s="32" t="s">
        <v>265</v>
      </c>
      <c r="F17" s="34" t="s">
        <v>320</v>
      </c>
      <c r="G17" s="14" t="str">
        <f aca="false">IFERROR(INDEX(WBS!$B$5:$B$279,MATCH($A17,WBS!$A$5:$A$279,0)),"-")</f>
        <v>DPIA</v>
      </c>
      <c r="H17" s="41" t="str">
        <f aca="false">IFERROR(INDEX(WBS!$H$5:$H$279,MATCH($A17,WBS!$A$5:$A$279,0)),"-")</f>
        <v>P3</v>
      </c>
      <c r="I17" s="31" t="n">
        <f aca="false">IFERROR(INDEX(WBS!$U$5:$U$279,MATCH($A17,WBS!$A$5:$A$279,0)),0)</f>
        <v>5.9</v>
      </c>
      <c r="J17" s="7" t="str">
        <f aca="false">IF(ISNUMBER(MATCH($A17,WBS!$A$5:$A$279,0)),"✓","✗")</f>
        <v>✓</v>
      </c>
    </row>
    <row r="18" customFormat="false" ht="15" hidden="false" customHeight="false" outlineLevel="0" collapsed="false">
      <c r="A18" s="7" t="s">
        <v>1529</v>
      </c>
      <c r="B18" s="6" t="s">
        <v>5304</v>
      </c>
      <c r="C18" s="6" t="s">
        <v>1530</v>
      </c>
      <c r="D18" s="6" t="s">
        <v>1531</v>
      </c>
      <c r="E18" s="29" t="s">
        <v>143</v>
      </c>
      <c r="F18" s="34" t="s">
        <v>320</v>
      </c>
      <c r="G18" s="14" t="str">
        <f aca="false">IFERROR(INDEX(WBS!$B$5:$B$279,MATCH($A18,WBS!$A$5:$A$279,0)),"-")</f>
        <v>DPIA</v>
      </c>
      <c r="H18" s="41" t="str">
        <f aca="false">IFERROR(INDEX(WBS!$H$5:$H$279,MATCH($A18,WBS!$A$5:$A$279,0)),"-")</f>
        <v>P2</v>
      </c>
      <c r="I18" s="31" t="n">
        <f aca="false">IFERROR(INDEX(WBS!$U$5:$U$279,MATCH($A18,WBS!$A$5:$A$279,0)),0)</f>
        <v>5.9</v>
      </c>
      <c r="J18" s="7" t="str">
        <f aca="false">IF(ISNUMBER(MATCH($A18,WBS!$A$5:$A$279,0)),"✓","✗")</f>
        <v>✓</v>
      </c>
    </row>
    <row r="19" customFormat="false" ht="15" hidden="false" customHeight="false" outlineLevel="0" collapsed="false">
      <c r="A19" s="7" t="s">
        <v>1536</v>
      </c>
      <c r="B19" s="6" t="s">
        <v>5304</v>
      </c>
      <c r="C19" s="6" t="s">
        <v>1537</v>
      </c>
      <c r="D19" s="6" t="s">
        <v>1538</v>
      </c>
      <c r="E19" s="29" t="s">
        <v>143</v>
      </c>
      <c r="F19" s="34" t="s">
        <v>320</v>
      </c>
      <c r="G19" s="14" t="str">
        <f aca="false">IFERROR(INDEX(WBS!$B$5:$B$279,MATCH($A19,WBS!$A$5:$A$279,0)),"-")</f>
        <v>DPIA</v>
      </c>
      <c r="H19" s="41" t="str">
        <f aca="false">IFERROR(INDEX(WBS!$H$5:$H$279,MATCH($A19,WBS!$A$5:$A$279,0)),"-")</f>
        <v>P2</v>
      </c>
      <c r="I19" s="31" t="n">
        <f aca="false">IFERROR(INDEX(WBS!$U$5:$U$279,MATCH($A19,WBS!$A$5:$A$279,0)),0)</f>
        <v>5.9</v>
      </c>
      <c r="J19" s="7" t="str">
        <f aca="false">IF(ISNUMBER(MATCH($A19,WBS!$A$5:$A$279,0)),"✓","✗")</f>
        <v>✓</v>
      </c>
    </row>
    <row r="20" customFormat="false" ht="15" hidden="false" customHeight="false" outlineLevel="0" collapsed="false">
      <c r="A20" s="7" t="s">
        <v>1562</v>
      </c>
      <c r="B20" s="6" t="s">
        <v>5304</v>
      </c>
      <c r="C20" s="6" t="s">
        <v>1563</v>
      </c>
      <c r="D20" s="6" t="s">
        <v>1564</v>
      </c>
      <c r="E20" s="32" t="s">
        <v>265</v>
      </c>
      <c r="F20" s="34" t="s">
        <v>320</v>
      </c>
      <c r="G20" s="14" t="str">
        <f aca="false">IFERROR(INDEX(WBS!$B$5:$B$279,MATCH($A20,WBS!$A$5:$A$279,0)),"-")</f>
        <v>DPIA</v>
      </c>
      <c r="H20" s="41" t="str">
        <f aca="false">IFERROR(INDEX(WBS!$H$5:$H$279,MATCH($A20,WBS!$A$5:$A$279,0)),"-")</f>
        <v>P3</v>
      </c>
      <c r="I20" s="31" t="n">
        <f aca="false">IFERROR(INDEX(WBS!$U$5:$U$279,MATCH($A20,WBS!$A$5:$A$279,0)),0)</f>
        <v>8.8</v>
      </c>
      <c r="J20" s="7" t="str">
        <f aca="false">IF(ISNUMBER(MATCH($A20,WBS!$A$5:$A$279,0)),"✓","✗")</f>
        <v>✓</v>
      </c>
    </row>
    <row r="21" customFormat="false" ht="15" hidden="false" customHeight="false" outlineLevel="0" collapsed="false">
      <c r="A21" s="7" t="s">
        <v>1569</v>
      </c>
      <c r="B21" s="6" t="s">
        <v>5304</v>
      </c>
      <c r="C21" s="6" t="s">
        <v>1570</v>
      </c>
      <c r="D21" s="6" t="s">
        <v>1571</v>
      </c>
      <c r="E21" s="33" t="s">
        <v>286</v>
      </c>
      <c r="F21" s="34" t="s">
        <v>320</v>
      </c>
      <c r="G21" s="14" t="str">
        <f aca="false">IFERROR(INDEX(WBS!$B$5:$B$279,MATCH($A21,WBS!$A$5:$A$279,0)),"-")</f>
        <v>DPIA</v>
      </c>
      <c r="H21" s="41" t="str">
        <f aca="false">IFERROR(INDEX(WBS!$H$5:$H$279,MATCH($A21,WBS!$A$5:$A$279,0)),"-")</f>
        <v>P4</v>
      </c>
      <c r="I21" s="31" t="n">
        <f aca="false">IFERROR(INDEX(WBS!$U$5:$U$279,MATCH($A21,WBS!$A$5:$A$279,0)),0)</f>
        <v>8.8</v>
      </c>
      <c r="J21" s="7" t="str">
        <f aca="false">IF(ISNUMBER(MATCH($A21,WBS!$A$5:$A$279,0)),"✓","✗")</f>
        <v>✓</v>
      </c>
    </row>
    <row r="22" customFormat="false" ht="15" hidden="false" customHeight="false" outlineLevel="0" collapsed="false">
      <c r="A22" s="7" t="s">
        <v>1577</v>
      </c>
      <c r="B22" s="6" t="s">
        <v>5304</v>
      </c>
      <c r="C22" s="6" t="s">
        <v>1578</v>
      </c>
      <c r="D22" s="6" t="s">
        <v>1579</v>
      </c>
      <c r="E22" s="33" t="s">
        <v>286</v>
      </c>
      <c r="F22" s="34" t="s">
        <v>320</v>
      </c>
      <c r="G22" s="14" t="str">
        <f aca="false">IFERROR(INDEX(WBS!$B$5:$B$279,MATCH($A22,WBS!$A$5:$A$279,0)),"-")</f>
        <v>DPIA</v>
      </c>
      <c r="H22" s="41" t="str">
        <f aca="false">IFERROR(INDEX(WBS!$H$5:$H$279,MATCH($A22,WBS!$A$5:$A$279,0)),"-")</f>
        <v>P4</v>
      </c>
      <c r="I22" s="31" t="n">
        <f aca="false">IFERROR(INDEX(WBS!$U$5:$U$279,MATCH($A22,WBS!$A$5:$A$279,0)),0)</f>
        <v>11.8</v>
      </c>
      <c r="J22" s="7" t="str">
        <f aca="false">IF(ISNUMBER(MATCH($A22,WBS!$A$5:$A$279,0)),"✓","✗")</f>
        <v>✓</v>
      </c>
    </row>
    <row r="23" customFormat="false" ht="15" hidden="false" customHeight="false" outlineLevel="0" collapsed="false">
      <c r="A23" s="7" t="s">
        <v>1108</v>
      </c>
      <c r="B23" s="6" t="s">
        <v>5305</v>
      </c>
      <c r="C23" s="6" t="s">
        <v>1111</v>
      </c>
      <c r="D23" s="6" t="s">
        <v>1112</v>
      </c>
      <c r="E23" s="29" t="s">
        <v>143</v>
      </c>
      <c r="F23" s="34" t="s">
        <v>320</v>
      </c>
      <c r="G23" s="14" t="str">
        <f aca="false">IFERROR(INDEX(WBS!$B$5:$B$279,MATCH($A23,WBS!$A$5:$A$279,0)),"-")</f>
        <v>DSAR</v>
      </c>
      <c r="H23" s="41" t="str">
        <f aca="false">IFERROR(INDEX(WBS!$H$5:$H$279,MATCH($A23,WBS!$A$5:$A$279,0)),"-")</f>
        <v>P1</v>
      </c>
      <c r="I23" s="31" t="n">
        <f aca="false">IFERROR(INDEX(WBS!$U$5:$U$279,MATCH($A23,WBS!$A$5:$A$279,0)),0)</f>
        <v>16.7</v>
      </c>
      <c r="J23" s="7" t="str">
        <f aca="false">IF(ISNUMBER(MATCH($A23,WBS!$A$5:$A$279,0)),"✓","✗")</f>
        <v>✓</v>
      </c>
    </row>
    <row r="24" customFormat="false" ht="15" hidden="false" customHeight="false" outlineLevel="0" collapsed="false">
      <c r="A24" s="7" t="s">
        <v>1118</v>
      </c>
      <c r="B24" s="6" t="s">
        <v>5305</v>
      </c>
      <c r="C24" s="6" t="s">
        <v>1119</v>
      </c>
      <c r="D24" s="6" t="s">
        <v>1120</v>
      </c>
      <c r="E24" s="29" t="s">
        <v>143</v>
      </c>
      <c r="F24" s="35" t="s">
        <v>386</v>
      </c>
      <c r="G24" s="14" t="str">
        <f aca="false">IFERROR(INDEX(WBS!$B$5:$B$279,MATCH($A24,WBS!$A$5:$A$279,0)),"-")</f>
        <v>DSAR</v>
      </c>
      <c r="H24" s="41" t="str">
        <f aca="false">IFERROR(INDEX(WBS!$H$5:$H$279,MATCH($A24,WBS!$A$5:$A$279,0)),"-")</f>
        <v>P1</v>
      </c>
      <c r="I24" s="31" t="n">
        <f aca="false">IFERROR(INDEX(WBS!$U$5:$U$279,MATCH($A24,WBS!$A$5:$A$279,0)),0)</f>
        <v>11.8</v>
      </c>
      <c r="J24" s="7" t="str">
        <f aca="false">IF(ISNUMBER(MATCH($A24,WBS!$A$5:$A$279,0)),"✓","✗")</f>
        <v>✓</v>
      </c>
    </row>
    <row r="25" customFormat="false" ht="15" hidden="false" customHeight="false" outlineLevel="0" collapsed="false">
      <c r="A25" s="7" t="s">
        <v>1126</v>
      </c>
      <c r="B25" s="6" t="s">
        <v>5305</v>
      </c>
      <c r="C25" s="6" t="s">
        <v>1127</v>
      </c>
      <c r="D25" s="6" t="s">
        <v>1128</v>
      </c>
      <c r="E25" s="29" t="s">
        <v>143</v>
      </c>
      <c r="F25" s="34" t="s">
        <v>320</v>
      </c>
      <c r="G25" s="14" t="str">
        <f aca="false">IFERROR(INDEX(WBS!$B$5:$B$279,MATCH($A25,WBS!$A$5:$A$279,0)),"-")</f>
        <v>DSAR</v>
      </c>
      <c r="H25" s="41" t="str">
        <f aca="false">IFERROR(INDEX(WBS!$H$5:$H$279,MATCH($A25,WBS!$A$5:$A$279,0)),"-")</f>
        <v>P1</v>
      </c>
      <c r="I25" s="31" t="n">
        <f aca="false">IFERROR(INDEX(WBS!$U$5:$U$279,MATCH($A25,WBS!$A$5:$A$279,0)),0)</f>
        <v>11.8</v>
      </c>
      <c r="J25" s="7" t="str">
        <f aca="false">IF(ISNUMBER(MATCH($A25,WBS!$A$5:$A$279,0)),"✓","✗")</f>
        <v>✓</v>
      </c>
    </row>
    <row r="26" customFormat="false" ht="15" hidden="false" customHeight="false" outlineLevel="0" collapsed="false">
      <c r="A26" s="7" t="s">
        <v>1133</v>
      </c>
      <c r="B26" s="6" t="s">
        <v>5305</v>
      </c>
      <c r="C26" s="6" t="s">
        <v>1134</v>
      </c>
      <c r="D26" s="6" t="s">
        <v>1135</v>
      </c>
      <c r="E26" s="29" t="s">
        <v>143</v>
      </c>
      <c r="F26" s="34" t="s">
        <v>320</v>
      </c>
      <c r="G26" s="14" t="str">
        <f aca="false">IFERROR(INDEX(WBS!$B$5:$B$279,MATCH($A26,WBS!$A$5:$A$279,0)),"-")</f>
        <v>DSAR</v>
      </c>
      <c r="H26" s="41" t="str">
        <f aca="false">IFERROR(INDEX(WBS!$H$5:$H$279,MATCH($A26,WBS!$A$5:$A$279,0)),"-")</f>
        <v>P1</v>
      </c>
      <c r="I26" s="31" t="n">
        <f aca="false">IFERROR(INDEX(WBS!$U$5:$U$279,MATCH($A26,WBS!$A$5:$A$279,0)),0)</f>
        <v>8.8</v>
      </c>
      <c r="J26" s="7" t="str">
        <f aca="false">IF(ISNUMBER(MATCH($A26,WBS!$A$5:$A$279,0)),"✓","✗")</f>
        <v>✓</v>
      </c>
    </row>
    <row r="27" customFormat="false" ht="15" hidden="false" customHeight="false" outlineLevel="0" collapsed="false">
      <c r="A27" s="7" t="s">
        <v>1199</v>
      </c>
      <c r="B27" s="6" t="s">
        <v>5305</v>
      </c>
      <c r="C27" s="6" t="s">
        <v>1200</v>
      </c>
      <c r="D27" s="6" t="s">
        <v>1201</v>
      </c>
      <c r="E27" s="32" t="s">
        <v>265</v>
      </c>
      <c r="F27" s="34" t="s">
        <v>320</v>
      </c>
      <c r="G27" s="14" t="str">
        <f aca="false">IFERROR(INDEX(WBS!$B$5:$B$279,MATCH($A27,WBS!$A$5:$A$279,0)),"-")</f>
        <v>DSAR</v>
      </c>
      <c r="H27" s="41" t="str">
        <f aca="false">IFERROR(INDEX(WBS!$H$5:$H$279,MATCH($A27,WBS!$A$5:$A$279,0)),"-")</f>
        <v>P3</v>
      </c>
      <c r="I27" s="31" t="n">
        <f aca="false">IFERROR(INDEX(WBS!$U$5:$U$279,MATCH($A27,WBS!$A$5:$A$279,0)),0)</f>
        <v>8.8</v>
      </c>
      <c r="J27" s="7" t="str">
        <f aca="false">IF(ISNUMBER(MATCH($A27,WBS!$A$5:$A$279,0)),"✓","✗")</f>
        <v>✓</v>
      </c>
    </row>
    <row r="28" customFormat="false" ht="15" hidden="false" customHeight="false" outlineLevel="0" collapsed="false">
      <c r="A28" s="7" t="s">
        <v>1140</v>
      </c>
      <c r="B28" s="6" t="s">
        <v>5305</v>
      </c>
      <c r="C28" s="6" t="s">
        <v>1141</v>
      </c>
      <c r="D28" s="6" t="s">
        <v>626</v>
      </c>
      <c r="E28" s="29" t="s">
        <v>143</v>
      </c>
      <c r="F28" s="35" t="s">
        <v>386</v>
      </c>
      <c r="G28" s="14" t="str">
        <f aca="false">IFERROR(INDEX(WBS!$B$5:$B$279,MATCH($A28,WBS!$A$5:$A$279,0)),"-")</f>
        <v>DSAR</v>
      </c>
      <c r="H28" s="41" t="str">
        <f aca="false">IFERROR(INDEX(WBS!$H$5:$H$279,MATCH($A28,WBS!$A$5:$A$279,0)),"-")</f>
        <v>P1</v>
      </c>
      <c r="I28" s="31" t="n">
        <f aca="false">IFERROR(INDEX(WBS!$U$5:$U$279,MATCH($A28,WBS!$A$5:$A$279,0)),0)</f>
        <v>11.8</v>
      </c>
      <c r="J28" s="7" t="str">
        <f aca="false">IF(ISNUMBER(MATCH($A28,WBS!$A$5:$A$279,0)),"✓","✗")</f>
        <v>✓</v>
      </c>
    </row>
    <row r="29" customFormat="false" ht="15" hidden="false" customHeight="false" outlineLevel="0" collapsed="false">
      <c r="A29" s="7" t="s">
        <v>1147</v>
      </c>
      <c r="B29" s="6" t="s">
        <v>5305</v>
      </c>
      <c r="C29" s="6" t="s">
        <v>1148</v>
      </c>
      <c r="D29" s="6" t="s">
        <v>1149</v>
      </c>
      <c r="E29" s="29" t="s">
        <v>143</v>
      </c>
      <c r="F29" s="34" t="s">
        <v>320</v>
      </c>
      <c r="G29" s="14" t="str">
        <f aca="false">IFERROR(INDEX(WBS!$B$5:$B$279,MATCH($A29,WBS!$A$5:$A$279,0)),"-")</f>
        <v>DSAR</v>
      </c>
      <c r="H29" s="41" t="str">
        <f aca="false">IFERROR(INDEX(WBS!$H$5:$H$279,MATCH($A29,WBS!$A$5:$A$279,0)),"-")</f>
        <v>P1</v>
      </c>
      <c r="I29" s="31" t="n">
        <f aca="false">IFERROR(INDEX(WBS!$U$5:$U$279,MATCH($A29,WBS!$A$5:$A$279,0)),0)</f>
        <v>8.8</v>
      </c>
      <c r="J29" s="7" t="str">
        <f aca="false">IF(ISNUMBER(MATCH($A29,WBS!$A$5:$A$279,0)),"✓","✗")</f>
        <v>✓</v>
      </c>
    </row>
    <row r="30" customFormat="false" ht="15" hidden="false" customHeight="false" outlineLevel="0" collapsed="false">
      <c r="A30" s="7" t="s">
        <v>1125</v>
      </c>
      <c r="B30" s="6" t="s">
        <v>5305</v>
      </c>
      <c r="C30" s="6" t="s">
        <v>1154</v>
      </c>
      <c r="D30" s="6" t="s">
        <v>1155</v>
      </c>
      <c r="E30" s="29" t="s">
        <v>143</v>
      </c>
      <c r="F30" s="34" t="s">
        <v>320</v>
      </c>
      <c r="G30" s="14" t="str">
        <f aca="false">IFERROR(INDEX(WBS!$B$5:$B$279,MATCH($A30,WBS!$A$5:$A$279,0)),"-")</f>
        <v>DSAR</v>
      </c>
      <c r="H30" s="41" t="str">
        <f aca="false">IFERROR(INDEX(WBS!$H$5:$H$279,MATCH($A30,WBS!$A$5:$A$279,0)),"-")</f>
        <v>P1</v>
      </c>
      <c r="I30" s="31" t="n">
        <f aca="false">IFERROR(INDEX(WBS!$U$5:$U$279,MATCH($A30,WBS!$A$5:$A$279,0)),0)</f>
        <v>24.1</v>
      </c>
      <c r="J30" s="7" t="str">
        <f aca="false">IF(ISNUMBER(MATCH($A30,WBS!$A$5:$A$279,0)),"✓","✗")</f>
        <v>✓</v>
      </c>
    </row>
    <row r="31" customFormat="false" ht="15" hidden="false" customHeight="false" outlineLevel="0" collapsed="false">
      <c r="A31" s="7" t="s">
        <v>1206</v>
      </c>
      <c r="B31" s="6" t="s">
        <v>5305</v>
      </c>
      <c r="C31" s="6" t="s">
        <v>1207</v>
      </c>
      <c r="D31" s="6" t="s">
        <v>1208</v>
      </c>
      <c r="E31" s="32" t="s">
        <v>265</v>
      </c>
      <c r="F31" s="34" t="s">
        <v>320</v>
      </c>
      <c r="G31" s="14" t="str">
        <f aca="false">IFERROR(INDEX(WBS!$B$5:$B$279,MATCH($A31,WBS!$A$5:$A$279,0)),"-")</f>
        <v>DSAR</v>
      </c>
      <c r="H31" s="41" t="str">
        <f aca="false">IFERROR(INDEX(WBS!$H$5:$H$279,MATCH($A31,WBS!$A$5:$A$279,0)),"-")</f>
        <v>P3</v>
      </c>
      <c r="I31" s="31" t="n">
        <f aca="false">IFERROR(INDEX(WBS!$U$5:$U$279,MATCH($A31,WBS!$A$5:$A$279,0)),0)</f>
        <v>22.1</v>
      </c>
      <c r="J31" s="7" t="str">
        <f aca="false">IF(ISNUMBER(MATCH($A31,WBS!$A$5:$A$279,0)),"✓","✗")</f>
        <v>✓</v>
      </c>
    </row>
    <row r="32" customFormat="false" ht="15" hidden="false" customHeight="false" outlineLevel="0" collapsed="false">
      <c r="A32" s="7" t="s">
        <v>1212</v>
      </c>
      <c r="B32" s="6" t="s">
        <v>5305</v>
      </c>
      <c r="C32" s="6" t="s">
        <v>1213</v>
      </c>
      <c r="D32" s="6" t="s">
        <v>1214</v>
      </c>
      <c r="E32" s="32" t="s">
        <v>265</v>
      </c>
      <c r="F32" s="34" t="s">
        <v>320</v>
      </c>
      <c r="G32" s="14" t="str">
        <f aca="false">IFERROR(INDEX(WBS!$B$5:$B$279,MATCH($A32,WBS!$A$5:$A$279,0)),"-")</f>
        <v>DSAR</v>
      </c>
      <c r="H32" s="41" t="str">
        <f aca="false">IFERROR(INDEX(WBS!$H$5:$H$279,MATCH($A32,WBS!$A$5:$A$279,0)),"-")</f>
        <v>P3</v>
      </c>
      <c r="I32" s="31" t="n">
        <f aca="false">IFERROR(INDEX(WBS!$U$5:$U$279,MATCH($A32,WBS!$A$5:$A$279,0)),0)</f>
        <v>11.8</v>
      </c>
      <c r="J32" s="7" t="str">
        <f aca="false">IF(ISNUMBER(MATCH($A32,WBS!$A$5:$A$279,0)),"✓","✗")</f>
        <v>✓</v>
      </c>
    </row>
    <row r="33" customFormat="false" ht="15" hidden="false" customHeight="false" outlineLevel="0" collapsed="false">
      <c r="A33" s="7" t="s">
        <v>878</v>
      </c>
      <c r="B33" s="6" t="s">
        <v>5305</v>
      </c>
      <c r="C33" s="6" t="s">
        <v>1159</v>
      </c>
      <c r="D33" s="6" t="s">
        <v>1160</v>
      </c>
      <c r="E33" s="29" t="s">
        <v>143</v>
      </c>
      <c r="F33" s="35" t="s">
        <v>386</v>
      </c>
      <c r="G33" s="14" t="str">
        <f aca="false">IFERROR(INDEX(WBS!$B$5:$B$279,MATCH($A33,WBS!$A$5:$A$279,0)),"-")</f>
        <v>DSAR</v>
      </c>
      <c r="H33" s="41" t="str">
        <f aca="false">IFERROR(INDEX(WBS!$H$5:$H$279,MATCH($A33,WBS!$A$5:$A$279,0)),"-")</f>
        <v>P1</v>
      </c>
      <c r="I33" s="31" t="n">
        <f aca="false">IFERROR(INDEX(WBS!$U$5:$U$279,MATCH($A33,WBS!$A$5:$A$279,0)),0)</f>
        <v>8.8</v>
      </c>
      <c r="J33" s="7" t="str">
        <f aca="false">IF(ISNUMBER(MATCH($A33,WBS!$A$5:$A$279,0)),"✓","✗")</f>
        <v>✓</v>
      </c>
    </row>
    <row r="34" customFormat="false" ht="15" hidden="false" customHeight="false" outlineLevel="0" collapsed="false">
      <c r="A34" s="7" t="s">
        <v>1220</v>
      </c>
      <c r="B34" s="6" t="s">
        <v>5305</v>
      </c>
      <c r="C34" s="6" t="s">
        <v>1221</v>
      </c>
      <c r="D34" s="6" t="s">
        <v>1222</v>
      </c>
      <c r="E34" s="32" t="s">
        <v>265</v>
      </c>
      <c r="F34" s="34" t="s">
        <v>320</v>
      </c>
      <c r="G34" s="14" t="str">
        <f aca="false">IFERROR(INDEX(WBS!$B$5:$B$279,MATCH($A34,WBS!$A$5:$A$279,0)),"-")</f>
        <v>DSAR</v>
      </c>
      <c r="H34" s="41" t="str">
        <f aca="false">IFERROR(INDEX(WBS!$H$5:$H$279,MATCH($A34,WBS!$A$5:$A$279,0)),"-")</f>
        <v>P3</v>
      </c>
      <c r="I34" s="31" t="n">
        <f aca="false">IFERROR(INDEX(WBS!$U$5:$U$279,MATCH($A34,WBS!$A$5:$A$279,0)),0)</f>
        <v>11.8</v>
      </c>
      <c r="J34" s="7" t="str">
        <f aca="false">IF(ISNUMBER(MATCH($A34,WBS!$A$5:$A$279,0)),"✓","✗")</f>
        <v>✓</v>
      </c>
    </row>
    <row r="35" customFormat="false" ht="15" hidden="false" customHeight="false" outlineLevel="0" collapsed="false">
      <c r="A35" s="7" t="s">
        <v>1165</v>
      </c>
      <c r="B35" s="6" t="s">
        <v>5305</v>
      </c>
      <c r="C35" s="6" t="s">
        <v>1166</v>
      </c>
      <c r="D35" s="6" t="s">
        <v>1167</v>
      </c>
      <c r="E35" s="29" t="s">
        <v>143</v>
      </c>
      <c r="F35" s="34" t="s">
        <v>320</v>
      </c>
      <c r="G35" s="14" t="str">
        <f aca="false">IFERROR(INDEX(WBS!$B$5:$B$279,MATCH($A35,WBS!$A$5:$A$279,0)),"-")</f>
        <v>DSAR</v>
      </c>
      <c r="H35" s="41" t="str">
        <f aca="false">IFERROR(INDEX(WBS!$H$5:$H$279,MATCH($A35,WBS!$A$5:$A$279,0)),"-")</f>
        <v>P1</v>
      </c>
      <c r="I35" s="31" t="n">
        <f aca="false">IFERROR(INDEX(WBS!$U$5:$U$279,MATCH($A35,WBS!$A$5:$A$279,0)),0)</f>
        <v>8.8</v>
      </c>
      <c r="J35" s="7" t="str">
        <f aca="false">IF(ISNUMBER(MATCH($A35,WBS!$A$5:$A$279,0)),"✓","✗")</f>
        <v>✓</v>
      </c>
    </row>
    <row r="36" customFormat="false" ht="15" hidden="false" customHeight="false" outlineLevel="0" collapsed="false">
      <c r="A36" s="7" t="s">
        <v>1171</v>
      </c>
      <c r="B36" s="6" t="s">
        <v>5305</v>
      </c>
      <c r="C36" s="6" t="s">
        <v>1172</v>
      </c>
      <c r="D36" s="6" t="s">
        <v>1173</v>
      </c>
      <c r="E36" s="29" t="s">
        <v>143</v>
      </c>
      <c r="F36" s="34" t="s">
        <v>320</v>
      </c>
      <c r="G36" s="14" t="str">
        <f aca="false">IFERROR(INDEX(WBS!$B$5:$B$279,MATCH($A36,WBS!$A$5:$A$279,0)),"-")</f>
        <v>DSAR</v>
      </c>
      <c r="H36" s="41" t="str">
        <f aca="false">IFERROR(INDEX(WBS!$H$5:$H$279,MATCH($A36,WBS!$A$5:$A$279,0)),"-")</f>
        <v>P1</v>
      </c>
      <c r="I36" s="31" t="n">
        <f aca="false">IFERROR(INDEX(WBS!$U$5:$U$279,MATCH($A36,WBS!$A$5:$A$279,0)),0)</f>
        <v>11.8</v>
      </c>
      <c r="J36" s="7" t="str">
        <f aca="false">IF(ISNUMBER(MATCH($A36,WBS!$A$5:$A$279,0)),"✓","✗")</f>
        <v>✓</v>
      </c>
    </row>
    <row r="37" customFormat="false" ht="15" hidden="false" customHeight="false" outlineLevel="0" collapsed="false">
      <c r="A37" s="7" t="s">
        <v>1179</v>
      </c>
      <c r="B37" s="6" t="s">
        <v>5305</v>
      </c>
      <c r="C37" s="6" t="s">
        <v>1180</v>
      </c>
      <c r="D37" s="6" t="s">
        <v>1181</v>
      </c>
      <c r="E37" s="29" t="s">
        <v>143</v>
      </c>
      <c r="F37" s="34" t="s">
        <v>320</v>
      </c>
      <c r="G37" s="14" t="str">
        <f aca="false">IFERROR(INDEX(WBS!$B$5:$B$279,MATCH($A37,WBS!$A$5:$A$279,0)),"-")</f>
        <v>DSAR</v>
      </c>
      <c r="H37" s="41" t="str">
        <f aca="false">IFERROR(INDEX(WBS!$H$5:$H$279,MATCH($A37,WBS!$A$5:$A$279,0)),"-")</f>
        <v>P1</v>
      </c>
      <c r="I37" s="31" t="n">
        <f aca="false">IFERROR(INDEX(WBS!$U$5:$U$279,MATCH($A37,WBS!$A$5:$A$279,0)),0)</f>
        <v>8.8</v>
      </c>
      <c r="J37" s="7" t="str">
        <f aca="false">IF(ISNUMBER(MATCH($A37,WBS!$A$5:$A$279,0)),"✓","✗")</f>
        <v>✓</v>
      </c>
    </row>
    <row r="38" customFormat="false" ht="15" hidden="false" customHeight="false" outlineLevel="0" collapsed="false">
      <c r="A38" s="7" t="s">
        <v>1228</v>
      </c>
      <c r="B38" s="6" t="s">
        <v>5305</v>
      </c>
      <c r="C38" s="6" t="s">
        <v>1229</v>
      </c>
      <c r="D38" s="6" t="s">
        <v>1230</v>
      </c>
      <c r="E38" s="32" t="s">
        <v>265</v>
      </c>
      <c r="F38" s="34" t="s">
        <v>320</v>
      </c>
      <c r="G38" s="14" t="str">
        <f aca="false">IFERROR(INDEX(WBS!$B$5:$B$279,MATCH($A38,WBS!$A$5:$A$279,0)),"-")</f>
        <v>DSAR</v>
      </c>
      <c r="H38" s="41" t="str">
        <f aca="false">IFERROR(INDEX(WBS!$H$5:$H$279,MATCH($A38,WBS!$A$5:$A$279,0)),"-")</f>
        <v>P3</v>
      </c>
      <c r="I38" s="31" t="n">
        <f aca="false">IFERROR(INDEX(WBS!$U$5:$U$279,MATCH($A38,WBS!$A$5:$A$279,0)),0)</f>
        <v>24.1</v>
      </c>
      <c r="J38" s="7" t="str">
        <f aca="false">IF(ISNUMBER(MATCH($A38,WBS!$A$5:$A$279,0)),"✓","✗")</f>
        <v>✓</v>
      </c>
    </row>
    <row r="39" customFormat="false" ht="15" hidden="false" customHeight="false" outlineLevel="0" collapsed="false">
      <c r="A39" s="7" t="s">
        <v>1186</v>
      </c>
      <c r="B39" s="6" t="s">
        <v>5305</v>
      </c>
      <c r="C39" s="6" t="s">
        <v>1187</v>
      </c>
      <c r="D39" s="6" t="s">
        <v>1188</v>
      </c>
      <c r="E39" s="29" t="s">
        <v>143</v>
      </c>
      <c r="F39" s="34" t="s">
        <v>320</v>
      </c>
      <c r="G39" s="14" t="str">
        <f aca="false">IFERROR(INDEX(WBS!$B$5:$B$279,MATCH($A39,WBS!$A$5:$A$279,0)),"-")</f>
        <v>DSAR</v>
      </c>
      <c r="H39" s="41" t="str">
        <f aca="false">IFERROR(INDEX(WBS!$H$5:$H$279,MATCH($A39,WBS!$A$5:$A$279,0)),"-")</f>
        <v>P1</v>
      </c>
      <c r="I39" s="31" t="n">
        <f aca="false">IFERROR(INDEX(WBS!$U$5:$U$279,MATCH($A39,WBS!$A$5:$A$279,0)),0)</f>
        <v>11.8</v>
      </c>
      <c r="J39" s="7" t="str">
        <f aca="false">IF(ISNUMBER(MATCH($A39,WBS!$A$5:$A$279,0)),"✓","✗")</f>
        <v>✓</v>
      </c>
    </row>
    <row r="40" customFormat="false" ht="15" hidden="false" customHeight="false" outlineLevel="0" collapsed="false">
      <c r="A40" s="7" t="s">
        <v>1193</v>
      </c>
      <c r="B40" s="6" t="s">
        <v>5305</v>
      </c>
      <c r="C40" s="6" t="s">
        <v>1194</v>
      </c>
      <c r="D40" s="6" t="s">
        <v>1195</v>
      </c>
      <c r="E40" s="29" t="s">
        <v>143</v>
      </c>
      <c r="F40" s="34" t="s">
        <v>320</v>
      </c>
      <c r="G40" s="14" t="str">
        <f aca="false">IFERROR(INDEX(WBS!$B$5:$B$279,MATCH($A40,WBS!$A$5:$A$279,0)),"-")</f>
        <v>DSAR</v>
      </c>
      <c r="H40" s="41" t="str">
        <f aca="false">IFERROR(INDEX(WBS!$H$5:$H$279,MATCH($A40,WBS!$A$5:$A$279,0)),"-")</f>
        <v>P1</v>
      </c>
      <c r="I40" s="31" t="n">
        <f aca="false">IFERROR(INDEX(WBS!$U$5:$U$279,MATCH($A40,WBS!$A$5:$A$279,0)),0)</f>
        <v>13.8</v>
      </c>
      <c r="J40" s="7" t="str">
        <f aca="false">IF(ISNUMBER(MATCH($A40,WBS!$A$5:$A$279,0)),"✓","✗")</f>
        <v>✓</v>
      </c>
    </row>
    <row r="41" customFormat="false" ht="15" hidden="false" customHeight="false" outlineLevel="0" collapsed="false">
      <c r="A41" s="7" t="s">
        <v>1236</v>
      </c>
      <c r="B41" s="6" t="s">
        <v>5305</v>
      </c>
      <c r="C41" s="6" t="s">
        <v>1237</v>
      </c>
      <c r="D41" s="6" t="s">
        <v>1238</v>
      </c>
      <c r="E41" s="32" t="s">
        <v>265</v>
      </c>
      <c r="F41" s="34" t="s">
        <v>320</v>
      </c>
      <c r="G41" s="14" t="str">
        <f aca="false">IFERROR(INDEX(WBS!$B$5:$B$279,MATCH($A41,WBS!$A$5:$A$279,0)),"-")</f>
        <v>DSAR</v>
      </c>
      <c r="H41" s="41" t="str">
        <f aca="false">IFERROR(INDEX(WBS!$H$5:$H$279,MATCH($A41,WBS!$A$5:$A$279,0)),"-")</f>
        <v>P3</v>
      </c>
      <c r="I41" s="31" t="n">
        <f aca="false">IFERROR(INDEX(WBS!$U$5:$U$279,MATCH($A41,WBS!$A$5:$A$279,0)),0)</f>
        <v>16.7</v>
      </c>
      <c r="J41" s="7" t="str">
        <f aca="false">IF(ISNUMBER(MATCH($A41,WBS!$A$5:$A$279,0)),"✓","✗")</f>
        <v>✓</v>
      </c>
    </row>
    <row r="42" customFormat="false" ht="15" hidden="false" customHeight="false" outlineLevel="0" collapsed="false">
      <c r="A42" s="7" t="s">
        <v>1243</v>
      </c>
      <c r="B42" s="6" t="s">
        <v>5305</v>
      </c>
      <c r="C42" s="6" t="s">
        <v>1244</v>
      </c>
      <c r="D42" s="6" t="s">
        <v>1245</v>
      </c>
      <c r="E42" s="32" t="s">
        <v>265</v>
      </c>
      <c r="F42" s="34" t="s">
        <v>320</v>
      </c>
      <c r="G42" s="14" t="str">
        <f aca="false">IFERROR(INDEX(WBS!$B$5:$B$279,MATCH($A42,WBS!$A$5:$A$279,0)),"-")</f>
        <v>DSAR</v>
      </c>
      <c r="H42" s="41" t="str">
        <f aca="false">IFERROR(INDEX(WBS!$H$5:$H$279,MATCH($A42,WBS!$A$5:$A$279,0)),"-")</f>
        <v>P3</v>
      </c>
      <c r="I42" s="31" t="n">
        <f aca="false">IFERROR(INDEX(WBS!$U$5:$U$279,MATCH($A42,WBS!$A$5:$A$279,0)),0)</f>
        <v>16.7</v>
      </c>
      <c r="J42" s="7" t="str">
        <f aca="false">IF(ISNUMBER(MATCH($A42,WBS!$A$5:$A$279,0)),"✓","✗")</f>
        <v>✓</v>
      </c>
    </row>
    <row r="43" customFormat="false" ht="15" hidden="false" customHeight="false" outlineLevel="0" collapsed="false">
      <c r="A43" s="7" t="s">
        <v>1249</v>
      </c>
      <c r="B43" s="6" t="s">
        <v>5305</v>
      </c>
      <c r="C43" s="6" t="s">
        <v>1250</v>
      </c>
      <c r="D43" s="6" t="s">
        <v>1251</v>
      </c>
      <c r="E43" s="32" t="s">
        <v>265</v>
      </c>
      <c r="F43" s="34" t="s">
        <v>320</v>
      </c>
      <c r="G43" s="14" t="str">
        <f aca="false">IFERROR(INDEX(WBS!$B$5:$B$279,MATCH($A43,WBS!$A$5:$A$279,0)),"-")</f>
        <v>DSAR</v>
      </c>
      <c r="H43" s="41" t="str">
        <f aca="false">IFERROR(INDEX(WBS!$H$5:$H$279,MATCH($A43,WBS!$A$5:$A$279,0)),"-")</f>
        <v>P3</v>
      </c>
      <c r="I43" s="31" t="n">
        <f aca="false">IFERROR(INDEX(WBS!$U$5:$U$279,MATCH($A43,WBS!$A$5:$A$279,0)),0)</f>
        <v>5.9</v>
      </c>
      <c r="J43" s="7" t="str">
        <f aca="false">IF(ISNUMBER(MATCH($A43,WBS!$A$5:$A$279,0)),"✓","✗")</f>
        <v>✓</v>
      </c>
    </row>
    <row r="44" customFormat="false" ht="15" hidden="false" customHeight="false" outlineLevel="0" collapsed="false">
      <c r="A44" s="7" t="s">
        <v>803</v>
      </c>
      <c r="B44" s="6" t="s">
        <v>5306</v>
      </c>
      <c r="C44" s="6" t="s">
        <v>806</v>
      </c>
      <c r="D44" s="6" t="s">
        <v>807</v>
      </c>
      <c r="E44" s="29" t="s">
        <v>143</v>
      </c>
      <c r="F44" s="34" t="s">
        <v>320</v>
      </c>
      <c r="G44" s="14" t="str">
        <f aca="false">IFERROR(INDEX(WBS!$B$5:$B$279,MATCH($A44,WBS!$A$5:$A$279,0)),"-")</f>
        <v>ROPA</v>
      </c>
      <c r="H44" s="41" t="str">
        <f aca="false">IFERROR(INDEX(WBS!$H$5:$H$279,MATCH($A44,WBS!$A$5:$A$279,0)),"-")</f>
        <v>P1</v>
      </c>
      <c r="I44" s="31" t="n">
        <f aca="false">IFERROR(INDEX(WBS!$U$5:$U$279,MATCH($A44,WBS!$A$5:$A$279,0)),0)</f>
        <v>16.7</v>
      </c>
      <c r="J44" s="7" t="str">
        <f aca="false">IF(ISNUMBER(MATCH($A44,WBS!$A$5:$A$279,0)),"✓","✗")</f>
        <v>✓</v>
      </c>
    </row>
    <row r="45" customFormat="false" ht="15" hidden="false" customHeight="false" outlineLevel="0" collapsed="false">
      <c r="A45" s="7" t="s">
        <v>812</v>
      </c>
      <c r="B45" s="6" t="s">
        <v>5306</v>
      </c>
      <c r="C45" s="6" t="s">
        <v>813</v>
      </c>
      <c r="D45" s="6" t="s">
        <v>814</v>
      </c>
      <c r="E45" s="29" t="s">
        <v>143</v>
      </c>
      <c r="F45" s="34" t="s">
        <v>320</v>
      </c>
      <c r="G45" s="14" t="str">
        <f aca="false">IFERROR(INDEX(WBS!$B$5:$B$279,MATCH($A45,WBS!$A$5:$A$279,0)),"-")</f>
        <v>ROPA</v>
      </c>
      <c r="H45" s="41" t="str">
        <f aca="false">IFERROR(INDEX(WBS!$H$5:$H$279,MATCH($A45,WBS!$A$5:$A$279,0)),"-")</f>
        <v>P1</v>
      </c>
      <c r="I45" s="31" t="n">
        <f aca="false">IFERROR(INDEX(WBS!$U$5:$U$279,MATCH($A45,WBS!$A$5:$A$279,0)),0)</f>
        <v>16.7</v>
      </c>
      <c r="J45" s="7" t="str">
        <f aca="false">IF(ISNUMBER(MATCH($A45,WBS!$A$5:$A$279,0)),"✓","✗")</f>
        <v>✓</v>
      </c>
    </row>
    <row r="46" customFormat="false" ht="15" hidden="false" customHeight="false" outlineLevel="0" collapsed="false">
      <c r="A46" s="7" t="s">
        <v>819</v>
      </c>
      <c r="B46" s="6" t="s">
        <v>5306</v>
      </c>
      <c r="C46" s="6" t="s">
        <v>820</v>
      </c>
      <c r="D46" s="6" t="s">
        <v>821</v>
      </c>
      <c r="E46" s="29" t="s">
        <v>143</v>
      </c>
      <c r="F46" s="34" t="s">
        <v>320</v>
      </c>
      <c r="G46" s="14" t="str">
        <f aca="false">IFERROR(INDEX(WBS!$B$5:$B$279,MATCH($A46,WBS!$A$5:$A$279,0)),"-")</f>
        <v>ROPA</v>
      </c>
      <c r="H46" s="41" t="str">
        <f aca="false">IFERROR(INDEX(WBS!$H$5:$H$279,MATCH($A46,WBS!$A$5:$A$279,0)),"-")</f>
        <v>P1</v>
      </c>
      <c r="I46" s="31" t="n">
        <f aca="false">IFERROR(INDEX(WBS!$U$5:$U$279,MATCH($A46,WBS!$A$5:$A$279,0)),0)</f>
        <v>33.4</v>
      </c>
      <c r="J46" s="7" t="str">
        <f aca="false">IF(ISNUMBER(MATCH($A46,WBS!$A$5:$A$279,0)),"✓","✗")</f>
        <v>✓</v>
      </c>
    </row>
    <row r="47" customFormat="false" ht="15" hidden="false" customHeight="false" outlineLevel="0" collapsed="false">
      <c r="A47" s="7" t="s">
        <v>826</v>
      </c>
      <c r="B47" s="6" t="s">
        <v>5306</v>
      </c>
      <c r="C47" s="6" t="s">
        <v>827</v>
      </c>
      <c r="D47" s="6" t="s">
        <v>828</v>
      </c>
      <c r="E47" s="29" t="s">
        <v>143</v>
      </c>
      <c r="F47" s="35" t="s">
        <v>386</v>
      </c>
      <c r="G47" s="14" t="str">
        <f aca="false">IFERROR(INDEX(WBS!$B$5:$B$279,MATCH($A47,WBS!$A$5:$A$279,0)),"-")</f>
        <v>ROPA</v>
      </c>
      <c r="H47" s="41" t="str">
        <f aca="false">IFERROR(INDEX(WBS!$H$5:$H$279,MATCH($A47,WBS!$A$5:$A$279,0)),"-")</f>
        <v>P1</v>
      </c>
      <c r="I47" s="31" t="n">
        <f aca="false">IFERROR(INDEX(WBS!$U$5:$U$279,MATCH($A47,WBS!$A$5:$A$279,0)),0)</f>
        <v>14.7</v>
      </c>
      <c r="J47" s="7" t="str">
        <f aca="false">IF(ISNUMBER(MATCH($A47,WBS!$A$5:$A$279,0)),"✓","✗")</f>
        <v>✓</v>
      </c>
    </row>
    <row r="48" customFormat="false" ht="15" hidden="false" customHeight="false" outlineLevel="0" collapsed="false">
      <c r="A48" s="7" t="s">
        <v>833</v>
      </c>
      <c r="B48" s="6" t="s">
        <v>5306</v>
      </c>
      <c r="C48" s="6" t="s">
        <v>834</v>
      </c>
      <c r="D48" s="6" t="s">
        <v>835</v>
      </c>
      <c r="E48" s="29" t="s">
        <v>143</v>
      </c>
      <c r="F48" s="35" t="s">
        <v>386</v>
      </c>
      <c r="G48" s="14" t="str">
        <f aca="false">IFERROR(INDEX(WBS!$B$5:$B$279,MATCH($A48,WBS!$A$5:$A$279,0)),"-")</f>
        <v>ROPA</v>
      </c>
      <c r="H48" s="41" t="str">
        <f aca="false">IFERROR(INDEX(WBS!$H$5:$H$279,MATCH($A48,WBS!$A$5:$A$279,0)),"-")</f>
        <v>P1</v>
      </c>
      <c r="I48" s="31" t="n">
        <f aca="false">IFERROR(INDEX(WBS!$U$5:$U$279,MATCH($A48,WBS!$A$5:$A$279,0)),0)</f>
        <v>8.8</v>
      </c>
      <c r="J48" s="7" t="str">
        <f aca="false">IF(ISNUMBER(MATCH($A48,WBS!$A$5:$A$279,0)),"✓","✗")</f>
        <v>✓</v>
      </c>
    </row>
    <row r="49" customFormat="false" ht="15" hidden="false" customHeight="false" outlineLevel="0" collapsed="false">
      <c r="A49" s="7" t="s">
        <v>840</v>
      </c>
      <c r="B49" s="6" t="s">
        <v>5306</v>
      </c>
      <c r="C49" s="6" t="s">
        <v>841</v>
      </c>
      <c r="D49" s="6" t="s">
        <v>842</v>
      </c>
      <c r="E49" s="29" t="s">
        <v>143</v>
      </c>
      <c r="F49" s="35" t="s">
        <v>386</v>
      </c>
      <c r="G49" s="14" t="str">
        <f aca="false">IFERROR(INDEX(WBS!$B$5:$B$279,MATCH($A49,WBS!$A$5:$A$279,0)),"-")</f>
        <v>ROPA</v>
      </c>
      <c r="H49" s="41" t="str">
        <f aca="false">IFERROR(INDEX(WBS!$H$5:$H$279,MATCH($A49,WBS!$A$5:$A$279,0)),"-")</f>
        <v>P1</v>
      </c>
      <c r="I49" s="31" t="n">
        <f aca="false">IFERROR(INDEX(WBS!$U$5:$U$279,MATCH($A49,WBS!$A$5:$A$279,0)),0)</f>
        <v>11.8</v>
      </c>
      <c r="J49" s="7" t="str">
        <f aca="false">IF(ISNUMBER(MATCH($A49,WBS!$A$5:$A$279,0)),"✓","✗")</f>
        <v>✓</v>
      </c>
    </row>
    <row r="50" customFormat="false" ht="15" hidden="false" customHeight="false" outlineLevel="0" collapsed="false">
      <c r="A50" s="7" t="s">
        <v>848</v>
      </c>
      <c r="B50" s="6" t="s">
        <v>5306</v>
      </c>
      <c r="C50" s="6" t="s">
        <v>849</v>
      </c>
      <c r="D50" s="6" t="s">
        <v>850</v>
      </c>
      <c r="E50" s="29" t="s">
        <v>143</v>
      </c>
      <c r="F50" s="35" t="s">
        <v>386</v>
      </c>
      <c r="G50" s="14" t="str">
        <f aca="false">IFERROR(INDEX(WBS!$B$5:$B$279,MATCH($A50,WBS!$A$5:$A$279,0)),"-")</f>
        <v>ROPA</v>
      </c>
      <c r="H50" s="41" t="str">
        <f aca="false">IFERROR(INDEX(WBS!$H$5:$H$279,MATCH($A50,WBS!$A$5:$A$279,0)),"-")</f>
        <v>P1</v>
      </c>
      <c r="I50" s="31" t="n">
        <f aca="false">IFERROR(INDEX(WBS!$U$5:$U$279,MATCH($A50,WBS!$A$5:$A$279,0)),0)</f>
        <v>8.8</v>
      </c>
      <c r="J50" s="7" t="str">
        <f aca="false">IF(ISNUMBER(MATCH($A50,WBS!$A$5:$A$279,0)),"✓","✗")</f>
        <v>✓</v>
      </c>
    </row>
    <row r="51" customFormat="false" ht="15" hidden="false" customHeight="false" outlineLevel="0" collapsed="false">
      <c r="A51" s="7" t="s">
        <v>855</v>
      </c>
      <c r="B51" s="6" t="s">
        <v>5306</v>
      </c>
      <c r="C51" s="6" t="s">
        <v>856</v>
      </c>
      <c r="D51" s="6" t="s">
        <v>857</v>
      </c>
      <c r="E51" s="29" t="s">
        <v>143</v>
      </c>
      <c r="F51" s="34" t="s">
        <v>320</v>
      </c>
      <c r="G51" s="14" t="str">
        <f aca="false">IFERROR(INDEX(WBS!$B$5:$B$279,MATCH($A51,WBS!$A$5:$A$279,0)),"-")</f>
        <v>ROPA</v>
      </c>
      <c r="H51" s="41" t="str">
        <f aca="false">IFERROR(INDEX(WBS!$H$5:$H$279,MATCH($A51,WBS!$A$5:$A$279,0)),"-")</f>
        <v>P1</v>
      </c>
      <c r="I51" s="31" t="n">
        <f aca="false">IFERROR(INDEX(WBS!$U$5:$U$279,MATCH($A51,WBS!$A$5:$A$279,0)),0)</f>
        <v>14.7</v>
      </c>
      <c r="J51" s="7" t="str">
        <f aca="false">IF(ISNUMBER(MATCH($A51,WBS!$A$5:$A$279,0)),"✓","✗")</f>
        <v>✓</v>
      </c>
    </row>
    <row r="52" customFormat="false" ht="15" hidden="false" customHeight="false" outlineLevel="0" collapsed="false">
      <c r="A52" s="7" t="s">
        <v>863</v>
      </c>
      <c r="B52" s="6" t="s">
        <v>5306</v>
      </c>
      <c r="C52" s="6" t="s">
        <v>864</v>
      </c>
      <c r="D52" s="6" t="s">
        <v>865</v>
      </c>
      <c r="E52" s="29" t="s">
        <v>143</v>
      </c>
      <c r="F52" s="35" t="s">
        <v>386</v>
      </c>
      <c r="G52" s="14" t="str">
        <f aca="false">IFERROR(INDEX(WBS!$B$5:$B$279,MATCH($A52,WBS!$A$5:$A$279,0)),"-")</f>
        <v>ROPA</v>
      </c>
      <c r="H52" s="41" t="str">
        <f aca="false">IFERROR(INDEX(WBS!$H$5:$H$279,MATCH($A52,WBS!$A$5:$A$279,0)),"-")</f>
        <v>P1</v>
      </c>
      <c r="I52" s="31" t="n">
        <f aca="false">IFERROR(INDEX(WBS!$U$5:$U$279,MATCH($A52,WBS!$A$5:$A$279,0)),0)</f>
        <v>8.8</v>
      </c>
      <c r="J52" s="7" t="str">
        <f aca="false">IF(ISNUMBER(MATCH($A52,WBS!$A$5:$A$279,0)),"✓","✗")</f>
        <v>✓</v>
      </c>
    </row>
    <row r="53" customFormat="false" ht="15" hidden="false" customHeight="false" outlineLevel="0" collapsed="false">
      <c r="A53" s="7" t="s">
        <v>871</v>
      </c>
      <c r="B53" s="6" t="s">
        <v>5306</v>
      </c>
      <c r="C53" s="6" t="s">
        <v>872</v>
      </c>
      <c r="D53" s="6" t="s">
        <v>873</v>
      </c>
      <c r="E53" s="29" t="s">
        <v>143</v>
      </c>
      <c r="F53" s="36" t="s">
        <v>396</v>
      </c>
      <c r="G53" s="14" t="str">
        <f aca="false">IFERROR(INDEX(WBS!$B$5:$B$279,MATCH($A53,WBS!$A$5:$A$279,0)),"-")</f>
        <v>ROPA</v>
      </c>
      <c r="H53" s="41" t="str">
        <f aca="false">IFERROR(INDEX(WBS!$H$5:$H$279,MATCH($A53,WBS!$A$5:$A$279,0)),"-")</f>
        <v>P1</v>
      </c>
      <c r="I53" s="31" t="n">
        <f aca="false">IFERROR(INDEX(WBS!$U$5:$U$279,MATCH($A53,WBS!$A$5:$A$279,0)),0)</f>
        <v>8.8</v>
      </c>
      <c r="J53" s="7" t="str">
        <f aca="false">IF(ISNUMBER(MATCH($A53,WBS!$A$5:$A$279,0)),"✓","✗")</f>
        <v>✓</v>
      </c>
    </row>
    <row r="54" customFormat="false" ht="15" hidden="false" customHeight="false" outlineLevel="0" collapsed="false">
      <c r="A54" s="7" t="s">
        <v>898</v>
      </c>
      <c r="B54" s="6" t="s">
        <v>5306</v>
      </c>
      <c r="C54" s="6" t="s">
        <v>899</v>
      </c>
      <c r="D54" s="6" t="s">
        <v>900</v>
      </c>
      <c r="E54" s="32" t="s">
        <v>265</v>
      </c>
      <c r="F54" s="34" t="s">
        <v>320</v>
      </c>
      <c r="G54" s="14" t="str">
        <f aca="false">IFERROR(INDEX(WBS!$B$5:$B$279,MATCH($A54,WBS!$A$5:$A$279,0)),"-")</f>
        <v>ROPA</v>
      </c>
      <c r="H54" s="41" t="str">
        <f aca="false">IFERROR(INDEX(WBS!$H$5:$H$279,MATCH($A54,WBS!$A$5:$A$279,0)),"-")</f>
        <v>P3</v>
      </c>
      <c r="I54" s="31" t="n">
        <f aca="false">IFERROR(INDEX(WBS!$U$5:$U$279,MATCH($A54,WBS!$A$5:$A$279,0)),0)</f>
        <v>11.8</v>
      </c>
      <c r="J54" s="7" t="str">
        <f aca="false">IF(ISNUMBER(MATCH($A54,WBS!$A$5:$A$279,0)),"✓","✗")</f>
        <v>✓</v>
      </c>
    </row>
    <row r="55" customFormat="false" ht="15" hidden="false" customHeight="false" outlineLevel="0" collapsed="false">
      <c r="A55" s="7" t="s">
        <v>905</v>
      </c>
      <c r="B55" s="6" t="s">
        <v>5306</v>
      </c>
      <c r="C55" s="6" t="s">
        <v>906</v>
      </c>
      <c r="D55" s="6" t="s">
        <v>907</v>
      </c>
      <c r="E55" s="32" t="s">
        <v>265</v>
      </c>
      <c r="F55" s="35" t="s">
        <v>386</v>
      </c>
      <c r="G55" s="14" t="str">
        <f aca="false">IFERROR(INDEX(WBS!$B$5:$B$279,MATCH($A55,WBS!$A$5:$A$279,0)),"-")</f>
        <v>ROPA</v>
      </c>
      <c r="H55" s="41" t="str">
        <f aca="false">IFERROR(INDEX(WBS!$H$5:$H$279,MATCH($A55,WBS!$A$5:$A$279,0)),"-")</f>
        <v>P3</v>
      </c>
      <c r="I55" s="31" t="n">
        <f aca="false">IFERROR(INDEX(WBS!$U$5:$U$279,MATCH($A55,WBS!$A$5:$A$279,0)),0)</f>
        <v>5.9</v>
      </c>
      <c r="J55" s="7" t="str">
        <f aca="false">IF(ISNUMBER(MATCH($A55,WBS!$A$5:$A$279,0)),"✓","✗")</f>
        <v>✓</v>
      </c>
    </row>
    <row r="56" customFormat="false" ht="15" hidden="false" customHeight="false" outlineLevel="0" collapsed="false">
      <c r="A56" s="7" t="s">
        <v>879</v>
      </c>
      <c r="B56" s="6" t="s">
        <v>5306</v>
      </c>
      <c r="C56" s="6" t="s">
        <v>193</v>
      </c>
      <c r="D56" s="6" t="s">
        <v>880</v>
      </c>
      <c r="E56" s="32" t="s">
        <v>265</v>
      </c>
      <c r="F56" s="34" t="s">
        <v>320</v>
      </c>
      <c r="G56" s="14" t="str">
        <f aca="false">IFERROR(INDEX(WBS!$B$5:$B$279,MATCH($A56,WBS!$A$5:$A$279,0)),"-")</f>
        <v>ROPA</v>
      </c>
      <c r="H56" s="41" t="str">
        <f aca="false">IFERROR(INDEX(WBS!$H$5:$H$279,MATCH($A56,WBS!$A$5:$A$279,0)),"-")</f>
        <v>P1</v>
      </c>
      <c r="I56" s="31" t="n">
        <f aca="false">IFERROR(INDEX(WBS!$U$5:$U$279,MATCH($A56,WBS!$A$5:$A$279,0)),0)</f>
        <v>8.8</v>
      </c>
      <c r="J56" s="7" t="str">
        <f aca="false">IF(ISNUMBER(MATCH($A56,WBS!$A$5:$A$279,0)),"✓","✗")</f>
        <v>✓</v>
      </c>
    </row>
    <row r="57" customFormat="false" ht="15" hidden="false" customHeight="false" outlineLevel="0" collapsed="false">
      <c r="A57" s="7" t="s">
        <v>911</v>
      </c>
      <c r="B57" s="6" t="s">
        <v>5306</v>
      </c>
      <c r="C57" s="6" t="s">
        <v>912</v>
      </c>
      <c r="D57" s="6" t="s">
        <v>913</v>
      </c>
      <c r="E57" s="32" t="s">
        <v>265</v>
      </c>
      <c r="F57" s="35" t="s">
        <v>386</v>
      </c>
      <c r="G57" s="14" t="str">
        <f aca="false">IFERROR(INDEX(WBS!$B$5:$B$279,MATCH($A57,WBS!$A$5:$A$279,0)),"-")</f>
        <v>ROPA</v>
      </c>
      <c r="H57" s="41" t="str">
        <f aca="false">IFERROR(INDEX(WBS!$H$5:$H$279,MATCH($A57,WBS!$A$5:$A$279,0)),"-")</f>
        <v>P3</v>
      </c>
      <c r="I57" s="31" t="n">
        <f aca="false">IFERROR(INDEX(WBS!$U$5:$U$279,MATCH($A57,WBS!$A$5:$A$279,0)),0)</f>
        <v>5.9</v>
      </c>
      <c r="J57" s="7" t="str">
        <f aca="false">IF(ISNUMBER(MATCH($A57,WBS!$A$5:$A$279,0)),"✓","✗")</f>
        <v>✓</v>
      </c>
    </row>
    <row r="58" customFormat="false" ht="15" hidden="false" customHeight="false" outlineLevel="0" collapsed="false">
      <c r="A58" s="7" t="s">
        <v>917</v>
      </c>
      <c r="B58" s="6" t="s">
        <v>5306</v>
      </c>
      <c r="C58" s="6" t="s">
        <v>918</v>
      </c>
      <c r="D58" s="6" t="s">
        <v>786</v>
      </c>
      <c r="E58" s="32" t="s">
        <v>265</v>
      </c>
      <c r="F58" s="34" t="s">
        <v>320</v>
      </c>
      <c r="G58" s="14" t="str">
        <f aca="false">IFERROR(INDEX(WBS!$B$5:$B$279,MATCH($A58,WBS!$A$5:$A$279,0)),"-")</f>
        <v>ROPA</v>
      </c>
      <c r="H58" s="41" t="str">
        <f aca="false">IFERROR(INDEX(WBS!$H$5:$H$279,MATCH($A58,WBS!$A$5:$A$279,0)),"-")</f>
        <v>P3</v>
      </c>
      <c r="I58" s="31" t="n">
        <f aca="false">IFERROR(INDEX(WBS!$U$5:$U$279,MATCH($A58,WBS!$A$5:$A$279,0)),0)</f>
        <v>5.9</v>
      </c>
      <c r="J58" s="7" t="str">
        <f aca="false">IF(ISNUMBER(MATCH($A58,WBS!$A$5:$A$279,0)),"✓","✗")</f>
        <v>✓</v>
      </c>
    </row>
    <row r="59" customFormat="false" ht="15" hidden="false" customHeight="false" outlineLevel="0" collapsed="false">
      <c r="A59" s="7" t="s">
        <v>885</v>
      </c>
      <c r="B59" s="6" t="s">
        <v>5306</v>
      </c>
      <c r="C59" s="6" t="s">
        <v>886</v>
      </c>
      <c r="D59" s="6" t="s">
        <v>887</v>
      </c>
      <c r="E59" s="29" t="s">
        <v>143</v>
      </c>
      <c r="F59" s="34" t="s">
        <v>320</v>
      </c>
      <c r="G59" s="14" t="str">
        <f aca="false">IFERROR(INDEX(WBS!$B$5:$B$279,MATCH($A59,WBS!$A$5:$A$279,0)),"-")</f>
        <v>ROPA</v>
      </c>
      <c r="H59" s="41" t="str">
        <f aca="false">IFERROR(INDEX(WBS!$H$5:$H$279,MATCH($A59,WBS!$A$5:$A$279,0)),"-")</f>
        <v>P1</v>
      </c>
      <c r="I59" s="31" t="n">
        <f aca="false">IFERROR(INDEX(WBS!$U$5:$U$279,MATCH($A59,WBS!$A$5:$A$279,0)),0)</f>
        <v>11.8</v>
      </c>
      <c r="J59" s="7" t="str">
        <f aca="false">IF(ISNUMBER(MATCH($A59,WBS!$A$5:$A$279,0)),"✓","✗")</f>
        <v>✓</v>
      </c>
    </row>
    <row r="60" customFormat="false" ht="15" hidden="false" customHeight="false" outlineLevel="0" collapsed="false">
      <c r="A60" s="7" t="s">
        <v>922</v>
      </c>
      <c r="B60" s="6" t="s">
        <v>5306</v>
      </c>
      <c r="C60" s="6" t="s">
        <v>923</v>
      </c>
      <c r="D60" s="6" t="s">
        <v>924</v>
      </c>
      <c r="E60" s="32" t="s">
        <v>265</v>
      </c>
      <c r="F60" s="34" t="s">
        <v>320</v>
      </c>
      <c r="G60" s="14" t="str">
        <f aca="false">IFERROR(INDEX(WBS!$B$5:$B$279,MATCH($A60,WBS!$A$5:$A$279,0)),"-")</f>
        <v>ROPA</v>
      </c>
      <c r="H60" s="41" t="str">
        <f aca="false">IFERROR(INDEX(WBS!$H$5:$H$279,MATCH($A60,WBS!$A$5:$A$279,0)),"-")</f>
        <v>P3</v>
      </c>
      <c r="I60" s="31" t="n">
        <f aca="false">IFERROR(INDEX(WBS!$U$5:$U$279,MATCH($A60,WBS!$A$5:$A$279,0)),0)</f>
        <v>13.8</v>
      </c>
      <c r="J60" s="7" t="str">
        <f aca="false">IF(ISNUMBER(MATCH($A60,WBS!$A$5:$A$279,0)),"✓","✗")</f>
        <v>✓</v>
      </c>
    </row>
    <row r="61" customFormat="false" ht="15" hidden="false" customHeight="false" outlineLevel="0" collapsed="false">
      <c r="A61" s="7" t="s">
        <v>891</v>
      </c>
      <c r="B61" s="6" t="s">
        <v>5306</v>
      </c>
      <c r="C61" s="6" t="s">
        <v>892</v>
      </c>
      <c r="D61" s="6" t="s">
        <v>640</v>
      </c>
      <c r="E61" s="32" t="s">
        <v>265</v>
      </c>
      <c r="F61" s="34" t="s">
        <v>320</v>
      </c>
      <c r="G61" s="14" t="str">
        <f aca="false">IFERROR(INDEX(WBS!$B$5:$B$279,MATCH($A61,WBS!$A$5:$A$279,0)),"-")</f>
        <v>ROPA</v>
      </c>
      <c r="H61" s="41" t="str">
        <f aca="false">IFERROR(INDEX(WBS!$H$5:$H$279,MATCH($A61,WBS!$A$5:$A$279,0)),"-")</f>
        <v>P1</v>
      </c>
      <c r="I61" s="31" t="n">
        <f aca="false">IFERROR(INDEX(WBS!$U$5:$U$279,MATCH($A61,WBS!$A$5:$A$279,0)),0)</f>
        <v>11.8</v>
      </c>
      <c r="J61" s="7" t="str">
        <f aca="false">IF(ISNUMBER(MATCH($A61,WBS!$A$5:$A$279,0)),"✓","✗")</f>
        <v>✓</v>
      </c>
    </row>
    <row r="62" customFormat="false" ht="15" hidden="false" customHeight="false" outlineLevel="0" collapsed="false">
      <c r="A62" s="7" t="s">
        <v>928</v>
      </c>
      <c r="B62" s="6" t="s">
        <v>5306</v>
      </c>
      <c r="C62" s="6" t="s">
        <v>929</v>
      </c>
      <c r="D62" s="6" t="s">
        <v>930</v>
      </c>
      <c r="E62" s="32" t="s">
        <v>265</v>
      </c>
      <c r="F62" s="34" t="s">
        <v>320</v>
      </c>
      <c r="G62" s="14" t="str">
        <f aca="false">IFERROR(INDEX(WBS!$B$5:$B$279,MATCH($A62,WBS!$A$5:$A$279,0)),"-")</f>
        <v>ROPA</v>
      </c>
      <c r="H62" s="41" t="str">
        <f aca="false">IFERROR(INDEX(WBS!$H$5:$H$279,MATCH($A62,WBS!$A$5:$A$279,0)),"-")</f>
        <v>P3</v>
      </c>
      <c r="I62" s="31" t="n">
        <f aca="false">IFERROR(INDEX(WBS!$U$5:$U$279,MATCH($A62,WBS!$A$5:$A$279,0)),0)</f>
        <v>11.8</v>
      </c>
      <c r="J62" s="7" t="str">
        <f aca="false">IF(ISNUMBER(MATCH($A62,WBS!$A$5:$A$279,0)),"✓","✗")</f>
        <v>✓</v>
      </c>
    </row>
    <row r="63" customFormat="false" ht="15" hidden="false" customHeight="false" outlineLevel="0" collapsed="false">
      <c r="A63" s="7" t="s">
        <v>934</v>
      </c>
      <c r="B63" s="6" t="s">
        <v>5306</v>
      </c>
      <c r="C63" s="6" t="s">
        <v>935</v>
      </c>
      <c r="D63" s="6" t="s">
        <v>936</v>
      </c>
      <c r="E63" s="33" t="s">
        <v>286</v>
      </c>
      <c r="F63" s="36" t="s">
        <v>396</v>
      </c>
      <c r="G63" s="14" t="str">
        <f aca="false">IFERROR(INDEX(WBS!$B$5:$B$279,MATCH($A63,WBS!$A$5:$A$279,0)),"-")</f>
        <v>ROPA</v>
      </c>
      <c r="H63" s="41" t="str">
        <f aca="false">IFERROR(INDEX(WBS!$H$5:$H$279,MATCH($A63,WBS!$A$5:$A$279,0)),"-")</f>
        <v>P4</v>
      </c>
      <c r="I63" s="31" t="n">
        <f aca="false">IFERROR(INDEX(WBS!$U$5:$U$279,MATCH($A63,WBS!$A$5:$A$279,0)),0)</f>
        <v>8.8</v>
      </c>
      <c r="J63" s="7" t="str">
        <f aca="false">IF(ISNUMBER(MATCH($A63,WBS!$A$5:$A$279,0)),"✓","✗")</f>
        <v>✓</v>
      </c>
    </row>
    <row r="64" customFormat="false" ht="15" hidden="false" customHeight="false" outlineLevel="0" collapsed="false">
      <c r="A64" s="7" t="s">
        <v>941</v>
      </c>
      <c r="B64" s="6" t="s">
        <v>5307</v>
      </c>
      <c r="C64" s="6" t="s">
        <v>944</v>
      </c>
      <c r="D64" s="6" t="s">
        <v>945</v>
      </c>
      <c r="E64" s="29" t="s">
        <v>143</v>
      </c>
      <c r="F64" s="35" t="s">
        <v>386</v>
      </c>
      <c r="G64" s="14" t="str">
        <f aca="false">IFERROR(INDEX(WBS!$B$5:$B$279,MATCH($A64,WBS!$A$5:$A$279,0)),"-")</f>
        <v>RTG</v>
      </c>
      <c r="H64" s="41" t="str">
        <f aca="false">IFERROR(INDEX(WBS!$H$5:$H$279,MATCH($A64,WBS!$A$5:$A$279,0)),"-")</f>
        <v>P1</v>
      </c>
      <c r="I64" s="31" t="n">
        <f aca="false">IFERROR(INDEX(WBS!$U$5:$U$279,MATCH($A64,WBS!$A$5:$A$279,0)),0)</f>
        <v>16.7</v>
      </c>
      <c r="J64" s="7" t="str">
        <f aca="false">IF(ISNUMBER(MATCH($A64,WBS!$A$5:$A$279,0)),"✓","✗")</f>
        <v>✓</v>
      </c>
    </row>
    <row r="65" customFormat="false" ht="15" hidden="false" customHeight="false" outlineLevel="0" collapsed="false">
      <c r="A65" s="7" t="s">
        <v>979</v>
      </c>
      <c r="B65" s="6" t="s">
        <v>5307</v>
      </c>
      <c r="C65" s="6" t="s">
        <v>980</v>
      </c>
      <c r="D65" s="6" t="s">
        <v>773</v>
      </c>
      <c r="E65" s="32" t="s">
        <v>265</v>
      </c>
      <c r="F65" s="36" t="s">
        <v>396</v>
      </c>
      <c r="G65" s="14" t="str">
        <f aca="false">IFERROR(INDEX(WBS!$B$5:$B$279,MATCH($A65,WBS!$A$5:$A$279,0)),"-")</f>
        <v>RTG</v>
      </c>
      <c r="H65" s="41" t="str">
        <f aca="false">IFERROR(INDEX(WBS!$H$5:$H$279,MATCH($A65,WBS!$A$5:$A$279,0)),"-")</f>
        <v>P3</v>
      </c>
      <c r="I65" s="31" t="n">
        <f aca="false">IFERROR(INDEX(WBS!$U$5:$U$279,MATCH($A65,WBS!$A$5:$A$279,0)),0)</f>
        <v>5.9</v>
      </c>
      <c r="J65" s="7" t="str">
        <f aca="false">IF(ISNUMBER(MATCH($A65,WBS!$A$5:$A$279,0)),"✓","✗")</f>
        <v>✓</v>
      </c>
    </row>
    <row r="66" customFormat="false" ht="15" hidden="false" customHeight="false" outlineLevel="0" collapsed="false">
      <c r="A66" s="7" t="s">
        <v>986</v>
      </c>
      <c r="B66" s="6" t="s">
        <v>5307</v>
      </c>
      <c r="C66" s="6" t="s">
        <v>987</v>
      </c>
      <c r="D66" s="6" t="s">
        <v>988</v>
      </c>
      <c r="E66" s="32" t="s">
        <v>265</v>
      </c>
      <c r="F66" s="36" t="s">
        <v>396</v>
      </c>
      <c r="G66" s="14" t="str">
        <f aca="false">IFERROR(INDEX(WBS!$B$5:$B$279,MATCH($A66,WBS!$A$5:$A$279,0)),"-")</f>
        <v>RTG</v>
      </c>
      <c r="H66" s="41" t="str">
        <f aca="false">IFERROR(INDEX(WBS!$H$5:$H$279,MATCH($A66,WBS!$A$5:$A$279,0)),"-")</f>
        <v>P3</v>
      </c>
      <c r="I66" s="31" t="n">
        <f aca="false">IFERROR(INDEX(WBS!$U$5:$U$279,MATCH($A66,WBS!$A$5:$A$279,0)),0)</f>
        <v>5.9</v>
      </c>
      <c r="J66" s="7" t="str">
        <f aca="false">IF(ISNUMBER(MATCH($A66,WBS!$A$5:$A$279,0)),"✓","✗")</f>
        <v>✓</v>
      </c>
    </row>
    <row r="67" customFormat="false" ht="15" hidden="false" customHeight="false" outlineLevel="0" collapsed="false">
      <c r="A67" s="7" t="s">
        <v>952</v>
      </c>
      <c r="B67" s="6" t="s">
        <v>5307</v>
      </c>
      <c r="C67" s="6" t="s">
        <v>953</v>
      </c>
      <c r="D67" s="6" t="s">
        <v>954</v>
      </c>
      <c r="E67" s="29" t="s">
        <v>143</v>
      </c>
      <c r="F67" s="35" t="s">
        <v>386</v>
      </c>
      <c r="G67" s="14" t="str">
        <f aca="false">IFERROR(INDEX(WBS!$B$5:$B$279,MATCH($A67,WBS!$A$5:$A$279,0)),"-")</f>
        <v>RTG</v>
      </c>
      <c r="H67" s="41" t="str">
        <f aca="false">IFERROR(INDEX(WBS!$H$5:$H$279,MATCH($A67,WBS!$A$5:$A$279,0)),"-")</f>
        <v>P1</v>
      </c>
      <c r="I67" s="31" t="n">
        <f aca="false">IFERROR(INDEX(WBS!$U$5:$U$279,MATCH($A67,WBS!$A$5:$A$279,0)),0)</f>
        <v>16.7</v>
      </c>
      <c r="J67" s="7" t="str">
        <f aca="false">IF(ISNUMBER(MATCH($A67,WBS!$A$5:$A$279,0)),"✓","✗")</f>
        <v>✓</v>
      </c>
    </row>
    <row r="68" customFormat="false" ht="15" hidden="false" customHeight="false" outlineLevel="0" collapsed="false">
      <c r="A68" s="7" t="s">
        <v>959</v>
      </c>
      <c r="B68" s="6" t="s">
        <v>5307</v>
      </c>
      <c r="C68" s="6" t="s">
        <v>960</v>
      </c>
      <c r="D68" s="6" t="s">
        <v>961</v>
      </c>
      <c r="E68" s="29" t="s">
        <v>143</v>
      </c>
      <c r="F68" s="34" t="s">
        <v>320</v>
      </c>
      <c r="G68" s="14" t="str">
        <f aca="false">IFERROR(INDEX(WBS!$B$5:$B$279,MATCH($A68,WBS!$A$5:$A$279,0)),"-")</f>
        <v>RTG</v>
      </c>
      <c r="H68" s="41" t="str">
        <f aca="false">IFERROR(INDEX(WBS!$H$5:$H$279,MATCH($A68,WBS!$A$5:$A$279,0)),"-")</f>
        <v>P2</v>
      </c>
      <c r="I68" s="31" t="n">
        <f aca="false">IFERROR(INDEX(WBS!$U$5:$U$279,MATCH($A68,WBS!$A$5:$A$279,0)),0)</f>
        <v>26.1</v>
      </c>
      <c r="J68" s="7" t="str">
        <f aca="false">IF(ISNUMBER(MATCH($A68,WBS!$A$5:$A$279,0)),"✓","✗")</f>
        <v>✓</v>
      </c>
    </row>
    <row r="69" customFormat="false" ht="15" hidden="false" customHeight="false" outlineLevel="0" collapsed="false">
      <c r="A69" s="7" t="s">
        <v>966</v>
      </c>
      <c r="B69" s="6" t="s">
        <v>5307</v>
      </c>
      <c r="C69" s="6" t="s">
        <v>967</v>
      </c>
      <c r="D69" s="6" t="s">
        <v>968</v>
      </c>
      <c r="E69" s="29" t="s">
        <v>143</v>
      </c>
      <c r="F69" s="35" t="s">
        <v>386</v>
      </c>
      <c r="G69" s="14" t="str">
        <f aca="false">IFERROR(INDEX(WBS!$B$5:$B$279,MATCH($A69,WBS!$A$5:$A$279,0)),"-")</f>
        <v>RTG</v>
      </c>
      <c r="H69" s="41" t="str">
        <f aca="false">IFERROR(INDEX(WBS!$H$5:$H$279,MATCH($A69,WBS!$A$5:$A$279,0)),"-")</f>
        <v>P2</v>
      </c>
      <c r="I69" s="31" t="n">
        <f aca="false">IFERROR(INDEX(WBS!$U$5:$U$279,MATCH($A69,WBS!$A$5:$A$279,0)),0)</f>
        <v>11.8</v>
      </c>
      <c r="J69" s="7" t="str">
        <f aca="false">IF(ISNUMBER(MATCH($A69,WBS!$A$5:$A$279,0)),"✓","✗")</f>
        <v>✓</v>
      </c>
    </row>
    <row r="70" customFormat="false" ht="15" hidden="false" customHeight="false" outlineLevel="0" collapsed="false">
      <c r="A70" s="7" t="s">
        <v>993</v>
      </c>
      <c r="B70" s="6" t="s">
        <v>5307</v>
      </c>
      <c r="C70" s="6" t="s">
        <v>994</v>
      </c>
      <c r="D70" s="6" t="s">
        <v>995</v>
      </c>
      <c r="E70" s="32" t="s">
        <v>265</v>
      </c>
      <c r="F70" s="35" t="s">
        <v>386</v>
      </c>
      <c r="G70" s="14" t="str">
        <f aca="false">IFERROR(INDEX(WBS!$B$5:$B$279,MATCH($A70,WBS!$A$5:$A$279,0)),"-")</f>
        <v>RTG</v>
      </c>
      <c r="H70" s="41" t="str">
        <f aca="false">IFERROR(INDEX(WBS!$H$5:$H$279,MATCH($A70,WBS!$A$5:$A$279,0)),"-")</f>
        <v>P3</v>
      </c>
      <c r="I70" s="31" t="n">
        <f aca="false">IFERROR(INDEX(WBS!$U$5:$U$279,MATCH($A70,WBS!$A$5:$A$279,0)),0)</f>
        <v>8.8</v>
      </c>
      <c r="J70" s="7" t="str">
        <f aca="false">IF(ISNUMBER(MATCH($A70,WBS!$A$5:$A$279,0)),"✓","✗")</f>
        <v>✓</v>
      </c>
    </row>
    <row r="71" customFormat="false" ht="15" hidden="false" customHeight="false" outlineLevel="0" collapsed="false">
      <c r="A71" s="7" t="s">
        <v>1000</v>
      </c>
      <c r="B71" s="6" t="s">
        <v>5307</v>
      </c>
      <c r="C71" s="6" t="s">
        <v>1001</v>
      </c>
      <c r="D71" s="6" t="s">
        <v>1002</v>
      </c>
      <c r="E71" s="32" t="s">
        <v>265</v>
      </c>
      <c r="F71" s="34" t="s">
        <v>320</v>
      </c>
      <c r="G71" s="14" t="str">
        <f aca="false">IFERROR(INDEX(WBS!$B$5:$B$279,MATCH($A71,WBS!$A$5:$A$279,0)),"-")</f>
        <v>RTG</v>
      </c>
      <c r="H71" s="41" t="str">
        <f aca="false">IFERROR(INDEX(WBS!$H$5:$H$279,MATCH($A71,WBS!$A$5:$A$279,0)),"-")</f>
        <v>P3</v>
      </c>
      <c r="I71" s="31" t="n">
        <f aca="false">IFERROR(INDEX(WBS!$U$5:$U$279,MATCH($A71,WBS!$A$5:$A$279,0)),0)</f>
        <v>14.7</v>
      </c>
      <c r="J71" s="7" t="str">
        <f aca="false">IF(ISNUMBER(MATCH($A71,WBS!$A$5:$A$279,0)),"✓","✗")</f>
        <v>✓</v>
      </c>
    </row>
    <row r="72" customFormat="false" ht="15" hidden="false" customHeight="false" outlineLevel="0" collapsed="false">
      <c r="A72" s="7" t="s">
        <v>1006</v>
      </c>
      <c r="B72" s="6" t="s">
        <v>5307</v>
      </c>
      <c r="C72" s="6" t="s">
        <v>1007</v>
      </c>
      <c r="D72" s="6" t="s">
        <v>1008</v>
      </c>
      <c r="E72" s="32" t="s">
        <v>265</v>
      </c>
      <c r="F72" s="35" t="s">
        <v>386</v>
      </c>
      <c r="G72" s="14" t="str">
        <f aca="false">IFERROR(INDEX(WBS!$B$5:$B$279,MATCH($A72,WBS!$A$5:$A$279,0)),"-")</f>
        <v>RTG</v>
      </c>
      <c r="H72" s="41" t="str">
        <f aca="false">IFERROR(INDEX(WBS!$H$5:$H$279,MATCH($A72,WBS!$A$5:$A$279,0)),"-")</f>
        <v>P3</v>
      </c>
      <c r="I72" s="31" t="n">
        <f aca="false">IFERROR(INDEX(WBS!$U$5:$U$279,MATCH($A72,WBS!$A$5:$A$279,0)),0)</f>
        <v>2.9</v>
      </c>
      <c r="J72" s="7" t="str">
        <f aca="false">IF(ISNUMBER(MATCH($A72,WBS!$A$5:$A$279,0)),"✓","✗")</f>
        <v>✓</v>
      </c>
    </row>
    <row r="73" customFormat="false" ht="15" hidden="false" customHeight="false" outlineLevel="0" collapsed="false">
      <c r="A73" s="7" t="s">
        <v>1012</v>
      </c>
      <c r="B73" s="6" t="s">
        <v>5307</v>
      </c>
      <c r="C73" s="6" t="s">
        <v>1013</v>
      </c>
      <c r="D73" s="6" t="s">
        <v>1014</v>
      </c>
      <c r="E73" s="32" t="s">
        <v>265</v>
      </c>
      <c r="F73" s="35" t="s">
        <v>386</v>
      </c>
      <c r="G73" s="14" t="str">
        <f aca="false">IFERROR(INDEX(WBS!$B$5:$B$279,MATCH($A73,WBS!$A$5:$A$279,0)),"-")</f>
        <v>RTG</v>
      </c>
      <c r="H73" s="41" t="str">
        <f aca="false">IFERROR(INDEX(WBS!$H$5:$H$279,MATCH($A73,WBS!$A$5:$A$279,0)),"-")</f>
        <v>P3</v>
      </c>
      <c r="I73" s="31" t="n">
        <f aca="false">IFERROR(INDEX(WBS!$U$5:$U$279,MATCH($A73,WBS!$A$5:$A$279,0)),0)</f>
        <v>11.8</v>
      </c>
      <c r="J73" s="7" t="str">
        <f aca="false">IF(ISNUMBER(MATCH($A73,WBS!$A$5:$A$279,0)),"✓","✗")</f>
        <v>✓</v>
      </c>
    </row>
    <row r="74" customFormat="false" ht="15" hidden="false" customHeight="false" outlineLevel="0" collapsed="false">
      <c r="A74" s="7" t="s">
        <v>1018</v>
      </c>
      <c r="B74" s="6" t="s">
        <v>5307</v>
      </c>
      <c r="C74" s="6" t="s">
        <v>1019</v>
      </c>
      <c r="D74" s="6" t="s">
        <v>1020</v>
      </c>
      <c r="E74" s="32" t="s">
        <v>265</v>
      </c>
      <c r="F74" s="34" t="s">
        <v>320</v>
      </c>
      <c r="G74" s="14" t="str">
        <f aca="false">IFERROR(INDEX(WBS!$B$5:$B$279,MATCH($A74,WBS!$A$5:$A$279,0)),"-")</f>
        <v>RTG</v>
      </c>
      <c r="H74" s="41" t="str">
        <f aca="false">IFERROR(INDEX(WBS!$H$5:$H$279,MATCH($A74,WBS!$A$5:$A$279,0)),"-")</f>
        <v>P3</v>
      </c>
      <c r="I74" s="31" t="n">
        <f aca="false">IFERROR(INDEX(WBS!$U$5:$U$279,MATCH($A74,WBS!$A$5:$A$279,0)),0)</f>
        <v>8.8</v>
      </c>
      <c r="J74" s="7" t="str">
        <f aca="false">IF(ISNUMBER(MATCH($A74,WBS!$A$5:$A$279,0)),"✓","✗")</f>
        <v>✓</v>
      </c>
    </row>
    <row r="75" customFormat="false" ht="15" hidden="false" customHeight="false" outlineLevel="0" collapsed="false">
      <c r="A75" s="7" t="s">
        <v>973</v>
      </c>
      <c r="B75" s="6" t="s">
        <v>5307</v>
      </c>
      <c r="C75" s="6" t="s">
        <v>974</v>
      </c>
      <c r="D75" s="6" t="s">
        <v>975</v>
      </c>
      <c r="E75" s="29" t="s">
        <v>143</v>
      </c>
      <c r="F75" s="34" t="s">
        <v>320</v>
      </c>
      <c r="G75" s="14" t="str">
        <f aca="false">IFERROR(INDEX(WBS!$B$5:$B$279,MATCH($A75,WBS!$A$5:$A$279,0)),"-")</f>
        <v>RTG</v>
      </c>
      <c r="H75" s="41" t="str">
        <f aca="false">IFERROR(INDEX(WBS!$H$5:$H$279,MATCH($A75,WBS!$A$5:$A$279,0)),"-")</f>
        <v>P2</v>
      </c>
      <c r="I75" s="31" t="n">
        <f aca="false">IFERROR(INDEX(WBS!$U$5:$U$279,MATCH($A75,WBS!$A$5:$A$279,0)),0)</f>
        <v>5.9</v>
      </c>
      <c r="J75" s="7" t="str">
        <f aca="false">IF(ISNUMBER(MATCH($A75,WBS!$A$5:$A$279,0)),"✓","✗")</f>
        <v>✓</v>
      </c>
    </row>
    <row r="76" customFormat="false" ht="15" hidden="false" customHeight="false" outlineLevel="0" collapsed="false">
      <c r="A76" s="7" t="s">
        <v>1024</v>
      </c>
      <c r="B76" s="6" t="s">
        <v>5307</v>
      </c>
      <c r="C76" s="6" t="s">
        <v>1025</v>
      </c>
      <c r="D76" s="6" t="s">
        <v>1026</v>
      </c>
      <c r="E76" s="33" t="s">
        <v>286</v>
      </c>
      <c r="F76" s="35" t="s">
        <v>386</v>
      </c>
      <c r="G76" s="14" t="str">
        <f aca="false">IFERROR(INDEX(WBS!$B$5:$B$279,MATCH($A76,WBS!$A$5:$A$279,0)),"-")</f>
        <v>RTG</v>
      </c>
      <c r="H76" s="41" t="str">
        <f aca="false">IFERROR(INDEX(WBS!$H$5:$H$279,MATCH($A76,WBS!$A$5:$A$279,0)),"-")</f>
        <v>P4</v>
      </c>
      <c r="I76" s="31" t="n">
        <f aca="false">IFERROR(INDEX(WBS!$U$5:$U$279,MATCH($A76,WBS!$A$5:$A$279,0)),0)</f>
        <v>11.8</v>
      </c>
      <c r="J76" s="7" t="str">
        <f aca="false">IF(ISNUMBER(MATCH($A76,WBS!$A$5:$A$279,0)),"✓","✗")</f>
        <v>✓</v>
      </c>
    </row>
    <row r="77" customFormat="false" ht="15" hidden="false" customHeight="false" outlineLevel="0" collapsed="false">
      <c r="A77" s="7" t="s">
        <v>1583</v>
      </c>
      <c r="B77" s="6" t="s">
        <v>5308</v>
      </c>
      <c r="C77" s="6" t="s">
        <v>1586</v>
      </c>
      <c r="D77" s="6" t="s">
        <v>1587</v>
      </c>
      <c r="E77" s="29" t="s">
        <v>143</v>
      </c>
      <c r="F77" s="34" t="s">
        <v>320</v>
      </c>
      <c r="G77" s="14" t="str">
        <f aca="false">IFERROR(INDEX(WBS!$B$5:$B$279,MATCH($A77,WBS!$A$5:$A$279,0)),"-")</f>
        <v>RRA</v>
      </c>
      <c r="H77" s="41" t="str">
        <f aca="false">IFERROR(INDEX(WBS!$H$5:$H$279,MATCH($A77,WBS!$A$5:$A$279,0)),"-")</f>
        <v>P2</v>
      </c>
      <c r="I77" s="31" t="n">
        <f aca="false">IFERROR(INDEX(WBS!$U$5:$U$279,MATCH($A77,WBS!$A$5:$A$279,0)),0)</f>
        <v>11.8</v>
      </c>
      <c r="J77" s="7" t="str">
        <f aca="false">IF(ISNUMBER(MATCH($A77,WBS!$A$5:$A$279,0)),"✓","✗")</f>
        <v>✓</v>
      </c>
    </row>
    <row r="78" customFormat="false" ht="15" hidden="false" customHeight="false" outlineLevel="0" collapsed="false">
      <c r="A78" s="7" t="s">
        <v>1501</v>
      </c>
      <c r="B78" s="6" t="s">
        <v>5308</v>
      </c>
      <c r="C78" s="6" t="s">
        <v>1593</v>
      </c>
      <c r="D78" s="6" t="s">
        <v>1594</v>
      </c>
      <c r="E78" s="29" t="s">
        <v>143</v>
      </c>
      <c r="F78" s="34" t="s">
        <v>320</v>
      </c>
      <c r="G78" s="14" t="str">
        <f aca="false">IFERROR(INDEX(WBS!$B$5:$B$279,MATCH($A78,WBS!$A$5:$A$279,0)),"-")</f>
        <v>RRA</v>
      </c>
      <c r="H78" s="41" t="str">
        <f aca="false">IFERROR(INDEX(WBS!$H$5:$H$279,MATCH($A78,WBS!$A$5:$A$279,0)),"-")</f>
        <v>P2</v>
      </c>
      <c r="I78" s="31" t="n">
        <f aca="false">IFERROR(INDEX(WBS!$U$5:$U$279,MATCH($A78,WBS!$A$5:$A$279,0)),0)</f>
        <v>16.7</v>
      </c>
      <c r="J78" s="7" t="str">
        <f aca="false">IF(ISNUMBER(MATCH($A78,WBS!$A$5:$A$279,0)),"✓","✗")</f>
        <v>✓</v>
      </c>
    </row>
    <row r="79" customFormat="false" ht="15" hidden="false" customHeight="false" outlineLevel="0" collapsed="false">
      <c r="A79" s="7" t="s">
        <v>1599</v>
      </c>
      <c r="B79" s="6" t="s">
        <v>5308</v>
      </c>
      <c r="C79" s="6" t="s">
        <v>1600</v>
      </c>
      <c r="D79" s="6" t="s">
        <v>1601</v>
      </c>
      <c r="E79" s="29" t="s">
        <v>143</v>
      </c>
      <c r="F79" s="34" t="s">
        <v>320</v>
      </c>
      <c r="G79" s="14" t="str">
        <f aca="false">IFERROR(INDEX(WBS!$B$5:$B$279,MATCH($A79,WBS!$A$5:$A$279,0)),"-")</f>
        <v>RRA</v>
      </c>
      <c r="H79" s="41" t="str">
        <f aca="false">IFERROR(INDEX(WBS!$H$5:$H$279,MATCH($A79,WBS!$A$5:$A$279,0)),"-")</f>
        <v>P2</v>
      </c>
      <c r="I79" s="31" t="n">
        <f aca="false">IFERROR(INDEX(WBS!$U$5:$U$279,MATCH($A79,WBS!$A$5:$A$279,0)),0)</f>
        <v>5.9</v>
      </c>
      <c r="J79" s="7" t="str">
        <f aca="false">IF(ISNUMBER(MATCH($A79,WBS!$A$5:$A$279,0)),"✓","✗")</f>
        <v>✓</v>
      </c>
    </row>
    <row r="80" customFormat="false" ht="15" hidden="false" customHeight="false" outlineLevel="0" collapsed="false">
      <c r="A80" s="7" t="s">
        <v>1606</v>
      </c>
      <c r="B80" s="6" t="s">
        <v>5308</v>
      </c>
      <c r="C80" s="6" t="s">
        <v>1607</v>
      </c>
      <c r="D80" s="6" t="s">
        <v>1608</v>
      </c>
      <c r="E80" s="29" t="s">
        <v>143</v>
      </c>
      <c r="F80" s="35" t="s">
        <v>386</v>
      </c>
      <c r="G80" s="14" t="str">
        <f aca="false">IFERROR(INDEX(WBS!$B$5:$B$279,MATCH($A80,WBS!$A$5:$A$279,0)),"-")</f>
        <v>RRA</v>
      </c>
      <c r="H80" s="41" t="str">
        <f aca="false">IFERROR(INDEX(WBS!$H$5:$H$279,MATCH($A80,WBS!$A$5:$A$279,0)),"-")</f>
        <v>P2</v>
      </c>
      <c r="I80" s="31" t="n">
        <f aca="false">IFERROR(INDEX(WBS!$U$5:$U$279,MATCH($A80,WBS!$A$5:$A$279,0)),0)</f>
        <v>16.7</v>
      </c>
      <c r="J80" s="7" t="str">
        <f aca="false">IF(ISNUMBER(MATCH($A80,WBS!$A$5:$A$279,0)),"✓","✗")</f>
        <v>✓</v>
      </c>
    </row>
    <row r="81" customFormat="false" ht="15" hidden="false" customHeight="false" outlineLevel="0" collapsed="false">
      <c r="A81" s="7" t="s">
        <v>1628</v>
      </c>
      <c r="B81" s="6" t="s">
        <v>5308</v>
      </c>
      <c r="C81" s="6" t="s">
        <v>1629</v>
      </c>
      <c r="D81" s="6" t="s">
        <v>1630</v>
      </c>
      <c r="E81" s="32" t="s">
        <v>265</v>
      </c>
      <c r="F81" s="35" t="s">
        <v>386</v>
      </c>
      <c r="G81" s="14" t="str">
        <f aca="false">IFERROR(INDEX(WBS!$B$5:$B$279,MATCH($A81,WBS!$A$5:$A$279,0)),"-")</f>
        <v>RRA</v>
      </c>
      <c r="H81" s="41" t="str">
        <f aca="false">IFERROR(INDEX(WBS!$H$5:$H$279,MATCH($A81,WBS!$A$5:$A$279,0)),"-")</f>
        <v>P3</v>
      </c>
      <c r="I81" s="31" t="n">
        <f aca="false">IFERROR(INDEX(WBS!$U$5:$U$279,MATCH($A81,WBS!$A$5:$A$279,0)),0)</f>
        <v>8.8</v>
      </c>
      <c r="J81" s="7" t="str">
        <f aca="false">IF(ISNUMBER(MATCH($A81,WBS!$A$5:$A$279,0)),"✓","✗")</f>
        <v>✓</v>
      </c>
    </row>
    <row r="82" customFormat="false" ht="15" hidden="false" customHeight="false" outlineLevel="0" collapsed="false">
      <c r="A82" s="7" t="s">
        <v>1615</v>
      </c>
      <c r="B82" s="6" t="s">
        <v>5308</v>
      </c>
      <c r="C82" s="6" t="s">
        <v>1616</v>
      </c>
      <c r="D82" s="6" t="s">
        <v>1617</v>
      </c>
      <c r="E82" s="29" t="s">
        <v>143</v>
      </c>
      <c r="F82" s="34" t="s">
        <v>320</v>
      </c>
      <c r="G82" s="14" t="str">
        <f aca="false">IFERROR(INDEX(WBS!$B$5:$B$279,MATCH($A82,WBS!$A$5:$A$279,0)),"-")</f>
        <v>RRA</v>
      </c>
      <c r="H82" s="41" t="str">
        <f aca="false">IFERROR(INDEX(WBS!$H$5:$H$279,MATCH($A82,WBS!$A$5:$A$279,0)),"-")</f>
        <v>P2</v>
      </c>
      <c r="I82" s="31" t="n">
        <f aca="false">IFERROR(INDEX(WBS!$U$5:$U$279,MATCH($A82,WBS!$A$5:$A$279,0)),0)</f>
        <v>8.8</v>
      </c>
      <c r="J82" s="7" t="str">
        <f aca="false">IF(ISNUMBER(MATCH($A82,WBS!$A$5:$A$279,0)),"✓","✗")</f>
        <v>✓</v>
      </c>
    </row>
    <row r="83" customFormat="false" ht="15" hidden="false" customHeight="false" outlineLevel="0" collapsed="false">
      <c r="A83" s="7" t="s">
        <v>1622</v>
      </c>
      <c r="B83" s="6" t="s">
        <v>5308</v>
      </c>
      <c r="C83" s="6" t="s">
        <v>1623</v>
      </c>
      <c r="D83" s="6" t="s">
        <v>1624</v>
      </c>
      <c r="E83" s="29" t="s">
        <v>143</v>
      </c>
      <c r="F83" s="34" t="s">
        <v>320</v>
      </c>
      <c r="G83" s="14" t="str">
        <f aca="false">IFERROR(INDEX(WBS!$B$5:$B$279,MATCH($A83,WBS!$A$5:$A$279,0)),"-")</f>
        <v>RRA</v>
      </c>
      <c r="H83" s="41" t="str">
        <f aca="false">IFERROR(INDEX(WBS!$H$5:$H$279,MATCH($A83,WBS!$A$5:$A$279,0)),"-")</f>
        <v>P2</v>
      </c>
      <c r="I83" s="31" t="n">
        <f aca="false">IFERROR(INDEX(WBS!$U$5:$U$279,MATCH($A83,WBS!$A$5:$A$279,0)),0)</f>
        <v>8.8</v>
      </c>
      <c r="J83" s="7" t="str">
        <f aca="false">IF(ISNUMBER(MATCH($A83,WBS!$A$5:$A$279,0)),"✓","✗")</f>
        <v>✓</v>
      </c>
    </row>
    <row r="84" customFormat="false" ht="15" hidden="false" customHeight="false" outlineLevel="0" collapsed="false">
      <c r="A84" s="7" t="s">
        <v>1634</v>
      </c>
      <c r="B84" s="6" t="s">
        <v>5308</v>
      </c>
      <c r="C84" s="6" t="s">
        <v>1635</v>
      </c>
      <c r="D84" s="6" t="s">
        <v>1636</v>
      </c>
      <c r="E84" s="32" t="s">
        <v>265</v>
      </c>
      <c r="F84" s="35" t="s">
        <v>386</v>
      </c>
      <c r="G84" s="14" t="str">
        <f aca="false">IFERROR(INDEX(WBS!$B$5:$B$279,MATCH($A84,WBS!$A$5:$A$279,0)),"-")</f>
        <v>RRA</v>
      </c>
      <c r="H84" s="41" t="str">
        <f aca="false">IFERROR(INDEX(WBS!$H$5:$H$279,MATCH($A84,WBS!$A$5:$A$279,0)),"-")</f>
        <v>P3</v>
      </c>
      <c r="I84" s="31" t="n">
        <f aca="false">IFERROR(INDEX(WBS!$U$5:$U$279,MATCH($A84,WBS!$A$5:$A$279,0)),0)</f>
        <v>8.8</v>
      </c>
      <c r="J84" s="7" t="str">
        <f aca="false">IF(ISNUMBER(MATCH($A84,WBS!$A$5:$A$279,0)),"✓","✗")</f>
        <v>✓</v>
      </c>
    </row>
    <row r="85" customFormat="false" ht="15" hidden="false" customHeight="false" outlineLevel="0" collapsed="false">
      <c r="A85" s="7" t="s">
        <v>1548</v>
      </c>
      <c r="B85" s="6" t="s">
        <v>5308</v>
      </c>
      <c r="C85" s="6" t="s">
        <v>1640</v>
      </c>
      <c r="D85" s="6" t="s">
        <v>1641</v>
      </c>
      <c r="E85" s="32" t="s">
        <v>265</v>
      </c>
      <c r="F85" s="34" t="s">
        <v>320</v>
      </c>
      <c r="G85" s="14" t="str">
        <f aca="false">IFERROR(INDEX(WBS!$B$5:$B$279,MATCH($A85,WBS!$A$5:$A$279,0)),"-")</f>
        <v>RRA</v>
      </c>
      <c r="H85" s="41" t="str">
        <f aca="false">IFERROR(INDEX(WBS!$H$5:$H$279,MATCH($A85,WBS!$A$5:$A$279,0)),"-")</f>
        <v>P3</v>
      </c>
      <c r="I85" s="31" t="n">
        <f aca="false">IFERROR(INDEX(WBS!$U$5:$U$279,MATCH($A85,WBS!$A$5:$A$279,0)),0)</f>
        <v>16.7</v>
      </c>
      <c r="J85" s="7" t="str">
        <f aca="false">IF(ISNUMBER(MATCH($A85,WBS!$A$5:$A$279,0)),"✓","✗")</f>
        <v>✓</v>
      </c>
    </row>
    <row r="86" customFormat="false" ht="15" hidden="false" customHeight="false" outlineLevel="0" collapsed="false">
      <c r="A86" s="7" t="s">
        <v>1645</v>
      </c>
      <c r="B86" s="6" t="s">
        <v>5308</v>
      </c>
      <c r="C86" s="6" t="s">
        <v>1646</v>
      </c>
      <c r="D86" s="6" t="s">
        <v>1647</v>
      </c>
      <c r="E86" s="32" t="s">
        <v>265</v>
      </c>
      <c r="F86" s="34" t="s">
        <v>320</v>
      </c>
      <c r="G86" s="14" t="str">
        <f aca="false">IFERROR(INDEX(WBS!$B$5:$B$279,MATCH($A86,WBS!$A$5:$A$279,0)),"-")</f>
        <v>RRA</v>
      </c>
      <c r="H86" s="41" t="str">
        <f aca="false">IFERROR(INDEX(WBS!$H$5:$H$279,MATCH($A86,WBS!$A$5:$A$279,0)),"-")</f>
        <v>P3</v>
      </c>
      <c r="I86" s="31" t="n">
        <f aca="false">IFERROR(INDEX(WBS!$U$5:$U$279,MATCH($A86,WBS!$A$5:$A$279,0)),0)</f>
        <v>13.8</v>
      </c>
      <c r="J86" s="7" t="str">
        <f aca="false">IF(ISNUMBER(MATCH($A86,WBS!$A$5:$A$279,0)),"✓","✗")</f>
        <v>✓</v>
      </c>
    </row>
    <row r="87" customFormat="false" ht="15" hidden="false" customHeight="false" outlineLevel="0" collapsed="false">
      <c r="A87" s="7" t="s">
        <v>1651</v>
      </c>
      <c r="B87" s="6" t="s">
        <v>5308</v>
      </c>
      <c r="C87" s="6" t="s">
        <v>1652</v>
      </c>
      <c r="D87" s="6" t="s">
        <v>1653</v>
      </c>
      <c r="E87" s="32" t="s">
        <v>265</v>
      </c>
      <c r="F87" s="35" t="s">
        <v>386</v>
      </c>
      <c r="G87" s="14" t="str">
        <f aca="false">IFERROR(INDEX(WBS!$B$5:$B$279,MATCH($A87,WBS!$A$5:$A$279,0)),"-")</f>
        <v>RRA</v>
      </c>
      <c r="H87" s="41" t="str">
        <f aca="false">IFERROR(INDEX(WBS!$H$5:$H$279,MATCH($A87,WBS!$A$5:$A$279,0)),"-")</f>
        <v>P3</v>
      </c>
      <c r="I87" s="31" t="n">
        <f aca="false">IFERROR(INDEX(WBS!$U$5:$U$279,MATCH($A87,WBS!$A$5:$A$279,0)),0)</f>
        <v>8.8</v>
      </c>
      <c r="J87" s="7" t="str">
        <f aca="false">IF(ISNUMBER(MATCH($A87,WBS!$A$5:$A$279,0)),"✓","✗")</f>
        <v>✓</v>
      </c>
    </row>
    <row r="88" customFormat="false" ht="15" hidden="false" customHeight="false" outlineLevel="0" collapsed="false">
      <c r="A88" s="7" t="s">
        <v>1657</v>
      </c>
      <c r="B88" s="6" t="s">
        <v>5308</v>
      </c>
      <c r="C88" s="6" t="s">
        <v>1658</v>
      </c>
      <c r="D88" s="6" t="s">
        <v>1659</v>
      </c>
      <c r="E88" s="32" t="s">
        <v>265</v>
      </c>
      <c r="F88" s="34" t="s">
        <v>320</v>
      </c>
      <c r="G88" s="14" t="str">
        <f aca="false">IFERROR(INDEX(WBS!$B$5:$B$279,MATCH($A88,WBS!$A$5:$A$279,0)),"-")</f>
        <v>RRA</v>
      </c>
      <c r="H88" s="41" t="str">
        <f aca="false">IFERROR(INDEX(WBS!$H$5:$H$279,MATCH($A88,WBS!$A$5:$A$279,0)),"-")</f>
        <v>P3</v>
      </c>
      <c r="I88" s="31" t="n">
        <f aca="false">IFERROR(INDEX(WBS!$U$5:$U$279,MATCH($A88,WBS!$A$5:$A$279,0)),0)</f>
        <v>5.9</v>
      </c>
      <c r="J88" s="7" t="str">
        <f aca="false">IF(ISNUMBER(MATCH($A88,WBS!$A$5:$A$279,0)),"✓","✗")</f>
        <v>✓</v>
      </c>
    </row>
    <row r="89" customFormat="false" ht="15" hidden="false" customHeight="false" outlineLevel="0" collapsed="false">
      <c r="A89" s="7" t="s">
        <v>1437</v>
      </c>
      <c r="B89" s="6" t="s">
        <v>5308</v>
      </c>
      <c r="C89" s="6" t="s">
        <v>1432</v>
      </c>
      <c r="D89" s="6" t="s">
        <v>1663</v>
      </c>
      <c r="E89" s="32" t="s">
        <v>265</v>
      </c>
      <c r="F89" s="35" t="s">
        <v>386</v>
      </c>
      <c r="G89" s="14" t="str">
        <f aca="false">IFERROR(INDEX(WBS!$B$5:$B$279,MATCH($A89,WBS!$A$5:$A$279,0)),"-")</f>
        <v>RRA</v>
      </c>
      <c r="H89" s="41" t="str">
        <f aca="false">IFERROR(INDEX(WBS!$H$5:$H$279,MATCH($A89,WBS!$A$5:$A$279,0)),"-")</f>
        <v>P3</v>
      </c>
      <c r="I89" s="31" t="n">
        <f aca="false">IFERROR(INDEX(WBS!$U$5:$U$279,MATCH($A89,WBS!$A$5:$A$279,0)),0)</f>
        <v>11.8</v>
      </c>
      <c r="J89" s="7" t="str">
        <f aca="false">IF(ISNUMBER(MATCH($A89,WBS!$A$5:$A$279,0)),"✓","✗")</f>
        <v>✓</v>
      </c>
    </row>
    <row r="90" customFormat="false" ht="15" hidden="false" customHeight="false" outlineLevel="0" collapsed="false">
      <c r="A90" s="7" t="s">
        <v>1667</v>
      </c>
      <c r="B90" s="6" t="s">
        <v>5308</v>
      </c>
      <c r="C90" s="6" t="s">
        <v>1668</v>
      </c>
      <c r="D90" s="6" t="s">
        <v>1669</v>
      </c>
      <c r="E90" s="32" t="s">
        <v>265</v>
      </c>
      <c r="F90" s="34" t="s">
        <v>320</v>
      </c>
      <c r="G90" s="14" t="str">
        <f aca="false">IFERROR(INDEX(WBS!$B$5:$B$279,MATCH($A90,WBS!$A$5:$A$279,0)),"-")</f>
        <v>RRA</v>
      </c>
      <c r="H90" s="41" t="str">
        <f aca="false">IFERROR(INDEX(WBS!$H$5:$H$279,MATCH($A90,WBS!$A$5:$A$279,0)),"-")</f>
        <v>P3</v>
      </c>
      <c r="I90" s="31" t="n">
        <f aca="false">IFERROR(INDEX(WBS!$U$5:$U$279,MATCH($A90,WBS!$A$5:$A$279,0)),0)</f>
        <v>8.8</v>
      </c>
      <c r="J90" s="7" t="str">
        <f aca="false">IF(ISNUMBER(MATCH($A90,WBS!$A$5:$A$279,0)),"✓","✗")</f>
        <v>✓</v>
      </c>
    </row>
    <row r="91" customFormat="false" ht="15" hidden="false" customHeight="false" outlineLevel="0" collapsed="false">
      <c r="A91" s="7" t="s">
        <v>1874</v>
      </c>
      <c r="B91" s="6" t="s">
        <v>5309</v>
      </c>
      <c r="C91" s="6" t="s">
        <v>1877</v>
      </c>
      <c r="D91" s="6" t="s">
        <v>1878</v>
      </c>
      <c r="E91" s="29" t="s">
        <v>143</v>
      </c>
      <c r="F91" s="36" t="s">
        <v>396</v>
      </c>
      <c r="G91" s="14" t="str">
        <f aca="false">IFERROR(INDEX(WBS!$B$5:$B$279,MATCH($A91,WBS!$A$5:$A$279,0)),"-")</f>
        <v>DSA</v>
      </c>
      <c r="H91" s="41" t="str">
        <f aca="false">IFERROR(INDEX(WBS!$H$5:$H$279,MATCH($A91,WBS!$A$5:$A$279,0)),"-")</f>
        <v>P2</v>
      </c>
      <c r="I91" s="31" t="n">
        <f aca="false">IFERROR(INDEX(WBS!$U$5:$U$279,MATCH($A91,WBS!$A$5:$A$279,0)),0)</f>
        <v>8.8</v>
      </c>
      <c r="J91" s="7" t="str">
        <f aca="false">IF(ISNUMBER(MATCH($A91,WBS!$A$5:$A$279,0)),"✓","✗")</f>
        <v>✓</v>
      </c>
    </row>
    <row r="92" customFormat="false" ht="15" hidden="false" customHeight="false" outlineLevel="0" collapsed="false">
      <c r="A92" s="7" t="s">
        <v>1883</v>
      </c>
      <c r="B92" s="6" t="s">
        <v>5309</v>
      </c>
      <c r="C92" s="6" t="s">
        <v>1884</v>
      </c>
      <c r="D92" s="6" t="s">
        <v>1885</v>
      </c>
      <c r="E92" s="29" t="s">
        <v>143</v>
      </c>
      <c r="F92" s="35" t="s">
        <v>386</v>
      </c>
      <c r="G92" s="14" t="str">
        <f aca="false">IFERROR(INDEX(WBS!$B$5:$B$279,MATCH($A92,WBS!$A$5:$A$279,0)),"-")</f>
        <v>DSA</v>
      </c>
      <c r="H92" s="41" t="str">
        <f aca="false">IFERROR(INDEX(WBS!$H$5:$H$279,MATCH($A92,WBS!$A$5:$A$279,0)),"-")</f>
        <v>P2</v>
      </c>
      <c r="I92" s="31" t="n">
        <f aca="false">IFERROR(INDEX(WBS!$U$5:$U$279,MATCH($A92,WBS!$A$5:$A$279,0)),0)</f>
        <v>8.8</v>
      </c>
      <c r="J92" s="7" t="str">
        <f aca="false">IF(ISNUMBER(MATCH($A92,WBS!$A$5:$A$279,0)),"✓","✗")</f>
        <v>✓</v>
      </c>
    </row>
    <row r="93" customFormat="false" ht="15" hidden="false" customHeight="false" outlineLevel="0" collapsed="false">
      <c r="A93" s="7" t="s">
        <v>1890</v>
      </c>
      <c r="B93" s="6" t="s">
        <v>5309</v>
      </c>
      <c r="C93" s="6" t="s">
        <v>1891</v>
      </c>
      <c r="D93" s="6" t="s">
        <v>1892</v>
      </c>
      <c r="E93" s="29" t="s">
        <v>143</v>
      </c>
      <c r="F93" s="36" t="s">
        <v>396</v>
      </c>
      <c r="G93" s="14" t="str">
        <f aca="false">IFERROR(INDEX(WBS!$B$5:$B$279,MATCH($A93,WBS!$A$5:$A$279,0)),"-")</f>
        <v>DSA</v>
      </c>
      <c r="H93" s="41" t="str">
        <f aca="false">IFERROR(INDEX(WBS!$H$5:$H$279,MATCH($A93,WBS!$A$5:$A$279,0)),"-")</f>
        <v>P2</v>
      </c>
      <c r="I93" s="31" t="n">
        <f aca="false">IFERROR(INDEX(WBS!$U$5:$U$279,MATCH($A93,WBS!$A$5:$A$279,0)),0)</f>
        <v>8.8</v>
      </c>
      <c r="J93" s="7" t="str">
        <f aca="false">IF(ISNUMBER(MATCH($A93,WBS!$A$5:$A$279,0)),"✓","✗")</f>
        <v>✓</v>
      </c>
    </row>
    <row r="94" customFormat="false" ht="15" hidden="false" customHeight="false" outlineLevel="0" collapsed="false">
      <c r="A94" s="7" t="s">
        <v>1898</v>
      </c>
      <c r="B94" s="6" t="s">
        <v>5309</v>
      </c>
      <c r="C94" s="6" t="s">
        <v>1899</v>
      </c>
      <c r="D94" s="6" t="s">
        <v>1900</v>
      </c>
      <c r="E94" s="29" t="s">
        <v>143</v>
      </c>
      <c r="F94" s="36" t="s">
        <v>396</v>
      </c>
      <c r="G94" s="14" t="str">
        <f aca="false">IFERROR(INDEX(WBS!$B$5:$B$279,MATCH($A94,WBS!$A$5:$A$279,0)),"-")</f>
        <v>DSA</v>
      </c>
      <c r="H94" s="41" t="str">
        <f aca="false">IFERROR(INDEX(WBS!$H$5:$H$279,MATCH($A94,WBS!$A$5:$A$279,0)),"-")</f>
        <v>P2</v>
      </c>
      <c r="I94" s="31" t="n">
        <f aca="false">IFERROR(INDEX(WBS!$U$5:$U$279,MATCH($A94,WBS!$A$5:$A$279,0)),0)</f>
        <v>8.8</v>
      </c>
      <c r="J94" s="7" t="str">
        <f aca="false">IF(ISNUMBER(MATCH($A94,WBS!$A$5:$A$279,0)),"✓","✗")</f>
        <v>✓</v>
      </c>
    </row>
    <row r="95" customFormat="false" ht="15" hidden="false" customHeight="false" outlineLevel="0" collapsed="false">
      <c r="A95" s="7" t="s">
        <v>1905</v>
      </c>
      <c r="B95" s="6" t="s">
        <v>5309</v>
      </c>
      <c r="C95" s="6" t="s">
        <v>1796</v>
      </c>
      <c r="D95" s="6" t="s">
        <v>1797</v>
      </c>
      <c r="E95" s="29" t="s">
        <v>143</v>
      </c>
      <c r="F95" s="36" t="s">
        <v>396</v>
      </c>
      <c r="G95" s="14" t="str">
        <f aca="false">IFERROR(INDEX(WBS!$B$5:$B$279,MATCH($A95,WBS!$A$5:$A$279,0)),"-")</f>
        <v>DSA</v>
      </c>
      <c r="H95" s="41" t="str">
        <f aca="false">IFERROR(INDEX(WBS!$H$5:$H$279,MATCH($A95,WBS!$A$5:$A$279,0)),"-")</f>
        <v>P2</v>
      </c>
      <c r="I95" s="31" t="n">
        <f aca="false">IFERROR(INDEX(WBS!$U$5:$U$279,MATCH($A95,WBS!$A$5:$A$279,0)),0)</f>
        <v>5.9</v>
      </c>
      <c r="J95" s="7" t="str">
        <f aca="false">IF(ISNUMBER(MATCH($A95,WBS!$A$5:$A$279,0)),"✓","✗")</f>
        <v>✓</v>
      </c>
    </row>
    <row r="96" customFormat="false" ht="15" hidden="false" customHeight="false" outlineLevel="0" collapsed="false">
      <c r="A96" s="7" t="s">
        <v>1917</v>
      </c>
      <c r="B96" s="6" t="s">
        <v>5309</v>
      </c>
      <c r="C96" s="6" t="s">
        <v>1918</v>
      </c>
      <c r="D96" s="6" t="s">
        <v>1919</v>
      </c>
      <c r="E96" s="32" t="s">
        <v>265</v>
      </c>
      <c r="F96" s="36" t="s">
        <v>396</v>
      </c>
      <c r="G96" s="14" t="str">
        <f aca="false">IFERROR(INDEX(WBS!$B$5:$B$279,MATCH($A96,WBS!$A$5:$A$279,0)),"-")</f>
        <v>DSA</v>
      </c>
      <c r="H96" s="41" t="str">
        <f aca="false">IFERROR(INDEX(WBS!$H$5:$H$279,MATCH($A96,WBS!$A$5:$A$279,0)),"-")</f>
        <v>P3</v>
      </c>
      <c r="I96" s="31" t="n">
        <f aca="false">IFERROR(INDEX(WBS!$U$5:$U$279,MATCH($A96,WBS!$A$5:$A$279,0)),0)</f>
        <v>11.8</v>
      </c>
      <c r="J96" s="7" t="str">
        <f aca="false">IF(ISNUMBER(MATCH($A96,WBS!$A$5:$A$279,0)),"✓","✗")</f>
        <v>✓</v>
      </c>
    </row>
    <row r="97" customFormat="false" ht="15" hidden="false" customHeight="false" outlineLevel="0" collapsed="false">
      <c r="A97" s="7" t="s">
        <v>1924</v>
      </c>
      <c r="B97" s="6" t="s">
        <v>5309</v>
      </c>
      <c r="C97" s="6" t="s">
        <v>1925</v>
      </c>
      <c r="D97" s="6" t="s">
        <v>1926</v>
      </c>
      <c r="E97" s="32" t="s">
        <v>265</v>
      </c>
      <c r="F97" s="36" t="s">
        <v>396</v>
      </c>
      <c r="G97" s="14" t="str">
        <f aca="false">IFERROR(INDEX(WBS!$B$5:$B$279,MATCH($A97,WBS!$A$5:$A$279,0)),"-")</f>
        <v>DSA</v>
      </c>
      <c r="H97" s="41" t="str">
        <f aca="false">IFERROR(INDEX(WBS!$H$5:$H$279,MATCH($A97,WBS!$A$5:$A$279,0)),"-")</f>
        <v>P3</v>
      </c>
      <c r="I97" s="31" t="n">
        <f aca="false">IFERROR(INDEX(WBS!$U$5:$U$279,MATCH($A97,WBS!$A$5:$A$279,0)),0)</f>
        <v>8.8</v>
      </c>
      <c r="J97" s="7" t="str">
        <f aca="false">IF(ISNUMBER(MATCH($A97,WBS!$A$5:$A$279,0)),"✓","✗")</f>
        <v>✓</v>
      </c>
    </row>
    <row r="98" customFormat="false" ht="15" hidden="false" customHeight="false" outlineLevel="0" collapsed="false">
      <c r="A98" s="7" t="s">
        <v>1930</v>
      </c>
      <c r="B98" s="6" t="s">
        <v>5309</v>
      </c>
      <c r="C98" s="6" t="s">
        <v>1836</v>
      </c>
      <c r="D98" s="6" t="s">
        <v>752</v>
      </c>
      <c r="E98" s="32" t="s">
        <v>265</v>
      </c>
      <c r="F98" s="35" t="s">
        <v>386</v>
      </c>
      <c r="G98" s="14" t="str">
        <f aca="false">IFERROR(INDEX(WBS!$B$5:$B$279,MATCH($A98,WBS!$A$5:$A$279,0)),"-")</f>
        <v>DSA</v>
      </c>
      <c r="H98" s="41" t="str">
        <f aca="false">IFERROR(INDEX(WBS!$H$5:$H$279,MATCH($A98,WBS!$A$5:$A$279,0)),"-")</f>
        <v>P3</v>
      </c>
      <c r="I98" s="31" t="n">
        <f aca="false">IFERROR(INDEX(WBS!$U$5:$U$279,MATCH($A98,WBS!$A$5:$A$279,0)),0)</f>
        <v>2.9</v>
      </c>
      <c r="J98" s="7" t="str">
        <f aca="false">IF(ISNUMBER(MATCH($A98,WBS!$A$5:$A$279,0)),"✓","✗")</f>
        <v>✓</v>
      </c>
    </row>
    <row r="99" customFormat="false" ht="15" hidden="false" customHeight="false" outlineLevel="0" collapsed="false">
      <c r="A99" s="7" t="s">
        <v>1933</v>
      </c>
      <c r="B99" s="6" t="s">
        <v>5309</v>
      </c>
      <c r="C99" s="6" t="s">
        <v>1934</v>
      </c>
      <c r="D99" s="6" t="s">
        <v>1935</v>
      </c>
      <c r="E99" s="32" t="s">
        <v>265</v>
      </c>
      <c r="F99" s="35" t="s">
        <v>386</v>
      </c>
      <c r="G99" s="14" t="str">
        <f aca="false">IFERROR(INDEX(WBS!$B$5:$B$279,MATCH($A99,WBS!$A$5:$A$279,0)),"-")</f>
        <v>DSA</v>
      </c>
      <c r="H99" s="41" t="str">
        <f aca="false">IFERROR(INDEX(WBS!$H$5:$H$279,MATCH($A99,WBS!$A$5:$A$279,0)),"-")</f>
        <v>P3</v>
      </c>
      <c r="I99" s="31" t="n">
        <f aca="false">IFERROR(INDEX(WBS!$U$5:$U$279,MATCH($A99,WBS!$A$5:$A$279,0)),0)</f>
        <v>2.9</v>
      </c>
      <c r="J99" s="7" t="str">
        <f aca="false">IF(ISNUMBER(MATCH($A99,WBS!$A$5:$A$279,0)),"✓","✗")</f>
        <v>✓</v>
      </c>
    </row>
    <row r="100" customFormat="false" ht="15" hidden="false" customHeight="false" outlineLevel="0" collapsed="false">
      <c r="A100" s="7" t="s">
        <v>1939</v>
      </c>
      <c r="B100" s="6" t="s">
        <v>5309</v>
      </c>
      <c r="C100" s="6" t="s">
        <v>1847</v>
      </c>
      <c r="D100" s="6" t="s">
        <v>1848</v>
      </c>
      <c r="E100" s="32" t="s">
        <v>265</v>
      </c>
      <c r="F100" s="36" t="s">
        <v>396</v>
      </c>
      <c r="G100" s="14" t="str">
        <f aca="false">IFERROR(INDEX(WBS!$B$5:$B$279,MATCH($A100,WBS!$A$5:$A$279,0)),"-")</f>
        <v>DSA</v>
      </c>
      <c r="H100" s="41" t="str">
        <f aca="false">IFERROR(INDEX(WBS!$H$5:$H$279,MATCH($A100,WBS!$A$5:$A$279,0)),"-")</f>
        <v>P3</v>
      </c>
      <c r="I100" s="31" t="n">
        <f aca="false">IFERROR(INDEX(WBS!$U$5:$U$279,MATCH($A100,WBS!$A$5:$A$279,0)),0)</f>
        <v>2.9</v>
      </c>
      <c r="J100" s="7" t="str">
        <f aca="false">IF(ISNUMBER(MATCH($A100,WBS!$A$5:$A$279,0)),"✓","✗")</f>
        <v>✓</v>
      </c>
    </row>
    <row r="101" customFormat="false" ht="15" hidden="false" customHeight="false" outlineLevel="0" collapsed="false">
      <c r="A101" s="7" t="s">
        <v>1910</v>
      </c>
      <c r="B101" s="6" t="s">
        <v>5309</v>
      </c>
      <c r="C101" s="6" t="s">
        <v>1911</v>
      </c>
      <c r="D101" s="6" t="s">
        <v>1912</v>
      </c>
      <c r="E101" s="29" t="s">
        <v>143</v>
      </c>
      <c r="F101" s="35" t="s">
        <v>386</v>
      </c>
      <c r="G101" s="14" t="str">
        <f aca="false">IFERROR(INDEX(WBS!$B$5:$B$279,MATCH($A101,WBS!$A$5:$A$279,0)),"-")</f>
        <v>DSA</v>
      </c>
      <c r="H101" s="41" t="str">
        <f aca="false">IFERROR(INDEX(WBS!$H$5:$H$279,MATCH($A101,WBS!$A$5:$A$279,0)),"-")</f>
        <v>P2</v>
      </c>
      <c r="I101" s="31" t="n">
        <f aca="false">IFERROR(INDEX(WBS!$U$5:$U$279,MATCH($A101,WBS!$A$5:$A$279,0)),0)</f>
        <v>5.9</v>
      </c>
      <c r="J101" s="7" t="str">
        <f aca="false">IF(ISNUMBER(MATCH($A101,WBS!$A$5:$A$279,0)),"✓","✗")</f>
        <v>✓</v>
      </c>
    </row>
    <row r="102" customFormat="false" ht="15" hidden="false" customHeight="false" outlineLevel="0" collapsed="false">
      <c r="A102" s="7" t="s">
        <v>1944</v>
      </c>
      <c r="B102" s="6" t="s">
        <v>5309</v>
      </c>
      <c r="C102" s="6" t="s">
        <v>1945</v>
      </c>
      <c r="D102" s="6" t="s">
        <v>1946</v>
      </c>
      <c r="E102" s="32" t="s">
        <v>265</v>
      </c>
      <c r="F102" s="35" t="s">
        <v>386</v>
      </c>
      <c r="G102" s="14" t="str">
        <f aca="false">IFERROR(INDEX(WBS!$B$5:$B$279,MATCH($A102,WBS!$A$5:$A$279,0)),"-")</f>
        <v>DSA</v>
      </c>
      <c r="H102" s="41" t="str">
        <f aca="false">IFERROR(INDEX(WBS!$H$5:$H$279,MATCH($A102,WBS!$A$5:$A$279,0)),"-")</f>
        <v>P3</v>
      </c>
      <c r="I102" s="31" t="n">
        <f aca="false">IFERROR(INDEX(WBS!$U$5:$U$279,MATCH($A102,WBS!$A$5:$A$279,0)),0)</f>
        <v>8.8</v>
      </c>
      <c r="J102" s="7" t="str">
        <f aca="false">IF(ISNUMBER(MATCH($A102,WBS!$A$5:$A$279,0)),"✓","✗")</f>
        <v>✓</v>
      </c>
    </row>
    <row r="103" customFormat="false" ht="15" hidden="false" customHeight="false" outlineLevel="0" collapsed="false">
      <c r="A103" s="7" t="s">
        <v>1950</v>
      </c>
      <c r="B103" s="6" t="s">
        <v>5309</v>
      </c>
      <c r="C103" s="6" t="s">
        <v>1951</v>
      </c>
      <c r="D103" s="6" t="s">
        <v>1952</v>
      </c>
      <c r="E103" s="33" t="s">
        <v>286</v>
      </c>
      <c r="F103" s="35" t="s">
        <v>386</v>
      </c>
      <c r="G103" s="14" t="str">
        <f aca="false">IFERROR(INDEX(WBS!$B$5:$B$279,MATCH($A103,WBS!$A$5:$A$279,0)),"-")</f>
        <v>DSA</v>
      </c>
      <c r="H103" s="41" t="str">
        <f aca="false">IFERROR(INDEX(WBS!$H$5:$H$279,MATCH($A103,WBS!$A$5:$A$279,0)),"-")</f>
        <v>P4</v>
      </c>
      <c r="I103" s="31" t="n">
        <f aca="false">IFERROR(INDEX(WBS!$U$5:$U$279,MATCH($A103,WBS!$A$5:$A$279,0)),0)</f>
        <v>11.8</v>
      </c>
      <c r="J103" s="7" t="str">
        <f aca="false">IF(ISNUMBER(MATCH($A103,WBS!$A$5:$A$279,0)),"✓","✗")</f>
        <v>✓</v>
      </c>
    </row>
    <row r="104" customFormat="false" ht="15" hidden="false" customHeight="false" outlineLevel="0" collapsed="false">
      <c r="A104" s="7" t="s">
        <v>1957</v>
      </c>
      <c r="B104" s="6" t="s">
        <v>5309</v>
      </c>
      <c r="C104" s="6" t="s">
        <v>1958</v>
      </c>
      <c r="D104" s="6" t="s">
        <v>1959</v>
      </c>
      <c r="E104" s="33" t="s">
        <v>286</v>
      </c>
      <c r="F104" s="36" t="s">
        <v>396</v>
      </c>
      <c r="G104" s="14" t="str">
        <f aca="false">IFERROR(INDEX(WBS!$B$5:$B$279,MATCH($A104,WBS!$A$5:$A$279,0)),"-")</f>
        <v>DSA</v>
      </c>
      <c r="H104" s="41" t="str">
        <f aca="false">IFERROR(INDEX(WBS!$H$5:$H$279,MATCH($A104,WBS!$A$5:$A$279,0)),"-")</f>
        <v>P4</v>
      </c>
      <c r="I104" s="31" t="n">
        <f aca="false">IFERROR(INDEX(WBS!$U$5:$U$279,MATCH($A104,WBS!$A$5:$A$279,0)),0)</f>
        <v>8.8</v>
      </c>
      <c r="J104" s="7" t="str">
        <f aca="false">IF(ISNUMBER(MATCH($A104,WBS!$A$5:$A$279,0)),"✓","✗")</f>
        <v>✓</v>
      </c>
    </row>
    <row r="105" customFormat="false" ht="15" hidden="false" customHeight="false" outlineLevel="0" collapsed="false">
      <c r="A105" s="7" t="s">
        <v>1673</v>
      </c>
      <c r="B105" s="6" t="s">
        <v>5310</v>
      </c>
      <c r="C105" s="6" t="s">
        <v>1676</v>
      </c>
      <c r="D105" s="6" t="s">
        <v>1677</v>
      </c>
      <c r="E105" s="29" t="s">
        <v>143</v>
      </c>
      <c r="F105" s="34" t="s">
        <v>320</v>
      </c>
      <c r="G105" s="14" t="str">
        <f aca="false">IFERROR(INDEX(WBS!$B$5:$B$279,MATCH($A105,WBS!$A$5:$A$279,0)),"-")</f>
        <v>VEN</v>
      </c>
      <c r="H105" s="41" t="str">
        <f aca="false">IFERROR(INDEX(WBS!$H$5:$H$279,MATCH($A105,WBS!$A$5:$A$279,0)),"-")</f>
        <v>P2</v>
      </c>
      <c r="I105" s="31" t="n">
        <f aca="false">IFERROR(INDEX(WBS!$U$5:$U$279,MATCH($A105,WBS!$A$5:$A$279,0)),0)</f>
        <v>16.7</v>
      </c>
      <c r="J105" s="7" t="str">
        <f aca="false">IF(ISNUMBER(MATCH($A105,WBS!$A$5:$A$279,0)),"✓","✗")</f>
        <v>✓</v>
      </c>
    </row>
    <row r="106" customFormat="false" ht="15" hidden="false" customHeight="false" outlineLevel="0" collapsed="false">
      <c r="A106" s="7" t="s">
        <v>1682</v>
      </c>
      <c r="B106" s="6" t="s">
        <v>5310</v>
      </c>
      <c r="C106" s="6" t="s">
        <v>1683</v>
      </c>
      <c r="D106" s="6" t="s">
        <v>1684</v>
      </c>
      <c r="E106" s="29" t="s">
        <v>143</v>
      </c>
      <c r="F106" s="34" t="s">
        <v>320</v>
      </c>
      <c r="G106" s="14" t="str">
        <f aca="false">IFERROR(INDEX(WBS!$B$5:$B$279,MATCH($A106,WBS!$A$5:$A$279,0)),"-")</f>
        <v>VEN</v>
      </c>
      <c r="H106" s="41" t="str">
        <f aca="false">IFERROR(INDEX(WBS!$H$5:$H$279,MATCH($A106,WBS!$A$5:$A$279,0)),"-")</f>
        <v>P2</v>
      </c>
      <c r="I106" s="31" t="n">
        <f aca="false">IFERROR(INDEX(WBS!$U$5:$U$279,MATCH($A106,WBS!$A$5:$A$279,0)),0)</f>
        <v>8.8</v>
      </c>
      <c r="J106" s="7" t="str">
        <f aca="false">IF(ISNUMBER(MATCH($A106,WBS!$A$5:$A$279,0)),"✓","✗")</f>
        <v>✓</v>
      </c>
    </row>
    <row r="107" customFormat="false" ht="15" hidden="false" customHeight="false" outlineLevel="0" collapsed="false">
      <c r="A107" s="7" t="s">
        <v>1724</v>
      </c>
      <c r="B107" s="6" t="s">
        <v>5310</v>
      </c>
      <c r="C107" s="6" t="s">
        <v>1725</v>
      </c>
      <c r="D107" s="6" t="s">
        <v>1726</v>
      </c>
      <c r="E107" s="32" t="s">
        <v>265</v>
      </c>
      <c r="F107" s="35" t="s">
        <v>386</v>
      </c>
      <c r="G107" s="14" t="str">
        <f aca="false">IFERROR(INDEX(WBS!$B$5:$B$279,MATCH($A107,WBS!$A$5:$A$279,0)),"-")</f>
        <v>VEN</v>
      </c>
      <c r="H107" s="41" t="str">
        <f aca="false">IFERROR(INDEX(WBS!$H$5:$H$279,MATCH($A107,WBS!$A$5:$A$279,0)),"-")</f>
        <v>P3</v>
      </c>
      <c r="I107" s="31" t="n">
        <f aca="false">IFERROR(INDEX(WBS!$U$5:$U$279,MATCH($A107,WBS!$A$5:$A$279,0)),0)</f>
        <v>8.8</v>
      </c>
      <c r="J107" s="7" t="str">
        <f aca="false">IF(ISNUMBER(MATCH($A107,WBS!$A$5:$A$279,0)),"✓","✗")</f>
        <v>✓</v>
      </c>
    </row>
    <row r="108" customFormat="false" ht="15" hidden="false" customHeight="false" outlineLevel="0" collapsed="false">
      <c r="A108" s="7" t="s">
        <v>1689</v>
      </c>
      <c r="B108" s="6" t="s">
        <v>5310</v>
      </c>
      <c r="C108" s="6" t="s">
        <v>1690</v>
      </c>
      <c r="D108" s="6" t="s">
        <v>1691</v>
      </c>
      <c r="E108" s="29" t="s">
        <v>143</v>
      </c>
      <c r="F108" s="34" t="s">
        <v>320</v>
      </c>
      <c r="G108" s="14" t="str">
        <f aca="false">IFERROR(INDEX(WBS!$B$5:$B$279,MATCH($A108,WBS!$A$5:$A$279,0)),"-")</f>
        <v>VEN</v>
      </c>
      <c r="H108" s="41" t="str">
        <f aca="false">IFERROR(INDEX(WBS!$H$5:$H$279,MATCH($A108,WBS!$A$5:$A$279,0)),"-")</f>
        <v>P2</v>
      </c>
      <c r="I108" s="31" t="n">
        <f aca="false">IFERROR(INDEX(WBS!$U$5:$U$279,MATCH($A108,WBS!$A$5:$A$279,0)),0)</f>
        <v>8.8</v>
      </c>
      <c r="J108" s="7" t="str">
        <f aca="false">IF(ISNUMBER(MATCH($A108,WBS!$A$5:$A$279,0)),"✓","✗")</f>
        <v>✓</v>
      </c>
    </row>
    <row r="109" customFormat="false" ht="15" hidden="false" customHeight="false" outlineLevel="0" collapsed="false">
      <c r="A109" s="7" t="s">
        <v>1696</v>
      </c>
      <c r="B109" s="6" t="s">
        <v>5310</v>
      </c>
      <c r="C109" s="6" t="s">
        <v>1697</v>
      </c>
      <c r="D109" s="6" t="s">
        <v>1698</v>
      </c>
      <c r="E109" s="29" t="s">
        <v>143</v>
      </c>
      <c r="F109" s="34" t="s">
        <v>320</v>
      </c>
      <c r="G109" s="14" t="str">
        <f aca="false">IFERROR(INDEX(WBS!$B$5:$B$279,MATCH($A109,WBS!$A$5:$A$279,0)),"-")</f>
        <v>VEN</v>
      </c>
      <c r="H109" s="41" t="str">
        <f aca="false">IFERROR(INDEX(WBS!$H$5:$H$279,MATCH($A109,WBS!$A$5:$A$279,0)),"-")</f>
        <v>P2</v>
      </c>
      <c r="I109" s="31" t="n">
        <f aca="false">IFERROR(INDEX(WBS!$U$5:$U$279,MATCH($A109,WBS!$A$5:$A$279,0)),0)</f>
        <v>16.7</v>
      </c>
      <c r="J109" s="7" t="str">
        <f aca="false">IF(ISNUMBER(MATCH($A109,WBS!$A$5:$A$279,0)),"✓","✗")</f>
        <v>✓</v>
      </c>
    </row>
    <row r="110" customFormat="false" ht="15" hidden="false" customHeight="false" outlineLevel="0" collapsed="false">
      <c r="A110" s="7" t="s">
        <v>1730</v>
      </c>
      <c r="B110" s="6" t="s">
        <v>5310</v>
      </c>
      <c r="C110" s="6" t="s">
        <v>1731</v>
      </c>
      <c r="D110" s="6" t="s">
        <v>1732</v>
      </c>
      <c r="E110" s="32" t="s">
        <v>265</v>
      </c>
      <c r="F110" s="35" t="s">
        <v>386</v>
      </c>
      <c r="G110" s="14" t="str">
        <f aca="false">IFERROR(INDEX(WBS!$B$5:$B$279,MATCH($A110,WBS!$A$5:$A$279,0)),"-")</f>
        <v>VEN</v>
      </c>
      <c r="H110" s="41" t="str">
        <f aca="false">IFERROR(INDEX(WBS!$H$5:$H$279,MATCH($A110,WBS!$A$5:$A$279,0)),"-")</f>
        <v>P3</v>
      </c>
      <c r="I110" s="31" t="n">
        <f aca="false">IFERROR(INDEX(WBS!$U$5:$U$279,MATCH($A110,WBS!$A$5:$A$279,0)),0)</f>
        <v>8.8</v>
      </c>
      <c r="J110" s="7" t="str">
        <f aca="false">IF(ISNUMBER(MATCH($A110,WBS!$A$5:$A$279,0)),"✓","✗")</f>
        <v>✓</v>
      </c>
    </row>
    <row r="111" customFormat="false" ht="15" hidden="false" customHeight="false" outlineLevel="0" collapsed="false">
      <c r="A111" s="7" t="s">
        <v>1704</v>
      </c>
      <c r="B111" s="6" t="s">
        <v>5310</v>
      </c>
      <c r="C111" s="6" t="s">
        <v>1705</v>
      </c>
      <c r="D111" s="6" t="s">
        <v>1706</v>
      </c>
      <c r="E111" s="29" t="s">
        <v>143</v>
      </c>
      <c r="F111" s="34" t="s">
        <v>320</v>
      </c>
      <c r="G111" s="14" t="str">
        <f aca="false">IFERROR(INDEX(WBS!$B$5:$B$279,MATCH($A111,WBS!$A$5:$A$279,0)),"-")</f>
        <v>VEN</v>
      </c>
      <c r="H111" s="41" t="str">
        <f aca="false">IFERROR(INDEX(WBS!$H$5:$H$279,MATCH($A111,WBS!$A$5:$A$279,0)),"-")</f>
        <v>P2</v>
      </c>
      <c r="I111" s="31" t="n">
        <f aca="false">IFERROR(INDEX(WBS!$U$5:$U$279,MATCH($A111,WBS!$A$5:$A$279,0)),0)</f>
        <v>11.8</v>
      </c>
      <c r="J111" s="7" t="str">
        <f aca="false">IF(ISNUMBER(MATCH($A111,WBS!$A$5:$A$279,0)),"✓","✗")</f>
        <v>✓</v>
      </c>
    </row>
    <row r="112" customFormat="false" ht="15" hidden="false" customHeight="false" outlineLevel="0" collapsed="false">
      <c r="A112" s="7" t="s">
        <v>1711</v>
      </c>
      <c r="B112" s="6" t="s">
        <v>5310</v>
      </c>
      <c r="C112" s="6" t="s">
        <v>1712</v>
      </c>
      <c r="D112" s="6" t="s">
        <v>1713</v>
      </c>
      <c r="E112" s="29" t="s">
        <v>143</v>
      </c>
      <c r="F112" s="34" t="s">
        <v>320</v>
      </c>
      <c r="G112" s="14" t="str">
        <f aca="false">IFERROR(INDEX(WBS!$B$5:$B$279,MATCH($A112,WBS!$A$5:$A$279,0)),"-")</f>
        <v>VEN</v>
      </c>
      <c r="H112" s="41" t="str">
        <f aca="false">IFERROR(INDEX(WBS!$H$5:$H$279,MATCH($A112,WBS!$A$5:$A$279,0)),"-")</f>
        <v>P2</v>
      </c>
      <c r="I112" s="31" t="n">
        <f aca="false">IFERROR(INDEX(WBS!$U$5:$U$279,MATCH($A112,WBS!$A$5:$A$279,0)),0)</f>
        <v>8.8</v>
      </c>
      <c r="J112" s="7" t="str">
        <f aca="false">IF(ISNUMBER(MATCH($A112,WBS!$A$5:$A$279,0)),"✓","✗")</f>
        <v>✓</v>
      </c>
    </row>
    <row r="113" customFormat="false" ht="15" hidden="false" customHeight="false" outlineLevel="0" collapsed="false">
      <c r="A113" s="7" t="s">
        <v>1736</v>
      </c>
      <c r="B113" s="6" t="s">
        <v>5310</v>
      </c>
      <c r="C113" s="6" t="s">
        <v>1737</v>
      </c>
      <c r="D113" s="6" t="s">
        <v>1738</v>
      </c>
      <c r="E113" s="32" t="s">
        <v>265</v>
      </c>
      <c r="F113" s="34" t="s">
        <v>320</v>
      </c>
      <c r="G113" s="14" t="str">
        <f aca="false">IFERROR(INDEX(WBS!$B$5:$B$279,MATCH($A113,WBS!$A$5:$A$279,0)),"-")</f>
        <v>VEN</v>
      </c>
      <c r="H113" s="41" t="str">
        <f aca="false">IFERROR(INDEX(WBS!$H$5:$H$279,MATCH($A113,WBS!$A$5:$A$279,0)),"-")</f>
        <v>P3</v>
      </c>
      <c r="I113" s="31" t="n">
        <f aca="false">IFERROR(INDEX(WBS!$U$5:$U$279,MATCH($A113,WBS!$A$5:$A$279,0)),0)</f>
        <v>8.8</v>
      </c>
      <c r="J113" s="7" t="str">
        <f aca="false">IF(ISNUMBER(MATCH($A113,WBS!$A$5:$A$279,0)),"✓","✗")</f>
        <v>✓</v>
      </c>
    </row>
    <row r="114" customFormat="false" ht="15" hidden="false" customHeight="false" outlineLevel="0" collapsed="false">
      <c r="A114" s="7" t="s">
        <v>1742</v>
      </c>
      <c r="B114" s="6" t="s">
        <v>5310</v>
      </c>
      <c r="C114" s="6" t="s">
        <v>1743</v>
      </c>
      <c r="D114" s="6" t="s">
        <v>1744</v>
      </c>
      <c r="E114" s="32" t="s">
        <v>265</v>
      </c>
      <c r="F114" s="34" t="s">
        <v>320</v>
      </c>
      <c r="G114" s="14" t="str">
        <f aca="false">IFERROR(INDEX(WBS!$B$5:$B$279,MATCH($A114,WBS!$A$5:$A$279,0)),"-")</f>
        <v>VEN</v>
      </c>
      <c r="H114" s="41" t="str">
        <f aca="false">IFERROR(INDEX(WBS!$H$5:$H$279,MATCH($A114,WBS!$A$5:$A$279,0)),"-")</f>
        <v>P3</v>
      </c>
      <c r="I114" s="31" t="n">
        <f aca="false">IFERROR(INDEX(WBS!$U$5:$U$279,MATCH($A114,WBS!$A$5:$A$279,0)),0)</f>
        <v>5.9</v>
      </c>
      <c r="J114" s="7" t="str">
        <f aca="false">IF(ISNUMBER(MATCH($A114,WBS!$A$5:$A$279,0)),"✓","✗")</f>
        <v>✓</v>
      </c>
    </row>
    <row r="115" customFormat="false" ht="15" hidden="false" customHeight="false" outlineLevel="0" collapsed="false">
      <c r="A115" s="7" t="s">
        <v>1717</v>
      </c>
      <c r="B115" s="6" t="s">
        <v>5310</v>
      </c>
      <c r="C115" s="6" t="s">
        <v>1718</v>
      </c>
      <c r="D115" s="6" t="s">
        <v>1719</v>
      </c>
      <c r="E115" s="29" t="s">
        <v>143</v>
      </c>
      <c r="F115" s="34" t="s">
        <v>320</v>
      </c>
      <c r="G115" s="14" t="str">
        <f aca="false">IFERROR(INDEX(WBS!$B$5:$B$279,MATCH($A115,WBS!$A$5:$A$279,0)),"-")</f>
        <v>VEN</v>
      </c>
      <c r="H115" s="41" t="str">
        <f aca="false">IFERROR(INDEX(WBS!$H$5:$H$279,MATCH($A115,WBS!$A$5:$A$279,0)),"-")</f>
        <v>P2</v>
      </c>
      <c r="I115" s="31" t="n">
        <f aca="false">IFERROR(INDEX(WBS!$U$5:$U$279,MATCH($A115,WBS!$A$5:$A$279,0)),0)</f>
        <v>8.8</v>
      </c>
      <c r="J115" s="7" t="str">
        <f aca="false">IF(ISNUMBER(MATCH($A115,WBS!$A$5:$A$279,0)),"✓","✗")</f>
        <v>✓</v>
      </c>
    </row>
    <row r="116" customFormat="false" ht="15" hidden="false" customHeight="false" outlineLevel="0" collapsed="false">
      <c r="A116" s="7" t="s">
        <v>1749</v>
      </c>
      <c r="B116" s="6" t="s">
        <v>5310</v>
      </c>
      <c r="C116" s="6" t="s">
        <v>1750</v>
      </c>
      <c r="D116" s="6" t="s">
        <v>1751</v>
      </c>
      <c r="E116" s="32" t="s">
        <v>265</v>
      </c>
      <c r="F116" s="34" t="s">
        <v>320</v>
      </c>
      <c r="G116" s="14" t="str">
        <f aca="false">IFERROR(INDEX(WBS!$B$5:$B$279,MATCH($A116,WBS!$A$5:$A$279,0)),"-")</f>
        <v>VEN</v>
      </c>
      <c r="H116" s="41" t="str">
        <f aca="false">IFERROR(INDEX(WBS!$H$5:$H$279,MATCH($A116,WBS!$A$5:$A$279,0)),"-")</f>
        <v>P3</v>
      </c>
      <c r="I116" s="31" t="n">
        <f aca="false">IFERROR(INDEX(WBS!$U$5:$U$279,MATCH($A116,WBS!$A$5:$A$279,0)),0)</f>
        <v>5.9</v>
      </c>
      <c r="J116" s="7" t="str">
        <f aca="false">IF(ISNUMBER(MATCH($A116,WBS!$A$5:$A$279,0)),"✓","✗")</f>
        <v>✓</v>
      </c>
    </row>
    <row r="117" customFormat="false" ht="15" hidden="false" customHeight="false" outlineLevel="0" collapsed="false">
      <c r="A117" s="7" t="s">
        <v>1756</v>
      </c>
      <c r="B117" s="6" t="s">
        <v>5310</v>
      </c>
      <c r="C117" s="6" t="s">
        <v>1757</v>
      </c>
      <c r="D117" s="6" t="s">
        <v>1758</v>
      </c>
      <c r="E117" s="32" t="s">
        <v>265</v>
      </c>
      <c r="F117" s="34" t="s">
        <v>320</v>
      </c>
      <c r="G117" s="14" t="str">
        <f aca="false">IFERROR(INDEX(WBS!$B$5:$B$279,MATCH($A117,WBS!$A$5:$A$279,0)),"-")</f>
        <v>VEN</v>
      </c>
      <c r="H117" s="41" t="str">
        <f aca="false">IFERROR(INDEX(WBS!$H$5:$H$279,MATCH($A117,WBS!$A$5:$A$279,0)),"-")</f>
        <v>P3</v>
      </c>
      <c r="I117" s="31" t="n">
        <f aca="false">IFERROR(INDEX(WBS!$U$5:$U$279,MATCH($A117,WBS!$A$5:$A$279,0)),0)</f>
        <v>11.8</v>
      </c>
      <c r="J117" s="7" t="str">
        <f aca="false">IF(ISNUMBER(MATCH($A117,WBS!$A$5:$A$279,0)),"✓","✗")</f>
        <v>✓</v>
      </c>
    </row>
    <row r="118" customFormat="false" ht="15" hidden="false" customHeight="false" outlineLevel="0" collapsed="false">
      <c r="A118" s="7" t="s">
        <v>1762</v>
      </c>
      <c r="B118" s="6" t="s">
        <v>5310</v>
      </c>
      <c r="C118" s="6" t="s">
        <v>1763</v>
      </c>
      <c r="D118" s="6" t="s">
        <v>1764</v>
      </c>
      <c r="E118" s="32" t="s">
        <v>265</v>
      </c>
      <c r="F118" s="35" t="s">
        <v>386</v>
      </c>
      <c r="G118" s="14" t="str">
        <f aca="false">IFERROR(INDEX(WBS!$B$5:$B$279,MATCH($A118,WBS!$A$5:$A$279,0)),"-")</f>
        <v>VEN</v>
      </c>
      <c r="H118" s="41" t="str">
        <f aca="false">IFERROR(INDEX(WBS!$H$5:$H$279,MATCH($A118,WBS!$A$5:$A$279,0)),"-")</f>
        <v>P3</v>
      </c>
      <c r="I118" s="31" t="n">
        <f aca="false">IFERROR(INDEX(WBS!$U$5:$U$279,MATCH($A118,WBS!$A$5:$A$279,0)),0)</f>
        <v>8.8</v>
      </c>
      <c r="J118" s="7" t="str">
        <f aca="false">IF(ISNUMBER(MATCH($A118,WBS!$A$5:$A$279,0)),"✓","✗")</f>
        <v>✓</v>
      </c>
    </row>
    <row r="119" customFormat="false" ht="15" hidden="false" customHeight="false" outlineLevel="0" collapsed="false">
      <c r="A119" s="7" t="s">
        <v>1769</v>
      </c>
      <c r="B119" s="6" t="s">
        <v>5310</v>
      </c>
      <c r="C119" s="6" t="s">
        <v>1770</v>
      </c>
      <c r="D119" s="6" t="s">
        <v>1771</v>
      </c>
      <c r="E119" s="33" t="s">
        <v>286</v>
      </c>
      <c r="F119" s="34" t="s">
        <v>320</v>
      </c>
      <c r="G119" s="14" t="str">
        <f aca="false">IFERROR(INDEX(WBS!$B$5:$B$279,MATCH($A119,WBS!$A$5:$A$279,0)),"-")</f>
        <v>VEN</v>
      </c>
      <c r="H119" s="41" t="str">
        <f aca="false">IFERROR(INDEX(WBS!$H$5:$H$279,MATCH($A119,WBS!$A$5:$A$279,0)),"-")</f>
        <v>P4</v>
      </c>
      <c r="I119" s="31" t="n">
        <f aca="false">IFERROR(INDEX(WBS!$U$5:$U$279,MATCH($A119,WBS!$A$5:$A$279,0)),0)</f>
        <v>11.8</v>
      </c>
      <c r="J119" s="7" t="str">
        <f aca="false">IF(ISNUMBER(MATCH($A119,WBS!$A$5:$A$279,0)),"✓","✗")</f>
        <v>✓</v>
      </c>
    </row>
    <row r="120" customFormat="false" ht="15" hidden="false" customHeight="false" outlineLevel="0" collapsed="false">
      <c r="A120" s="7" t="s">
        <v>435</v>
      </c>
      <c r="B120" s="6" t="s">
        <v>5311</v>
      </c>
      <c r="C120" s="6" t="s">
        <v>438</v>
      </c>
      <c r="D120" s="6" t="s">
        <v>439</v>
      </c>
      <c r="E120" s="29" t="s">
        <v>143</v>
      </c>
      <c r="F120" s="34" t="s">
        <v>320</v>
      </c>
      <c r="G120" s="14" t="str">
        <f aca="false">IFERROR(INDEX(WBS!$B$5:$B$279,MATCH($A120,WBS!$A$5:$A$279,0)),"-")</f>
        <v>ORG</v>
      </c>
      <c r="H120" s="41" t="str">
        <f aca="false">IFERROR(INDEX(WBS!$H$5:$H$279,MATCH($A120,WBS!$A$5:$A$279,0)),"-")</f>
        <v>P0</v>
      </c>
      <c r="I120" s="31" t="n">
        <f aca="false">IFERROR(INDEX(WBS!$U$5:$U$279,MATCH($A120,WBS!$A$5:$A$279,0)),0)</f>
        <v>10</v>
      </c>
      <c r="J120" s="7" t="str">
        <f aca="false">IF(ISNUMBER(MATCH($A120,WBS!$A$5:$A$279,0)),"✓","✗")</f>
        <v>✓</v>
      </c>
    </row>
    <row r="121" customFormat="false" ht="15" hidden="false" customHeight="false" outlineLevel="0" collapsed="false">
      <c r="A121" s="7" t="s">
        <v>444</v>
      </c>
      <c r="B121" s="6" t="s">
        <v>5311</v>
      </c>
      <c r="C121" s="6" t="s">
        <v>445</v>
      </c>
      <c r="D121" s="6" t="s">
        <v>446</v>
      </c>
      <c r="E121" s="32" t="s">
        <v>265</v>
      </c>
      <c r="F121" s="34" t="s">
        <v>320</v>
      </c>
      <c r="G121" s="14" t="str">
        <f aca="false">IFERROR(INDEX(WBS!$B$5:$B$279,MATCH($A121,WBS!$A$5:$A$279,0)),"-")</f>
        <v>ORG</v>
      </c>
      <c r="H121" s="41" t="str">
        <f aca="false">IFERROR(INDEX(WBS!$H$5:$H$279,MATCH($A121,WBS!$A$5:$A$279,0)),"-")</f>
        <v>P0</v>
      </c>
      <c r="I121" s="31" t="n">
        <f aca="false">IFERROR(INDEX(WBS!$U$5:$U$279,MATCH($A121,WBS!$A$5:$A$279,0)),0)</f>
        <v>11.8</v>
      </c>
      <c r="J121" s="7" t="str">
        <f aca="false">IF(ISNUMBER(MATCH($A121,WBS!$A$5:$A$279,0)),"✓","✗")</f>
        <v>✓</v>
      </c>
    </row>
    <row r="122" customFormat="false" ht="15" hidden="false" customHeight="false" outlineLevel="0" collapsed="false">
      <c r="A122" s="7" t="s">
        <v>501</v>
      </c>
      <c r="B122" s="6" t="s">
        <v>5311</v>
      </c>
      <c r="C122" s="6" t="s">
        <v>502</v>
      </c>
      <c r="D122" s="6" t="s">
        <v>503</v>
      </c>
      <c r="E122" s="33" t="s">
        <v>286</v>
      </c>
      <c r="F122" s="35" t="s">
        <v>386</v>
      </c>
      <c r="G122" s="14" t="str">
        <f aca="false">IFERROR(INDEX(WBS!$B$5:$B$279,MATCH($A122,WBS!$A$5:$A$279,0)),"-")</f>
        <v>ORG</v>
      </c>
      <c r="H122" s="41" t="str">
        <f aca="false">IFERROR(INDEX(WBS!$H$5:$H$279,MATCH($A122,WBS!$A$5:$A$279,0)),"-")</f>
        <v>P4</v>
      </c>
      <c r="I122" s="31" t="n">
        <f aca="false">IFERROR(INDEX(WBS!$U$5:$U$279,MATCH($A122,WBS!$A$5:$A$279,0)),0)</f>
        <v>2.9</v>
      </c>
      <c r="J122" s="7" t="str">
        <f aca="false">IF(ISNUMBER(MATCH($A122,WBS!$A$5:$A$279,0)),"✓","✗")</f>
        <v>✓</v>
      </c>
    </row>
    <row r="123" customFormat="false" ht="15" hidden="false" customHeight="false" outlineLevel="0" collapsed="false">
      <c r="A123" s="7" t="s">
        <v>451</v>
      </c>
      <c r="B123" s="6" t="s">
        <v>5311</v>
      </c>
      <c r="C123" s="6" t="s">
        <v>453</v>
      </c>
      <c r="D123" s="6" t="s">
        <v>454</v>
      </c>
      <c r="E123" s="29" t="s">
        <v>143</v>
      </c>
      <c r="F123" s="34" t="s">
        <v>320</v>
      </c>
      <c r="G123" s="14" t="str">
        <f aca="false">IFERROR(INDEX(WBS!$B$5:$B$279,MATCH($A123,WBS!$A$5:$A$279,0)),"-")</f>
        <v>ORG</v>
      </c>
      <c r="H123" s="41" t="str">
        <f aca="false">IFERROR(INDEX(WBS!$H$5:$H$279,MATCH($A123,WBS!$A$5:$A$279,0)),"-")</f>
        <v>P0</v>
      </c>
      <c r="I123" s="31" t="n">
        <f aca="false">IFERROR(INDEX(WBS!$U$5:$U$279,MATCH($A123,WBS!$A$5:$A$279,0)),0)</f>
        <v>16.7</v>
      </c>
      <c r="J123" s="7" t="str">
        <f aca="false">IF(ISNUMBER(MATCH($A123,WBS!$A$5:$A$279,0)),"✓","✗")</f>
        <v>✓</v>
      </c>
    </row>
    <row r="124" customFormat="false" ht="15" hidden="false" customHeight="false" outlineLevel="0" collapsed="false">
      <c r="A124" s="7" t="s">
        <v>479</v>
      </c>
      <c r="B124" s="6" t="s">
        <v>5311</v>
      </c>
      <c r="C124" s="6" t="s">
        <v>480</v>
      </c>
      <c r="D124" s="6" t="s">
        <v>481</v>
      </c>
      <c r="E124" s="32" t="s">
        <v>265</v>
      </c>
      <c r="F124" s="35" t="s">
        <v>386</v>
      </c>
      <c r="G124" s="14" t="str">
        <f aca="false">IFERROR(INDEX(WBS!$B$5:$B$279,MATCH($A124,WBS!$A$5:$A$279,0)),"-")</f>
        <v>ORG</v>
      </c>
      <c r="H124" s="41" t="str">
        <f aca="false">IFERROR(INDEX(WBS!$H$5:$H$279,MATCH($A124,WBS!$A$5:$A$279,0)),"-")</f>
        <v>P3</v>
      </c>
      <c r="I124" s="31" t="n">
        <f aca="false">IFERROR(INDEX(WBS!$U$5:$U$279,MATCH($A124,WBS!$A$5:$A$279,0)),0)</f>
        <v>8.8</v>
      </c>
      <c r="J124" s="7" t="str">
        <f aca="false">IF(ISNUMBER(MATCH($A124,WBS!$A$5:$A$279,0)),"✓","✗")</f>
        <v>✓</v>
      </c>
    </row>
    <row r="125" customFormat="false" ht="15" hidden="false" customHeight="false" outlineLevel="0" collapsed="false">
      <c r="A125" s="7" t="s">
        <v>472</v>
      </c>
      <c r="B125" s="6" t="s">
        <v>5311</v>
      </c>
      <c r="C125" s="6" t="s">
        <v>473</v>
      </c>
      <c r="D125" s="6" t="s">
        <v>474</v>
      </c>
      <c r="E125" s="29" t="s">
        <v>143</v>
      </c>
      <c r="F125" s="34" t="s">
        <v>320</v>
      </c>
      <c r="G125" s="14" t="str">
        <f aca="false">IFERROR(INDEX(WBS!$B$5:$B$279,MATCH($A125,WBS!$A$5:$A$279,0)),"-")</f>
        <v>ORG</v>
      </c>
      <c r="H125" s="41" t="str">
        <f aca="false">IFERROR(INDEX(WBS!$H$5:$H$279,MATCH($A125,WBS!$A$5:$A$279,0)),"-")</f>
        <v>P1</v>
      </c>
      <c r="I125" s="31" t="n">
        <f aca="false">IFERROR(INDEX(WBS!$U$5:$U$279,MATCH($A125,WBS!$A$5:$A$279,0)),0)</f>
        <v>16.7</v>
      </c>
      <c r="J125" s="7" t="str">
        <f aca="false">IF(ISNUMBER(MATCH($A125,WBS!$A$5:$A$279,0)),"✓","✗")</f>
        <v>✓</v>
      </c>
    </row>
    <row r="126" customFormat="false" ht="15" hidden="false" customHeight="false" outlineLevel="0" collapsed="false">
      <c r="A126" s="7" t="s">
        <v>458</v>
      </c>
      <c r="B126" s="6" t="s">
        <v>5311</v>
      </c>
      <c r="C126" s="6" t="s">
        <v>459</v>
      </c>
      <c r="D126" s="6" t="s">
        <v>460</v>
      </c>
      <c r="E126" s="29" t="s">
        <v>143</v>
      </c>
      <c r="F126" s="34" t="s">
        <v>320</v>
      </c>
      <c r="G126" s="14" t="str">
        <f aca="false">IFERROR(INDEX(WBS!$B$5:$B$279,MATCH($A126,WBS!$A$5:$A$279,0)),"-")</f>
        <v>ORG</v>
      </c>
      <c r="H126" s="41" t="str">
        <f aca="false">IFERROR(INDEX(WBS!$H$5:$H$279,MATCH($A126,WBS!$A$5:$A$279,0)),"-")</f>
        <v>P0</v>
      </c>
      <c r="I126" s="31" t="n">
        <f aca="false">IFERROR(INDEX(WBS!$U$5:$U$279,MATCH($A126,WBS!$A$5:$A$279,0)),0)</f>
        <v>14.7</v>
      </c>
      <c r="J126" s="7" t="str">
        <f aca="false">IF(ISNUMBER(MATCH($A126,WBS!$A$5:$A$279,0)),"✓","✗")</f>
        <v>✓</v>
      </c>
    </row>
    <row r="127" customFormat="false" ht="15" hidden="false" customHeight="false" outlineLevel="0" collapsed="false">
      <c r="A127" s="7" t="s">
        <v>486</v>
      </c>
      <c r="B127" s="6" t="s">
        <v>5311</v>
      </c>
      <c r="C127" s="6" t="s">
        <v>487</v>
      </c>
      <c r="D127" s="6" t="s">
        <v>488</v>
      </c>
      <c r="E127" s="32" t="s">
        <v>265</v>
      </c>
      <c r="F127" s="34" t="s">
        <v>320</v>
      </c>
      <c r="G127" s="14" t="str">
        <f aca="false">IFERROR(INDEX(WBS!$B$5:$B$279,MATCH($A127,WBS!$A$5:$A$279,0)),"-")</f>
        <v>ORG</v>
      </c>
      <c r="H127" s="41" t="str">
        <f aca="false">IFERROR(INDEX(WBS!$H$5:$H$279,MATCH($A127,WBS!$A$5:$A$279,0)),"-")</f>
        <v>P3</v>
      </c>
      <c r="I127" s="31" t="n">
        <f aca="false">IFERROR(INDEX(WBS!$U$5:$U$279,MATCH($A127,WBS!$A$5:$A$279,0)),0)</f>
        <v>5.9</v>
      </c>
      <c r="J127" s="7" t="str">
        <f aca="false">IF(ISNUMBER(MATCH($A127,WBS!$A$5:$A$279,0)),"✓","✗")</f>
        <v>✓</v>
      </c>
    </row>
    <row r="128" customFormat="false" ht="15" hidden="false" customHeight="false" outlineLevel="0" collapsed="false">
      <c r="A128" s="7" t="s">
        <v>312</v>
      </c>
      <c r="B128" s="6" t="s">
        <v>5311</v>
      </c>
      <c r="C128" s="6" t="s">
        <v>313</v>
      </c>
      <c r="D128" s="6" t="s">
        <v>314</v>
      </c>
      <c r="E128" s="29" t="s">
        <v>143</v>
      </c>
      <c r="F128" s="34" t="s">
        <v>320</v>
      </c>
      <c r="G128" s="14" t="str">
        <f aca="false">IFERROR(INDEX(WBS!$B$5:$B$279,MATCH($A128,WBS!$A$5:$A$279,0)),"-")</f>
        <v>IAM</v>
      </c>
      <c r="H128" s="41" t="str">
        <f aca="false">IFERROR(INDEX(WBS!$H$5:$H$279,MATCH($A128,WBS!$A$5:$A$279,0)),"-")</f>
        <v>P0</v>
      </c>
      <c r="I128" s="31" t="n">
        <f aca="false">IFERROR(INDEX(WBS!$U$5:$U$279,MATCH($A128,WBS!$A$5:$A$279,0)),0)</f>
        <v>16.7</v>
      </c>
      <c r="J128" s="7" t="str">
        <f aca="false">IF(ISNUMBER(MATCH($A128,WBS!$A$5:$A$279,0)),"✓","✗")</f>
        <v>✓</v>
      </c>
    </row>
    <row r="129" customFormat="false" ht="15" hidden="false" customHeight="false" outlineLevel="0" collapsed="false">
      <c r="A129" s="7" t="s">
        <v>321</v>
      </c>
      <c r="B129" s="6" t="s">
        <v>5311</v>
      </c>
      <c r="C129" s="6" t="s">
        <v>322</v>
      </c>
      <c r="D129" s="6" t="s">
        <v>323</v>
      </c>
      <c r="E129" s="29" t="s">
        <v>143</v>
      </c>
      <c r="F129" s="34" t="s">
        <v>320</v>
      </c>
      <c r="G129" s="14" t="str">
        <f aca="false">IFERROR(INDEX(WBS!$B$5:$B$279,MATCH($A129,WBS!$A$5:$A$279,0)),"-")</f>
        <v>IAM</v>
      </c>
      <c r="H129" s="41" t="str">
        <f aca="false">IFERROR(INDEX(WBS!$H$5:$H$279,MATCH($A129,WBS!$A$5:$A$279,0)),"-")</f>
        <v>P0</v>
      </c>
      <c r="I129" s="31" t="n">
        <f aca="false">IFERROR(INDEX(WBS!$U$5:$U$279,MATCH($A129,WBS!$A$5:$A$279,0)),0)</f>
        <v>16.7</v>
      </c>
      <c r="J129" s="7" t="str">
        <f aca="false">IF(ISNUMBER(MATCH($A129,WBS!$A$5:$A$279,0)),"✓","✗")</f>
        <v>✓</v>
      </c>
    </row>
    <row r="130" customFormat="false" ht="15" hidden="false" customHeight="false" outlineLevel="0" collapsed="false">
      <c r="A130" s="7" t="s">
        <v>328</v>
      </c>
      <c r="B130" s="6" t="s">
        <v>5311</v>
      </c>
      <c r="C130" s="6" t="s">
        <v>329</v>
      </c>
      <c r="D130" s="6" t="s">
        <v>330</v>
      </c>
      <c r="E130" s="29" t="s">
        <v>143</v>
      </c>
      <c r="F130" s="34" t="s">
        <v>320</v>
      </c>
      <c r="G130" s="14" t="str">
        <f aca="false">IFERROR(INDEX(WBS!$B$5:$B$279,MATCH($A130,WBS!$A$5:$A$279,0)),"-")</f>
        <v>IAM</v>
      </c>
      <c r="H130" s="41" t="str">
        <f aca="false">IFERROR(INDEX(WBS!$H$5:$H$279,MATCH($A130,WBS!$A$5:$A$279,0)),"-")</f>
        <v>P0</v>
      </c>
      <c r="I130" s="31" t="n">
        <f aca="false">IFERROR(INDEX(WBS!$U$5:$U$279,MATCH($A130,WBS!$A$5:$A$279,0)),0)</f>
        <v>19.2</v>
      </c>
      <c r="J130" s="7" t="str">
        <f aca="false">IF(ISNUMBER(MATCH($A130,WBS!$A$5:$A$279,0)),"✓","✗")</f>
        <v>✓</v>
      </c>
    </row>
    <row r="131" customFormat="false" ht="15" hidden="false" customHeight="false" outlineLevel="0" collapsed="false">
      <c r="A131" s="7" t="s">
        <v>366</v>
      </c>
      <c r="B131" s="6" t="s">
        <v>5311</v>
      </c>
      <c r="C131" s="6" t="s">
        <v>367</v>
      </c>
      <c r="D131" s="6" t="s">
        <v>368</v>
      </c>
      <c r="E131" s="32" t="s">
        <v>265</v>
      </c>
      <c r="F131" s="34" t="s">
        <v>320</v>
      </c>
      <c r="G131" s="14" t="str">
        <f aca="false">IFERROR(INDEX(WBS!$B$5:$B$279,MATCH($A131,WBS!$A$5:$A$279,0)),"-")</f>
        <v>IAM</v>
      </c>
      <c r="H131" s="41" t="str">
        <f aca="false">IFERROR(INDEX(WBS!$H$5:$H$279,MATCH($A131,WBS!$A$5:$A$279,0)),"-")</f>
        <v>P1</v>
      </c>
      <c r="I131" s="31" t="n">
        <f aca="false">IFERROR(INDEX(WBS!$U$5:$U$279,MATCH($A131,WBS!$A$5:$A$279,0)),0)</f>
        <v>8.8</v>
      </c>
      <c r="J131" s="7" t="str">
        <f aca="false">IF(ISNUMBER(MATCH($A131,WBS!$A$5:$A$279,0)),"✓","✗")</f>
        <v>✓</v>
      </c>
    </row>
    <row r="132" customFormat="false" ht="15" hidden="false" customHeight="false" outlineLevel="0" collapsed="false">
      <c r="A132" s="7" t="s">
        <v>374</v>
      </c>
      <c r="B132" s="6" t="s">
        <v>5311</v>
      </c>
      <c r="C132" s="6" t="s">
        <v>375</v>
      </c>
      <c r="D132" s="6" t="s">
        <v>376</v>
      </c>
      <c r="E132" s="32" t="s">
        <v>265</v>
      </c>
      <c r="F132" s="34" t="s">
        <v>320</v>
      </c>
      <c r="G132" s="14" t="str">
        <f aca="false">IFERROR(INDEX(WBS!$B$5:$B$279,MATCH($A132,WBS!$A$5:$A$279,0)),"-")</f>
        <v>IAM</v>
      </c>
      <c r="H132" s="41" t="str">
        <f aca="false">IFERROR(INDEX(WBS!$H$5:$H$279,MATCH($A132,WBS!$A$5:$A$279,0)),"-")</f>
        <v>P1</v>
      </c>
      <c r="I132" s="31" t="n">
        <f aca="false">IFERROR(INDEX(WBS!$U$5:$U$279,MATCH($A132,WBS!$A$5:$A$279,0)),0)</f>
        <v>8.8</v>
      </c>
      <c r="J132" s="7" t="str">
        <f aca="false">IF(ISNUMBER(MATCH($A132,WBS!$A$5:$A$279,0)),"✓","✗")</f>
        <v>✓</v>
      </c>
    </row>
    <row r="133" customFormat="false" ht="15" hidden="false" customHeight="false" outlineLevel="0" collapsed="false">
      <c r="A133" s="7" t="s">
        <v>335</v>
      </c>
      <c r="B133" s="6" t="s">
        <v>5311</v>
      </c>
      <c r="C133" s="6" t="s">
        <v>336</v>
      </c>
      <c r="D133" s="6" t="s">
        <v>337</v>
      </c>
      <c r="E133" s="29" t="s">
        <v>143</v>
      </c>
      <c r="F133" s="34" t="s">
        <v>320</v>
      </c>
      <c r="G133" s="14" t="str">
        <f aca="false">IFERROR(INDEX(WBS!$B$5:$B$279,MATCH($A133,WBS!$A$5:$A$279,0)),"-")</f>
        <v>IAM</v>
      </c>
      <c r="H133" s="41" t="str">
        <f aca="false">IFERROR(INDEX(WBS!$H$5:$H$279,MATCH($A133,WBS!$A$5:$A$279,0)),"-")</f>
        <v>P0</v>
      </c>
      <c r="I133" s="31" t="n">
        <f aca="false">IFERROR(INDEX(WBS!$U$5:$U$279,MATCH($A133,WBS!$A$5:$A$279,0)),0)</f>
        <v>13</v>
      </c>
      <c r="J133" s="7" t="str">
        <f aca="false">IF(ISNUMBER(MATCH($A133,WBS!$A$5:$A$279,0)),"✓","✗")</f>
        <v>✓</v>
      </c>
    </row>
    <row r="134" customFormat="false" ht="15" hidden="false" customHeight="false" outlineLevel="0" collapsed="false">
      <c r="A134" s="7" t="s">
        <v>380</v>
      </c>
      <c r="B134" s="6" t="s">
        <v>5311</v>
      </c>
      <c r="C134" s="6" t="s">
        <v>381</v>
      </c>
      <c r="D134" s="6" t="s">
        <v>382</v>
      </c>
      <c r="E134" s="32" t="s">
        <v>265</v>
      </c>
      <c r="F134" s="35" t="s">
        <v>386</v>
      </c>
      <c r="G134" s="14" t="str">
        <f aca="false">IFERROR(INDEX(WBS!$B$5:$B$279,MATCH($A134,WBS!$A$5:$A$279,0)),"-")</f>
        <v>IAM</v>
      </c>
      <c r="H134" s="41" t="str">
        <f aca="false">IFERROR(INDEX(WBS!$H$5:$H$279,MATCH($A134,WBS!$A$5:$A$279,0)),"-")</f>
        <v>P1</v>
      </c>
      <c r="I134" s="31" t="n">
        <f aca="false">IFERROR(INDEX(WBS!$U$5:$U$279,MATCH($A134,WBS!$A$5:$A$279,0)),0)</f>
        <v>11.8</v>
      </c>
      <c r="J134" s="7" t="str">
        <f aca="false">IF(ISNUMBER(MATCH($A134,WBS!$A$5:$A$279,0)),"✓","✗")</f>
        <v>✓</v>
      </c>
    </row>
    <row r="135" customFormat="false" ht="15" hidden="false" customHeight="false" outlineLevel="0" collapsed="false">
      <c r="A135" s="7" t="s">
        <v>341</v>
      </c>
      <c r="B135" s="6" t="s">
        <v>5311</v>
      </c>
      <c r="C135" s="6" t="s">
        <v>342</v>
      </c>
      <c r="D135" s="6" t="s">
        <v>343</v>
      </c>
      <c r="E135" s="29" t="s">
        <v>143</v>
      </c>
      <c r="F135" s="34" t="s">
        <v>320</v>
      </c>
      <c r="G135" s="14" t="str">
        <f aca="false">IFERROR(INDEX(WBS!$B$5:$B$279,MATCH($A135,WBS!$A$5:$A$279,0)),"-")</f>
        <v>IAM</v>
      </c>
      <c r="H135" s="41" t="str">
        <f aca="false">IFERROR(INDEX(WBS!$H$5:$H$279,MATCH($A135,WBS!$A$5:$A$279,0)),"-")</f>
        <v>P0</v>
      </c>
      <c r="I135" s="31" t="n">
        <f aca="false">IFERROR(INDEX(WBS!$U$5:$U$279,MATCH($A135,WBS!$A$5:$A$279,0)),0)</f>
        <v>11.8</v>
      </c>
      <c r="J135" s="7" t="str">
        <f aca="false">IF(ISNUMBER(MATCH($A135,WBS!$A$5:$A$279,0)),"✓","✗")</f>
        <v>✓</v>
      </c>
    </row>
    <row r="136" customFormat="false" ht="15" hidden="false" customHeight="false" outlineLevel="0" collapsed="false">
      <c r="A136" s="7" t="s">
        <v>388</v>
      </c>
      <c r="B136" s="6" t="s">
        <v>5311</v>
      </c>
      <c r="C136" s="6" t="s">
        <v>389</v>
      </c>
      <c r="D136" s="6" t="s">
        <v>390</v>
      </c>
      <c r="E136" s="32" t="s">
        <v>265</v>
      </c>
      <c r="F136" s="36" t="s">
        <v>396</v>
      </c>
      <c r="G136" s="14" t="str">
        <f aca="false">IFERROR(INDEX(WBS!$B$5:$B$279,MATCH($A136,WBS!$A$5:$A$279,0)),"-")</f>
        <v>IAM</v>
      </c>
      <c r="H136" s="41" t="str">
        <f aca="false">IFERROR(INDEX(WBS!$H$5:$H$279,MATCH($A136,WBS!$A$5:$A$279,0)),"-")</f>
        <v>P1</v>
      </c>
      <c r="I136" s="31" t="n">
        <f aca="false">IFERROR(INDEX(WBS!$U$5:$U$279,MATCH($A136,WBS!$A$5:$A$279,0)),0)</f>
        <v>11.8</v>
      </c>
      <c r="J136" s="7" t="str">
        <f aca="false">IF(ISNUMBER(MATCH($A136,WBS!$A$5:$A$279,0)),"✓","✗")</f>
        <v>✓</v>
      </c>
    </row>
    <row r="137" customFormat="false" ht="15" hidden="false" customHeight="false" outlineLevel="0" collapsed="false">
      <c r="A137" s="7" t="s">
        <v>422</v>
      </c>
      <c r="B137" s="6" t="s">
        <v>5311</v>
      </c>
      <c r="C137" s="6" t="s">
        <v>423</v>
      </c>
      <c r="D137" s="6" t="s">
        <v>424</v>
      </c>
      <c r="E137" s="32" t="s">
        <v>265</v>
      </c>
      <c r="F137" s="35" t="s">
        <v>386</v>
      </c>
      <c r="G137" s="14" t="str">
        <f aca="false">IFERROR(INDEX(WBS!$B$5:$B$279,MATCH($A137,WBS!$A$5:$A$279,0)),"-")</f>
        <v>IAM</v>
      </c>
      <c r="H137" s="41" t="str">
        <f aca="false">IFERROR(INDEX(WBS!$H$5:$H$279,MATCH($A137,WBS!$A$5:$A$279,0)),"-")</f>
        <v>P3</v>
      </c>
      <c r="I137" s="31" t="n">
        <f aca="false">IFERROR(INDEX(WBS!$U$5:$U$279,MATCH($A137,WBS!$A$5:$A$279,0)),0)</f>
        <v>16.7</v>
      </c>
      <c r="J137" s="7" t="str">
        <f aca="false">IF(ISNUMBER(MATCH($A137,WBS!$A$5:$A$279,0)),"✓","✗")</f>
        <v>✓</v>
      </c>
    </row>
    <row r="138" customFormat="false" ht="15" hidden="false" customHeight="false" outlineLevel="0" collapsed="false">
      <c r="A138" s="7" t="s">
        <v>347</v>
      </c>
      <c r="B138" s="6" t="s">
        <v>5311</v>
      </c>
      <c r="C138" s="6" t="s">
        <v>348</v>
      </c>
      <c r="D138" s="6" t="s">
        <v>348</v>
      </c>
      <c r="E138" s="29" t="s">
        <v>143</v>
      </c>
      <c r="F138" s="34" t="s">
        <v>320</v>
      </c>
      <c r="G138" s="14" t="str">
        <f aca="false">IFERROR(INDEX(WBS!$B$5:$B$279,MATCH($A138,WBS!$A$5:$A$279,0)),"-")</f>
        <v>IAM</v>
      </c>
      <c r="H138" s="41" t="str">
        <f aca="false">IFERROR(INDEX(WBS!$H$5:$H$279,MATCH($A138,WBS!$A$5:$A$279,0)),"-")</f>
        <v>P0</v>
      </c>
      <c r="I138" s="31" t="n">
        <f aca="false">IFERROR(INDEX(WBS!$U$5:$U$279,MATCH($A138,WBS!$A$5:$A$279,0)),0)</f>
        <v>13.8</v>
      </c>
      <c r="J138" s="7" t="str">
        <f aca="false">IF(ISNUMBER(MATCH($A138,WBS!$A$5:$A$279,0)),"✓","✗")</f>
        <v>✓</v>
      </c>
    </row>
    <row r="139" customFormat="false" ht="15" hidden="false" customHeight="false" outlineLevel="0" collapsed="false">
      <c r="A139" s="7" t="s">
        <v>465</v>
      </c>
      <c r="B139" s="6" t="s">
        <v>5311</v>
      </c>
      <c r="C139" s="6" t="s">
        <v>466</v>
      </c>
      <c r="D139" s="6" t="s">
        <v>467</v>
      </c>
      <c r="E139" s="32" t="s">
        <v>265</v>
      </c>
      <c r="F139" s="35" t="s">
        <v>386</v>
      </c>
      <c r="G139" s="14" t="str">
        <f aca="false">IFERROR(INDEX(WBS!$B$5:$B$279,MATCH($A139,WBS!$A$5:$A$279,0)),"-")</f>
        <v>ORG</v>
      </c>
      <c r="H139" s="41" t="str">
        <f aca="false">IFERROR(INDEX(WBS!$H$5:$H$279,MATCH($A139,WBS!$A$5:$A$279,0)),"-")</f>
        <v>P0</v>
      </c>
      <c r="I139" s="31" t="n">
        <f aca="false">IFERROR(INDEX(WBS!$U$5:$U$279,MATCH($A139,WBS!$A$5:$A$279,0)),0)</f>
        <v>13.8</v>
      </c>
      <c r="J139" s="7" t="str">
        <f aca="false">IF(ISNUMBER(MATCH($A139,WBS!$A$5:$A$279,0)),"✓","✗")</f>
        <v>✓</v>
      </c>
    </row>
    <row r="140" customFormat="false" ht="15" hidden="false" customHeight="false" outlineLevel="0" collapsed="false">
      <c r="A140" s="7" t="s">
        <v>493</v>
      </c>
      <c r="B140" s="6" t="s">
        <v>5311</v>
      </c>
      <c r="C140" s="6" t="s">
        <v>494</v>
      </c>
      <c r="D140" s="6" t="s">
        <v>495</v>
      </c>
      <c r="E140" s="32" t="s">
        <v>265</v>
      </c>
      <c r="F140" s="35" t="s">
        <v>386</v>
      </c>
      <c r="G140" s="14" t="str">
        <f aca="false">IFERROR(INDEX(WBS!$B$5:$B$279,MATCH($A140,WBS!$A$5:$A$279,0)),"-")</f>
        <v>ORG</v>
      </c>
      <c r="H140" s="41" t="str">
        <f aca="false">IFERROR(INDEX(WBS!$H$5:$H$279,MATCH($A140,WBS!$A$5:$A$279,0)),"-")</f>
        <v>P3</v>
      </c>
      <c r="I140" s="31" t="n">
        <f aca="false">IFERROR(INDEX(WBS!$U$5:$U$279,MATCH($A140,WBS!$A$5:$A$279,0)),0)</f>
        <v>11.8</v>
      </c>
      <c r="J140" s="7" t="str">
        <f aca="false">IF(ISNUMBER(MATCH($A140,WBS!$A$5:$A$279,0)),"✓","✗")</f>
        <v>✓</v>
      </c>
    </row>
    <row r="141" customFormat="false" ht="15" hidden="false" customHeight="false" outlineLevel="0" collapsed="false">
      <c r="A141" s="7" t="s">
        <v>1256</v>
      </c>
      <c r="B141" s="6" t="s">
        <v>5312</v>
      </c>
      <c r="C141" s="6" t="s">
        <v>1259</v>
      </c>
      <c r="D141" s="6" t="s">
        <v>1260</v>
      </c>
      <c r="E141" s="29" t="s">
        <v>143</v>
      </c>
      <c r="F141" s="34" t="s">
        <v>320</v>
      </c>
      <c r="G141" s="14" t="str">
        <f aca="false">IFERROR(INDEX(WBS!$B$5:$B$279,MATCH($A141,WBS!$A$5:$A$279,0)),"-")</f>
        <v>BRE</v>
      </c>
      <c r="H141" s="41" t="str">
        <f aca="false">IFERROR(INDEX(WBS!$H$5:$H$279,MATCH($A141,WBS!$A$5:$A$279,0)),"-")</f>
        <v>P1</v>
      </c>
      <c r="I141" s="31" t="n">
        <f aca="false">IFERROR(INDEX(WBS!$U$5:$U$279,MATCH($A141,WBS!$A$5:$A$279,0)),0)</f>
        <v>13.8</v>
      </c>
      <c r="J141" s="7" t="str">
        <f aca="false">IF(ISNUMBER(MATCH($A141,WBS!$A$5:$A$279,0)),"✓","✗")</f>
        <v>✓</v>
      </c>
    </row>
    <row r="142" customFormat="false" ht="15" hidden="false" customHeight="false" outlineLevel="0" collapsed="false">
      <c r="A142" s="7" t="s">
        <v>1265</v>
      </c>
      <c r="B142" s="6" t="s">
        <v>5312</v>
      </c>
      <c r="C142" s="6" t="s">
        <v>1266</v>
      </c>
      <c r="D142" s="6" t="s">
        <v>1267</v>
      </c>
      <c r="E142" s="29" t="s">
        <v>143</v>
      </c>
      <c r="F142" s="34" t="s">
        <v>320</v>
      </c>
      <c r="G142" s="14" t="str">
        <f aca="false">IFERROR(INDEX(WBS!$B$5:$B$279,MATCH($A142,WBS!$A$5:$A$279,0)),"-")</f>
        <v>BRE</v>
      </c>
      <c r="H142" s="41" t="str">
        <f aca="false">IFERROR(INDEX(WBS!$H$5:$H$279,MATCH($A142,WBS!$A$5:$A$279,0)),"-")</f>
        <v>P1</v>
      </c>
      <c r="I142" s="31" t="n">
        <f aca="false">IFERROR(INDEX(WBS!$U$5:$U$279,MATCH($A142,WBS!$A$5:$A$279,0)),0)</f>
        <v>16.7</v>
      </c>
      <c r="J142" s="7" t="str">
        <f aca="false">IF(ISNUMBER(MATCH($A142,WBS!$A$5:$A$279,0)),"✓","✗")</f>
        <v>✓</v>
      </c>
    </row>
    <row r="143" customFormat="false" ht="15" hidden="false" customHeight="false" outlineLevel="0" collapsed="false">
      <c r="A143" s="7" t="s">
        <v>1272</v>
      </c>
      <c r="B143" s="6" t="s">
        <v>5312</v>
      </c>
      <c r="C143" s="6" t="s">
        <v>1273</v>
      </c>
      <c r="D143" s="6" t="s">
        <v>1274</v>
      </c>
      <c r="E143" s="29" t="s">
        <v>143</v>
      </c>
      <c r="F143" s="35" t="s">
        <v>386</v>
      </c>
      <c r="G143" s="14" t="str">
        <f aca="false">IFERROR(INDEX(WBS!$B$5:$B$279,MATCH($A143,WBS!$A$5:$A$279,0)),"-")</f>
        <v>BRE</v>
      </c>
      <c r="H143" s="41" t="str">
        <f aca="false">IFERROR(INDEX(WBS!$H$5:$H$279,MATCH($A143,WBS!$A$5:$A$279,0)),"-")</f>
        <v>P1</v>
      </c>
      <c r="I143" s="31" t="n">
        <f aca="false">IFERROR(INDEX(WBS!$U$5:$U$279,MATCH($A143,WBS!$A$5:$A$279,0)),0)</f>
        <v>8.8</v>
      </c>
      <c r="J143" s="7" t="str">
        <f aca="false">IF(ISNUMBER(MATCH($A143,WBS!$A$5:$A$279,0)),"✓","✗")</f>
        <v>✓</v>
      </c>
    </row>
    <row r="144" customFormat="false" ht="15" hidden="false" customHeight="false" outlineLevel="0" collapsed="false">
      <c r="A144" s="7" t="s">
        <v>1280</v>
      </c>
      <c r="B144" s="6" t="s">
        <v>5312</v>
      </c>
      <c r="C144" s="6" t="s">
        <v>1281</v>
      </c>
      <c r="D144" s="6" t="s">
        <v>1282</v>
      </c>
      <c r="E144" s="29" t="s">
        <v>143</v>
      </c>
      <c r="F144" s="35" t="s">
        <v>386</v>
      </c>
      <c r="G144" s="14" t="str">
        <f aca="false">IFERROR(INDEX(WBS!$B$5:$B$279,MATCH($A144,WBS!$A$5:$A$279,0)),"-")</f>
        <v>BRE</v>
      </c>
      <c r="H144" s="41" t="str">
        <f aca="false">IFERROR(INDEX(WBS!$H$5:$H$279,MATCH($A144,WBS!$A$5:$A$279,0)),"-")</f>
        <v>P1</v>
      </c>
      <c r="I144" s="31" t="n">
        <f aca="false">IFERROR(INDEX(WBS!$U$5:$U$279,MATCH($A144,WBS!$A$5:$A$279,0)),0)</f>
        <v>8.8</v>
      </c>
      <c r="J144" s="7" t="str">
        <f aca="false">IF(ISNUMBER(MATCH($A144,WBS!$A$5:$A$279,0)),"✓","✗")</f>
        <v>✓</v>
      </c>
    </row>
    <row r="145" customFormat="false" ht="15" hidden="false" customHeight="false" outlineLevel="0" collapsed="false">
      <c r="A145" s="7" t="s">
        <v>1288</v>
      </c>
      <c r="B145" s="6" t="s">
        <v>5312</v>
      </c>
      <c r="C145" s="6" t="s">
        <v>1289</v>
      </c>
      <c r="D145" s="6" t="s">
        <v>1290</v>
      </c>
      <c r="E145" s="29" t="s">
        <v>143</v>
      </c>
      <c r="F145" s="34" t="s">
        <v>320</v>
      </c>
      <c r="G145" s="14" t="str">
        <f aca="false">IFERROR(INDEX(WBS!$B$5:$B$279,MATCH($A145,WBS!$A$5:$A$279,0)),"-")</f>
        <v>BRE</v>
      </c>
      <c r="H145" s="41" t="str">
        <f aca="false">IFERROR(INDEX(WBS!$H$5:$H$279,MATCH($A145,WBS!$A$5:$A$279,0)),"-")</f>
        <v>P1</v>
      </c>
      <c r="I145" s="31" t="n">
        <f aca="false">IFERROR(INDEX(WBS!$U$5:$U$279,MATCH($A145,WBS!$A$5:$A$279,0)),0)</f>
        <v>11.8</v>
      </c>
      <c r="J145" s="7" t="str">
        <f aca="false">IF(ISNUMBER(MATCH($A145,WBS!$A$5:$A$279,0)),"✓","✗")</f>
        <v>✓</v>
      </c>
    </row>
    <row r="146" customFormat="false" ht="15" hidden="false" customHeight="false" outlineLevel="0" collapsed="false">
      <c r="A146" s="7" t="s">
        <v>1295</v>
      </c>
      <c r="B146" s="6" t="s">
        <v>5312</v>
      </c>
      <c r="C146" s="6" t="s">
        <v>1296</v>
      </c>
      <c r="D146" s="6" t="s">
        <v>1297</v>
      </c>
      <c r="E146" s="29" t="s">
        <v>143</v>
      </c>
      <c r="F146" s="34" t="s">
        <v>320</v>
      </c>
      <c r="G146" s="14" t="str">
        <f aca="false">IFERROR(INDEX(WBS!$B$5:$B$279,MATCH($A146,WBS!$A$5:$A$279,0)),"-")</f>
        <v>BRE</v>
      </c>
      <c r="H146" s="41" t="str">
        <f aca="false">IFERROR(INDEX(WBS!$H$5:$H$279,MATCH($A146,WBS!$A$5:$A$279,0)),"-")</f>
        <v>P1</v>
      </c>
      <c r="I146" s="31" t="n">
        <f aca="false">IFERROR(INDEX(WBS!$U$5:$U$279,MATCH($A146,WBS!$A$5:$A$279,0)),0)</f>
        <v>8.8</v>
      </c>
      <c r="J146" s="7" t="str">
        <f aca="false">IF(ISNUMBER(MATCH($A146,WBS!$A$5:$A$279,0)),"✓","✗")</f>
        <v>✓</v>
      </c>
    </row>
    <row r="147" customFormat="false" ht="15" hidden="false" customHeight="false" outlineLevel="0" collapsed="false">
      <c r="A147" s="7" t="s">
        <v>1301</v>
      </c>
      <c r="B147" s="6" t="s">
        <v>5312</v>
      </c>
      <c r="C147" s="6" t="s">
        <v>1302</v>
      </c>
      <c r="D147" s="6" t="s">
        <v>1303</v>
      </c>
      <c r="E147" s="29" t="s">
        <v>143</v>
      </c>
      <c r="F147" s="34" t="s">
        <v>320</v>
      </c>
      <c r="G147" s="14" t="str">
        <f aca="false">IFERROR(INDEX(WBS!$B$5:$B$279,MATCH($A147,WBS!$A$5:$A$279,0)),"-")</f>
        <v>BRE</v>
      </c>
      <c r="H147" s="41" t="str">
        <f aca="false">IFERROR(INDEX(WBS!$H$5:$H$279,MATCH($A147,WBS!$A$5:$A$279,0)),"-")</f>
        <v>P1</v>
      </c>
      <c r="I147" s="31" t="n">
        <f aca="false">IFERROR(INDEX(WBS!$U$5:$U$279,MATCH($A147,WBS!$A$5:$A$279,0)),0)</f>
        <v>8.8</v>
      </c>
      <c r="J147" s="7" t="str">
        <f aca="false">IF(ISNUMBER(MATCH($A147,WBS!$A$5:$A$279,0)),"✓","✗")</f>
        <v>✓</v>
      </c>
    </row>
    <row r="148" customFormat="false" ht="15" hidden="false" customHeight="false" outlineLevel="0" collapsed="false">
      <c r="A148" s="7" t="s">
        <v>1307</v>
      </c>
      <c r="B148" s="6" t="s">
        <v>5312</v>
      </c>
      <c r="C148" s="6" t="s">
        <v>1308</v>
      </c>
      <c r="D148" s="6" t="s">
        <v>1309</v>
      </c>
      <c r="E148" s="29" t="s">
        <v>143</v>
      </c>
      <c r="F148" s="35" t="s">
        <v>386</v>
      </c>
      <c r="G148" s="14" t="str">
        <f aca="false">IFERROR(INDEX(WBS!$B$5:$B$279,MATCH($A148,WBS!$A$5:$A$279,0)),"-")</f>
        <v>BRE</v>
      </c>
      <c r="H148" s="41" t="str">
        <f aca="false">IFERROR(INDEX(WBS!$H$5:$H$279,MATCH($A148,WBS!$A$5:$A$279,0)),"-")</f>
        <v>P1</v>
      </c>
      <c r="I148" s="31" t="n">
        <f aca="false">IFERROR(INDEX(WBS!$U$5:$U$279,MATCH($A148,WBS!$A$5:$A$279,0)),0)</f>
        <v>8.8</v>
      </c>
      <c r="J148" s="7" t="str">
        <f aca="false">IF(ISNUMBER(MATCH($A148,WBS!$A$5:$A$279,0)),"✓","✗")</f>
        <v>✓</v>
      </c>
    </row>
    <row r="149" customFormat="false" ht="15" hidden="false" customHeight="false" outlineLevel="0" collapsed="false">
      <c r="A149" s="7" t="s">
        <v>1314</v>
      </c>
      <c r="B149" s="6" t="s">
        <v>5312</v>
      </c>
      <c r="C149" s="6" t="s">
        <v>1315</v>
      </c>
      <c r="D149" s="6" t="s">
        <v>1316</v>
      </c>
      <c r="E149" s="29" t="s">
        <v>143</v>
      </c>
      <c r="F149" s="35" t="s">
        <v>386</v>
      </c>
      <c r="G149" s="14" t="str">
        <f aca="false">IFERROR(INDEX(WBS!$B$5:$B$279,MATCH($A149,WBS!$A$5:$A$279,0)),"-")</f>
        <v>BRE</v>
      </c>
      <c r="H149" s="41" t="str">
        <f aca="false">IFERROR(INDEX(WBS!$H$5:$H$279,MATCH($A149,WBS!$A$5:$A$279,0)),"-")</f>
        <v>P1</v>
      </c>
      <c r="I149" s="31" t="n">
        <f aca="false">IFERROR(INDEX(WBS!$U$5:$U$279,MATCH($A149,WBS!$A$5:$A$279,0)),0)</f>
        <v>16.7</v>
      </c>
      <c r="J149" s="7" t="str">
        <f aca="false">IF(ISNUMBER(MATCH($A149,WBS!$A$5:$A$279,0)),"✓","✗")</f>
        <v>✓</v>
      </c>
    </row>
    <row r="150" customFormat="false" ht="15" hidden="false" customHeight="false" outlineLevel="0" collapsed="false">
      <c r="A150" s="7" t="s">
        <v>1321</v>
      </c>
      <c r="B150" s="6" t="s">
        <v>5312</v>
      </c>
      <c r="C150" s="6" t="s">
        <v>1322</v>
      </c>
      <c r="D150" s="6" t="s">
        <v>1323</v>
      </c>
      <c r="E150" s="29" t="s">
        <v>143</v>
      </c>
      <c r="F150" s="35" t="s">
        <v>386</v>
      </c>
      <c r="G150" s="14" t="str">
        <f aca="false">IFERROR(INDEX(WBS!$B$5:$B$279,MATCH($A150,WBS!$A$5:$A$279,0)),"-")</f>
        <v>BRE</v>
      </c>
      <c r="H150" s="41" t="str">
        <f aca="false">IFERROR(INDEX(WBS!$H$5:$H$279,MATCH($A150,WBS!$A$5:$A$279,0)),"-")</f>
        <v>P1</v>
      </c>
      <c r="I150" s="31" t="n">
        <f aca="false">IFERROR(INDEX(WBS!$U$5:$U$279,MATCH($A150,WBS!$A$5:$A$279,0)),0)</f>
        <v>11.8</v>
      </c>
      <c r="J150" s="7" t="str">
        <f aca="false">IF(ISNUMBER(MATCH($A150,WBS!$A$5:$A$279,0)),"✓","✗")</f>
        <v>✓</v>
      </c>
    </row>
    <row r="151" customFormat="false" ht="15" hidden="false" customHeight="false" outlineLevel="0" collapsed="false">
      <c r="A151" s="7" t="s">
        <v>1341</v>
      </c>
      <c r="B151" s="6" t="s">
        <v>5312</v>
      </c>
      <c r="C151" s="6" t="s">
        <v>1342</v>
      </c>
      <c r="D151" s="6" t="s">
        <v>1343</v>
      </c>
      <c r="E151" s="32" t="s">
        <v>265</v>
      </c>
      <c r="F151" s="34" t="s">
        <v>320</v>
      </c>
      <c r="G151" s="14" t="str">
        <f aca="false">IFERROR(INDEX(WBS!$B$5:$B$279,MATCH($A151,WBS!$A$5:$A$279,0)),"-")</f>
        <v>BRE</v>
      </c>
      <c r="H151" s="41" t="str">
        <f aca="false">IFERROR(INDEX(WBS!$H$5:$H$279,MATCH($A151,WBS!$A$5:$A$279,0)),"-")</f>
        <v>P3</v>
      </c>
      <c r="I151" s="31" t="n">
        <f aca="false">IFERROR(INDEX(WBS!$U$5:$U$279,MATCH($A151,WBS!$A$5:$A$279,0)),0)</f>
        <v>16.7</v>
      </c>
      <c r="J151" s="7" t="str">
        <f aca="false">IF(ISNUMBER(MATCH($A151,WBS!$A$5:$A$279,0)),"✓","✗")</f>
        <v>✓</v>
      </c>
    </row>
    <row r="152" customFormat="false" ht="15" hidden="false" customHeight="false" outlineLevel="0" collapsed="false">
      <c r="A152" s="7" t="s">
        <v>1328</v>
      </c>
      <c r="B152" s="6" t="s">
        <v>5312</v>
      </c>
      <c r="C152" s="6" t="s">
        <v>1329</v>
      </c>
      <c r="D152" s="6" t="s">
        <v>1330</v>
      </c>
      <c r="E152" s="29" t="s">
        <v>143</v>
      </c>
      <c r="F152" s="34" t="s">
        <v>320</v>
      </c>
      <c r="G152" s="14" t="str">
        <f aca="false">IFERROR(INDEX(WBS!$B$5:$B$279,MATCH($A152,WBS!$A$5:$A$279,0)),"-")</f>
        <v>BRE</v>
      </c>
      <c r="H152" s="41" t="str">
        <f aca="false">IFERROR(INDEX(WBS!$H$5:$H$279,MATCH($A152,WBS!$A$5:$A$279,0)),"-")</f>
        <v>P1</v>
      </c>
      <c r="I152" s="31" t="n">
        <f aca="false">IFERROR(INDEX(WBS!$U$5:$U$279,MATCH($A152,WBS!$A$5:$A$279,0)),0)</f>
        <v>11.8</v>
      </c>
      <c r="J152" s="7" t="str">
        <f aca="false">IF(ISNUMBER(MATCH($A152,WBS!$A$5:$A$279,0)),"✓","✗")</f>
        <v>✓</v>
      </c>
    </row>
    <row r="153" customFormat="false" ht="15" hidden="false" customHeight="false" outlineLevel="0" collapsed="false">
      <c r="A153" s="7" t="s">
        <v>1335</v>
      </c>
      <c r="B153" s="6" t="s">
        <v>5312</v>
      </c>
      <c r="C153" s="6" t="s">
        <v>1336</v>
      </c>
      <c r="D153" s="6" t="s">
        <v>1337</v>
      </c>
      <c r="E153" s="29" t="s">
        <v>143</v>
      </c>
      <c r="F153" s="34" t="s">
        <v>320</v>
      </c>
      <c r="G153" s="14" t="str">
        <f aca="false">IFERROR(INDEX(WBS!$B$5:$B$279,MATCH($A153,WBS!$A$5:$A$279,0)),"-")</f>
        <v>BRE</v>
      </c>
      <c r="H153" s="41" t="str">
        <f aca="false">IFERROR(INDEX(WBS!$H$5:$H$279,MATCH($A153,WBS!$A$5:$A$279,0)),"-")</f>
        <v>P1</v>
      </c>
      <c r="I153" s="31" t="n">
        <f aca="false">IFERROR(INDEX(WBS!$U$5:$U$279,MATCH($A153,WBS!$A$5:$A$279,0)),0)</f>
        <v>5.9</v>
      </c>
      <c r="J153" s="7" t="str">
        <f aca="false">IF(ISNUMBER(MATCH($A153,WBS!$A$5:$A$279,0)),"✓","✗")</f>
        <v>✓</v>
      </c>
    </row>
    <row r="154" customFormat="false" ht="15" hidden="false" customHeight="false" outlineLevel="0" collapsed="false">
      <c r="A154" s="7" t="s">
        <v>1347</v>
      </c>
      <c r="B154" s="6" t="s">
        <v>5312</v>
      </c>
      <c r="C154" s="6" t="s">
        <v>1348</v>
      </c>
      <c r="D154" s="6" t="s">
        <v>1349</v>
      </c>
      <c r="E154" s="32" t="s">
        <v>265</v>
      </c>
      <c r="F154" s="34" t="s">
        <v>320</v>
      </c>
      <c r="G154" s="14" t="str">
        <f aca="false">IFERROR(INDEX(WBS!$B$5:$B$279,MATCH($A154,WBS!$A$5:$A$279,0)),"-")</f>
        <v>BRE</v>
      </c>
      <c r="H154" s="41" t="str">
        <f aca="false">IFERROR(INDEX(WBS!$H$5:$H$279,MATCH($A154,WBS!$A$5:$A$279,0)),"-")</f>
        <v>P3</v>
      </c>
      <c r="I154" s="31" t="n">
        <f aca="false">IFERROR(INDEX(WBS!$U$5:$U$279,MATCH($A154,WBS!$A$5:$A$279,0)),0)</f>
        <v>11.8</v>
      </c>
      <c r="J154" s="7" t="str">
        <f aca="false">IF(ISNUMBER(MATCH($A154,WBS!$A$5:$A$279,0)),"✓","✗")</f>
        <v>✓</v>
      </c>
    </row>
    <row r="155" customFormat="false" ht="15" hidden="false" customHeight="false" outlineLevel="0" collapsed="false">
      <c r="A155" s="7" t="s">
        <v>1353</v>
      </c>
      <c r="B155" s="6" t="s">
        <v>5312</v>
      </c>
      <c r="C155" s="6" t="s">
        <v>1354</v>
      </c>
      <c r="D155" s="6" t="s">
        <v>1355</v>
      </c>
      <c r="E155" s="32" t="s">
        <v>265</v>
      </c>
      <c r="F155" s="35" t="s">
        <v>386</v>
      </c>
      <c r="G155" s="14" t="str">
        <f aca="false">IFERROR(INDEX(WBS!$B$5:$B$279,MATCH($A155,WBS!$A$5:$A$279,0)),"-")</f>
        <v>BRE</v>
      </c>
      <c r="H155" s="41" t="str">
        <f aca="false">IFERROR(INDEX(WBS!$H$5:$H$279,MATCH($A155,WBS!$A$5:$A$279,0)),"-")</f>
        <v>P3</v>
      </c>
      <c r="I155" s="31" t="n">
        <f aca="false">IFERROR(INDEX(WBS!$U$5:$U$279,MATCH($A155,WBS!$A$5:$A$279,0)),0)</f>
        <v>8.8</v>
      </c>
      <c r="J155" s="7" t="str">
        <f aca="false">IF(ISNUMBER(MATCH($A155,WBS!$A$5:$A$279,0)),"✓","✗")</f>
        <v>✓</v>
      </c>
    </row>
    <row r="156" customFormat="false" ht="15" hidden="false" customHeight="false" outlineLevel="0" collapsed="false">
      <c r="A156" s="7" t="s">
        <v>1360</v>
      </c>
      <c r="B156" s="6" t="s">
        <v>5312</v>
      </c>
      <c r="C156" s="6" t="s">
        <v>1361</v>
      </c>
      <c r="D156" s="6" t="s">
        <v>1362</v>
      </c>
      <c r="E156" s="33" t="s">
        <v>286</v>
      </c>
      <c r="F156" s="36" t="s">
        <v>396</v>
      </c>
      <c r="G156" s="14" t="str">
        <f aca="false">IFERROR(INDEX(WBS!$B$5:$B$279,MATCH($A156,WBS!$A$5:$A$279,0)),"-")</f>
        <v>BRE</v>
      </c>
      <c r="H156" s="41" t="str">
        <f aca="false">IFERROR(INDEX(WBS!$H$5:$H$279,MATCH($A156,WBS!$A$5:$A$279,0)),"-")</f>
        <v>P4</v>
      </c>
      <c r="I156" s="31" t="n">
        <f aca="false">IFERROR(INDEX(WBS!$U$5:$U$279,MATCH($A156,WBS!$A$5:$A$279,0)),0)</f>
        <v>8.8</v>
      </c>
      <c r="J156" s="7" t="str">
        <f aca="false">IF(ISNUMBER(MATCH($A156,WBS!$A$5:$A$279,0)),"✓","✗")</f>
        <v>✓</v>
      </c>
    </row>
    <row r="157" customFormat="false" ht="15" hidden="false" customHeight="false" outlineLevel="0" collapsed="false">
      <c r="A157" s="7" t="s">
        <v>1366</v>
      </c>
      <c r="B157" s="6" t="s">
        <v>5312</v>
      </c>
      <c r="C157" s="6" t="s">
        <v>1367</v>
      </c>
      <c r="D157" s="6" t="s">
        <v>1368</v>
      </c>
      <c r="E157" s="33" t="s">
        <v>286</v>
      </c>
      <c r="F157" s="34" t="s">
        <v>320</v>
      </c>
      <c r="G157" s="14" t="str">
        <f aca="false">IFERROR(INDEX(WBS!$B$5:$B$279,MATCH($A157,WBS!$A$5:$A$279,0)),"-")</f>
        <v>BRE</v>
      </c>
      <c r="H157" s="41" t="str">
        <f aca="false">IFERROR(INDEX(WBS!$H$5:$H$279,MATCH($A157,WBS!$A$5:$A$279,0)),"-")</f>
        <v>P4</v>
      </c>
      <c r="I157" s="31" t="n">
        <f aca="false">IFERROR(INDEX(WBS!$U$5:$U$279,MATCH($A157,WBS!$A$5:$A$279,0)),0)</f>
        <v>11.8</v>
      </c>
      <c r="J157" s="7" t="str">
        <f aca="false">IF(ISNUMBER(MATCH($A157,WBS!$A$5:$A$279,0)),"✓","✗")</f>
        <v>✓</v>
      </c>
    </row>
    <row r="158" customFormat="false" ht="15" hidden="false" customHeight="false" outlineLevel="0" collapsed="false">
      <c r="A158" s="7" t="s">
        <v>1776</v>
      </c>
      <c r="B158" s="6" t="s">
        <v>5313</v>
      </c>
      <c r="C158" s="6" t="s">
        <v>1779</v>
      </c>
      <c r="D158" s="6" t="s">
        <v>1780</v>
      </c>
      <c r="E158" s="29" t="s">
        <v>143</v>
      </c>
      <c r="F158" s="36" t="s">
        <v>396</v>
      </c>
      <c r="G158" s="14" t="str">
        <f aca="false">IFERROR(INDEX(WBS!$B$5:$B$279,MATCH($A158,WBS!$A$5:$A$279,0)),"-")</f>
        <v>DPA</v>
      </c>
      <c r="H158" s="41" t="str">
        <f aca="false">IFERROR(INDEX(WBS!$H$5:$H$279,MATCH($A158,WBS!$A$5:$A$279,0)),"-")</f>
        <v>P2</v>
      </c>
      <c r="I158" s="31" t="n">
        <f aca="false">IFERROR(INDEX(WBS!$U$5:$U$279,MATCH($A158,WBS!$A$5:$A$279,0)),0)</f>
        <v>8.8</v>
      </c>
      <c r="J158" s="7" t="str">
        <f aca="false">IF(ISNUMBER(MATCH($A158,WBS!$A$5:$A$279,0)),"✓","✗")</f>
        <v>✓</v>
      </c>
    </row>
    <row r="159" customFormat="false" ht="15" hidden="false" customHeight="false" outlineLevel="0" collapsed="false">
      <c r="A159" s="7" t="s">
        <v>1787</v>
      </c>
      <c r="B159" s="6" t="s">
        <v>5313</v>
      </c>
      <c r="C159" s="6" t="s">
        <v>1788</v>
      </c>
      <c r="D159" s="6" t="s">
        <v>1789</v>
      </c>
      <c r="E159" s="29" t="s">
        <v>143</v>
      </c>
      <c r="F159" s="36" t="s">
        <v>396</v>
      </c>
      <c r="G159" s="14" t="str">
        <f aca="false">IFERROR(INDEX(WBS!$B$5:$B$279,MATCH($A159,WBS!$A$5:$A$279,0)),"-")</f>
        <v>DPA</v>
      </c>
      <c r="H159" s="41" t="str">
        <f aca="false">IFERROR(INDEX(WBS!$H$5:$H$279,MATCH($A159,WBS!$A$5:$A$279,0)),"-")</f>
        <v>P2</v>
      </c>
      <c r="I159" s="31" t="n">
        <f aca="false">IFERROR(INDEX(WBS!$U$5:$U$279,MATCH($A159,WBS!$A$5:$A$279,0)),0)</f>
        <v>24.1</v>
      </c>
      <c r="J159" s="7" t="str">
        <f aca="false">IF(ISNUMBER(MATCH($A159,WBS!$A$5:$A$279,0)),"✓","✗")</f>
        <v>✓</v>
      </c>
    </row>
    <row r="160" customFormat="false" ht="15" hidden="false" customHeight="false" outlineLevel="0" collapsed="false">
      <c r="A160" s="7" t="s">
        <v>1795</v>
      </c>
      <c r="B160" s="6" t="s">
        <v>5313</v>
      </c>
      <c r="C160" s="6" t="s">
        <v>1796</v>
      </c>
      <c r="D160" s="6" t="s">
        <v>1797</v>
      </c>
      <c r="E160" s="29" t="s">
        <v>143</v>
      </c>
      <c r="F160" s="35" t="s">
        <v>386</v>
      </c>
      <c r="G160" s="14" t="str">
        <f aca="false">IFERROR(INDEX(WBS!$B$5:$B$279,MATCH($A160,WBS!$A$5:$A$279,0)),"-")</f>
        <v>DPA</v>
      </c>
      <c r="H160" s="41" t="str">
        <f aca="false">IFERROR(INDEX(WBS!$H$5:$H$279,MATCH($A160,WBS!$A$5:$A$279,0)),"-")</f>
        <v>P2</v>
      </c>
      <c r="I160" s="31" t="n">
        <f aca="false">IFERROR(INDEX(WBS!$U$5:$U$279,MATCH($A160,WBS!$A$5:$A$279,0)),0)</f>
        <v>8.8</v>
      </c>
      <c r="J160" s="7" t="str">
        <f aca="false">IF(ISNUMBER(MATCH($A160,WBS!$A$5:$A$279,0)),"✓","✗")</f>
        <v>✓</v>
      </c>
    </row>
    <row r="161" customFormat="false" ht="15" hidden="false" customHeight="false" outlineLevel="0" collapsed="false">
      <c r="A161" s="7" t="s">
        <v>1802</v>
      </c>
      <c r="B161" s="6" t="s">
        <v>5313</v>
      </c>
      <c r="C161" s="6" t="s">
        <v>1803</v>
      </c>
      <c r="D161" s="6" t="s">
        <v>1804</v>
      </c>
      <c r="E161" s="29" t="s">
        <v>143</v>
      </c>
      <c r="F161" s="35" t="s">
        <v>386</v>
      </c>
      <c r="G161" s="14" t="str">
        <f aca="false">IFERROR(INDEX(WBS!$B$5:$B$279,MATCH($A161,WBS!$A$5:$A$279,0)),"-")</f>
        <v>DPA</v>
      </c>
      <c r="H161" s="41" t="str">
        <f aca="false">IFERROR(INDEX(WBS!$H$5:$H$279,MATCH($A161,WBS!$A$5:$A$279,0)),"-")</f>
        <v>P2</v>
      </c>
      <c r="I161" s="31" t="n">
        <f aca="false">IFERROR(INDEX(WBS!$U$5:$U$279,MATCH($A161,WBS!$A$5:$A$279,0)),0)</f>
        <v>8.8</v>
      </c>
      <c r="J161" s="7" t="str">
        <f aca="false">IF(ISNUMBER(MATCH($A161,WBS!$A$5:$A$279,0)),"✓","✗")</f>
        <v>✓</v>
      </c>
    </row>
    <row r="162" customFormat="false" ht="15" hidden="false" customHeight="false" outlineLevel="0" collapsed="false">
      <c r="A162" s="7" t="s">
        <v>1820</v>
      </c>
      <c r="B162" s="6" t="s">
        <v>5313</v>
      </c>
      <c r="C162" s="6" t="s">
        <v>1821</v>
      </c>
      <c r="D162" s="6" t="s">
        <v>1822</v>
      </c>
      <c r="E162" s="32" t="s">
        <v>265</v>
      </c>
      <c r="F162" s="35" t="s">
        <v>386</v>
      </c>
      <c r="G162" s="14" t="str">
        <f aca="false">IFERROR(INDEX(WBS!$B$5:$B$279,MATCH($A162,WBS!$A$5:$A$279,0)),"-")</f>
        <v>DPA</v>
      </c>
      <c r="H162" s="41" t="str">
        <f aca="false">IFERROR(INDEX(WBS!$H$5:$H$279,MATCH($A162,WBS!$A$5:$A$279,0)),"-")</f>
        <v>P3</v>
      </c>
      <c r="I162" s="31" t="n">
        <f aca="false">IFERROR(INDEX(WBS!$U$5:$U$279,MATCH($A162,WBS!$A$5:$A$279,0)),0)</f>
        <v>5.9</v>
      </c>
      <c r="J162" s="7" t="str">
        <f aca="false">IF(ISNUMBER(MATCH($A162,WBS!$A$5:$A$279,0)),"✓","✗")</f>
        <v>✓</v>
      </c>
    </row>
    <row r="163" customFormat="false" ht="15" hidden="false" customHeight="false" outlineLevel="0" collapsed="false">
      <c r="A163" s="7" t="s">
        <v>1828</v>
      </c>
      <c r="B163" s="6" t="s">
        <v>5313</v>
      </c>
      <c r="C163" s="6" t="s">
        <v>1829</v>
      </c>
      <c r="D163" s="6" t="s">
        <v>1830</v>
      </c>
      <c r="E163" s="32" t="s">
        <v>265</v>
      </c>
      <c r="F163" s="36" t="s">
        <v>396</v>
      </c>
      <c r="G163" s="14" t="str">
        <f aca="false">IFERROR(INDEX(WBS!$B$5:$B$279,MATCH($A163,WBS!$A$5:$A$279,0)),"-")</f>
        <v>DPA</v>
      </c>
      <c r="H163" s="41" t="str">
        <f aca="false">IFERROR(INDEX(WBS!$H$5:$H$279,MATCH($A163,WBS!$A$5:$A$279,0)),"-")</f>
        <v>P3</v>
      </c>
      <c r="I163" s="31" t="n">
        <f aca="false">IFERROR(INDEX(WBS!$U$5:$U$279,MATCH($A163,WBS!$A$5:$A$279,0)),0)</f>
        <v>11.8</v>
      </c>
      <c r="J163" s="7" t="str">
        <f aca="false">IF(ISNUMBER(MATCH($A163,WBS!$A$5:$A$279,0)),"✓","✗")</f>
        <v>✓</v>
      </c>
    </row>
    <row r="164" customFormat="false" ht="15" hidden="false" customHeight="false" outlineLevel="0" collapsed="false">
      <c r="A164" s="7" t="s">
        <v>1835</v>
      </c>
      <c r="B164" s="6" t="s">
        <v>5313</v>
      </c>
      <c r="C164" s="6" t="s">
        <v>1836</v>
      </c>
      <c r="D164" s="6" t="s">
        <v>752</v>
      </c>
      <c r="E164" s="32" t="s">
        <v>265</v>
      </c>
      <c r="F164" s="35" t="s">
        <v>386</v>
      </c>
      <c r="G164" s="14" t="str">
        <f aca="false">IFERROR(INDEX(WBS!$B$5:$B$279,MATCH($A164,WBS!$A$5:$A$279,0)),"-")</f>
        <v>DPA</v>
      </c>
      <c r="H164" s="41" t="str">
        <f aca="false">IFERROR(INDEX(WBS!$H$5:$H$279,MATCH($A164,WBS!$A$5:$A$279,0)),"-")</f>
        <v>P3</v>
      </c>
      <c r="I164" s="31" t="n">
        <f aca="false">IFERROR(INDEX(WBS!$U$5:$U$279,MATCH($A164,WBS!$A$5:$A$279,0)),0)</f>
        <v>5.9</v>
      </c>
      <c r="J164" s="7" t="str">
        <f aca="false">IF(ISNUMBER(MATCH($A164,WBS!$A$5:$A$279,0)),"✓","✗")</f>
        <v>✓</v>
      </c>
    </row>
    <row r="165" customFormat="false" ht="15" hidden="false" customHeight="false" outlineLevel="0" collapsed="false">
      <c r="A165" s="7" t="s">
        <v>1840</v>
      </c>
      <c r="B165" s="6" t="s">
        <v>5313</v>
      </c>
      <c r="C165" s="6" t="s">
        <v>1841</v>
      </c>
      <c r="D165" s="6" t="s">
        <v>1842</v>
      </c>
      <c r="E165" s="32" t="s">
        <v>265</v>
      </c>
      <c r="F165" s="35" t="s">
        <v>386</v>
      </c>
      <c r="G165" s="14" t="str">
        <f aca="false">IFERROR(INDEX(WBS!$B$5:$B$279,MATCH($A165,WBS!$A$5:$A$279,0)),"-")</f>
        <v>DPA</v>
      </c>
      <c r="H165" s="41" t="str">
        <f aca="false">IFERROR(INDEX(WBS!$H$5:$H$279,MATCH($A165,WBS!$A$5:$A$279,0)),"-")</f>
        <v>P3</v>
      </c>
      <c r="I165" s="31" t="n">
        <f aca="false">IFERROR(INDEX(WBS!$U$5:$U$279,MATCH($A165,WBS!$A$5:$A$279,0)),0)</f>
        <v>8.8</v>
      </c>
      <c r="J165" s="7" t="str">
        <f aca="false">IF(ISNUMBER(MATCH($A165,WBS!$A$5:$A$279,0)),"✓","✗")</f>
        <v>✓</v>
      </c>
    </row>
    <row r="166" customFormat="false" ht="15" hidden="false" customHeight="false" outlineLevel="0" collapsed="false">
      <c r="A166" s="7" t="s">
        <v>1846</v>
      </c>
      <c r="B166" s="6" t="s">
        <v>5313</v>
      </c>
      <c r="C166" s="6" t="s">
        <v>1847</v>
      </c>
      <c r="D166" s="6" t="s">
        <v>1848</v>
      </c>
      <c r="E166" s="32" t="s">
        <v>265</v>
      </c>
      <c r="F166" s="36" t="s">
        <v>396</v>
      </c>
      <c r="G166" s="14" t="str">
        <f aca="false">IFERROR(INDEX(WBS!$B$5:$B$279,MATCH($A166,WBS!$A$5:$A$279,0)),"-")</f>
        <v>DPA</v>
      </c>
      <c r="H166" s="41" t="str">
        <f aca="false">IFERROR(INDEX(WBS!$H$5:$H$279,MATCH($A166,WBS!$A$5:$A$279,0)),"-")</f>
        <v>P3</v>
      </c>
      <c r="I166" s="31" t="n">
        <f aca="false">IFERROR(INDEX(WBS!$U$5:$U$279,MATCH($A166,WBS!$A$5:$A$279,0)),0)</f>
        <v>11.8</v>
      </c>
      <c r="J166" s="7" t="str">
        <f aca="false">IF(ISNUMBER(MATCH($A166,WBS!$A$5:$A$279,0)),"✓","✗")</f>
        <v>✓</v>
      </c>
    </row>
    <row r="167" customFormat="false" ht="15" hidden="false" customHeight="false" outlineLevel="0" collapsed="false">
      <c r="A167" s="7" t="s">
        <v>1808</v>
      </c>
      <c r="B167" s="6" t="s">
        <v>5313</v>
      </c>
      <c r="C167" s="6" t="s">
        <v>1809</v>
      </c>
      <c r="D167" s="6" t="s">
        <v>1810</v>
      </c>
      <c r="E167" s="29" t="s">
        <v>143</v>
      </c>
      <c r="F167" s="34" t="s">
        <v>320</v>
      </c>
      <c r="G167" s="14" t="str">
        <f aca="false">IFERROR(INDEX(WBS!$B$5:$B$279,MATCH($A167,WBS!$A$5:$A$279,0)),"-")</f>
        <v>DPA</v>
      </c>
      <c r="H167" s="41" t="str">
        <f aca="false">IFERROR(INDEX(WBS!$H$5:$H$279,MATCH($A167,WBS!$A$5:$A$279,0)),"-")</f>
        <v>P2</v>
      </c>
      <c r="I167" s="31" t="n">
        <f aca="false">IFERROR(INDEX(WBS!$U$5:$U$279,MATCH($A167,WBS!$A$5:$A$279,0)),0)</f>
        <v>11.8</v>
      </c>
      <c r="J167" s="7" t="str">
        <f aca="false">IF(ISNUMBER(MATCH($A167,WBS!$A$5:$A$279,0)),"✓","✗")</f>
        <v>✓</v>
      </c>
    </row>
    <row r="168" customFormat="false" ht="15" hidden="false" customHeight="false" outlineLevel="0" collapsed="false">
      <c r="A168" s="7" t="s">
        <v>1814</v>
      </c>
      <c r="B168" s="6" t="s">
        <v>5313</v>
      </c>
      <c r="C168" s="6" t="s">
        <v>1815</v>
      </c>
      <c r="D168" s="6" t="s">
        <v>1816</v>
      </c>
      <c r="E168" s="29" t="s">
        <v>143</v>
      </c>
      <c r="F168" s="34" t="s">
        <v>320</v>
      </c>
      <c r="G168" s="14" t="str">
        <f aca="false">IFERROR(INDEX(WBS!$B$5:$B$279,MATCH($A168,WBS!$A$5:$A$279,0)),"-")</f>
        <v>DPA</v>
      </c>
      <c r="H168" s="41" t="str">
        <f aca="false">IFERROR(INDEX(WBS!$H$5:$H$279,MATCH($A168,WBS!$A$5:$A$279,0)),"-")</f>
        <v>P2</v>
      </c>
      <c r="I168" s="31" t="n">
        <f aca="false">IFERROR(INDEX(WBS!$U$5:$U$279,MATCH($A168,WBS!$A$5:$A$279,0)),0)</f>
        <v>8.8</v>
      </c>
      <c r="J168" s="7" t="str">
        <f aca="false">IF(ISNUMBER(MATCH($A168,WBS!$A$5:$A$279,0)),"✓","✗")</f>
        <v>✓</v>
      </c>
    </row>
    <row r="169" customFormat="false" ht="15" hidden="false" customHeight="false" outlineLevel="0" collapsed="false">
      <c r="A169" s="7" t="s">
        <v>1855</v>
      </c>
      <c r="B169" s="6" t="s">
        <v>5313</v>
      </c>
      <c r="C169" s="6" t="s">
        <v>1856</v>
      </c>
      <c r="D169" s="6" t="s">
        <v>1857</v>
      </c>
      <c r="E169" s="32" t="s">
        <v>265</v>
      </c>
      <c r="F169" s="35" t="s">
        <v>386</v>
      </c>
      <c r="G169" s="14" t="str">
        <f aca="false">IFERROR(INDEX(WBS!$B$5:$B$279,MATCH($A169,WBS!$A$5:$A$279,0)),"-")</f>
        <v>DPA</v>
      </c>
      <c r="H169" s="41" t="str">
        <f aca="false">IFERROR(INDEX(WBS!$H$5:$H$279,MATCH($A169,WBS!$A$5:$A$279,0)),"-")</f>
        <v>P3</v>
      </c>
      <c r="I169" s="31" t="n">
        <f aca="false">IFERROR(INDEX(WBS!$U$5:$U$279,MATCH($A169,WBS!$A$5:$A$279,0)),0)</f>
        <v>5.9</v>
      </c>
      <c r="J169" s="7" t="str">
        <f aca="false">IF(ISNUMBER(MATCH($A169,WBS!$A$5:$A$279,0)),"✓","✗")</f>
        <v>✓</v>
      </c>
    </row>
    <row r="170" customFormat="false" ht="15" hidden="false" customHeight="false" outlineLevel="0" collapsed="false">
      <c r="A170" s="7" t="s">
        <v>1861</v>
      </c>
      <c r="B170" s="6" t="s">
        <v>5313</v>
      </c>
      <c r="C170" s="6" t="s">
        <v>1862</v>
      </c>
      <c r="D170" s="6" t="s">
        <v>1863</v>
      </c>
      <c r="E170" s="32" t="s">
        <v>265</v>
      </c>
      <c r="F170" s="35" t="s">
        <v>386</v>
      </c>
      <c r="G170" s="14" t="str">
        <f aca="false">IFERROR(INDEX(WBS!$B$5:$B$279,MATCH($A170,WBS!$A$5:$A$279,0)),"-")</f>
        <v>DPA</v>
      </c>
      <c r="H170" s="41" t="str">
        <f aca="false">IFERROR(INDEX(WBS!$H$5:$H$279,MATCH($A170,WBS!$A$5:$A$279,0)),"-")</f>
        <v>P3</v>
      </c>
      <c r="I170" s="31" t="n">
        <f aca="false">IFERROR(INDEX(WBS!$U$5:$U$279,MATCH($A170,WBS!$A$5:$A$279,0)),0)</f>
        <v>8.8</v>
      </c>
      <c r="J170" s="7" t="str">
        <f aca="false">IF(ISNUMBER(MATCH($A170,WBS!$A$5:$A$279,0)),"✓","✗")</f>
        <v>✓</v>
      </c>
    </row>
    <row r="171" customFormat="false" ht="15" hidden="false" customHeight="false" outlineLevel="0" collapsed="false">
      <c r="A171" s="7" t="s">
        <v>1868</v>
      </c>
      <c r="B171" s="6" t="s">
        <v>5313</v>
      </c>
      <c r="C171" s="6" t="s">
        <v>1869</v>
      </c>
      <c r="D171" s="6" t="s">
        <v>1870</v>
      </c>
      <c r="E171" s="33" t="s">
        <v>286</v>
      </c>
      <c r="F171" s="35" t="s">
        <v>386</v>
      </c>
      <c r="G171" s="14" t="str">
        <f aca="false">IFERROR(INDEX(WBS!$B$5:$B$279,MATCH($A171,WBS!$A$5:$A$279,0)),"-")</f>
        <v>DPA</v>
      </c>
      <c r="H171" s="41" t="str">
        <f aca="false">IFERROR(INDEX(WBS!$H$5:$H$279,MATCH($A171,WBS!$A$5:$A$279,0)),"-")</f>
        <v>P4</v>
      </c>
      <c r="I171" s="31" t="n">
        <f aca="false">IFERROR(INDEX(WBS!$U$5:$U$279,MATCH($A171,WBS!$A$5:$A$279,0)),0)</f>
        <v>8.8</v>
      </c>
      <c r="J171" s="7" t="str">
        <f aca="false">IF(ISNUMBER(MATCH($A171,WBS!$A$5:$A$279,0)),"✓","✗")</f>
        <v>✓</v>
      </c>
    </row>
    <row r="172" customFormat="false" ht="15" hidden="false" customHeight="false" outlineLevel="0" collapsed="false">
      <c r="A172" s="7" t="s">
        <v>508</v>
      </c>
      <c r="B172" s="6" t="s">
        <v>5314</v>
      </c>
      <c r="C172" s="6" t="s">
        <v>511</v>
      </c>
      <c r="D172" s="6" t="s">
        <v>512</v>
      </c>
      <c r="E172" s="29" t="s">
        <v>143</v>
      </c>
      <c r="F172" s="34" t="s">
        <v>320</v>
      </c>
      <c r="G172" s="14" t="str">
        <f aca="false">IFERROR(INDEX(WBS!$B$5:$B$279,MATCH($A172,WBS!$A$5:$A$279,0)),"-")</f>
        <v>CON</v>
      </c>
      <c r="H172" s="41" t="str">
        <f aca="false">IFERROR(INDEX(WBS!$H$5:$H$279,MATCH($A172,WBS!$A$5:$A$279,0)),"-")</f>
        <v>P1</v>
      </c>
      <c r="I172" s="31" t="n">
        <f aca="false">IFERROR(INDEX(WBS!$U$5:$U$279,MATCH($A172,WBS!$A$5:$A$279,0)),0)</f>
        <v>44.8</v>
      </c>
      <c r="J172" s="7" t="str">
        <f aca="false">IF(ISNUMBER(MATCH($A172,WBS!$A$5:$A$279,0)),"✓","✗")</f>
        <v>✓</v>
      </c>
    </row>
    <row r="173" customFormat="false" ht="15" hidden="false" customHeight="false" outlineLevel="0" collapsed="false">
      <c r="A173" s="7" t="s">
        <v>518</v>
      </c>
      <c r="B173" s="6" t="s">
        <v>5314</v>
      </c>
      <c r="C173" s="6" t="s">
        <v>519</v>
      </c>
      <c r="D173" s="6" t="s">
        <v>520</v>
      </c>
      <c r="E173" s="29" t="s">
        <v>143</v>
      </c>
      <c r="F173" s="34" t="s">
        <v>320</v>
      </c>
      <c r="G173" s="14" t="str">
        <f aca="false">IFERROR(INDEX(WBS!$B$5:$B$279,MATCH($A173,WBS!$A$5:$A$279,0)),"-")</f>
        <v>CON</v>
      </c>
      <c r="H173" s="41" t="str">
        <f aca="false">IFERROR(INDEX(WBS!$H$5:$H$279,MATCH($A173,WBS!$A$5:$A$279,0)),"-")</f>
        <v>P1</v>
      </c>
      <c r="I173" s="31" t="n">
        <f aca="false">IFERROR(INDEX(WBS!$U$5:$U$279,MATCH($A173,WBS!$A$5:$A$279,0)),0)</f>
        <v>13.8</v>
      </c>
      <c r="J173" s="7" t="str">
        <f aca="false">IF(ISNUMBER(MATCH($A173,WBS!$A$5:$A$279,0)),"✓","✗")</f>
        <v>✓</v>
      </c>
    </row>
    <row r="174" customFormat="false" ht="15" hidden="false" customHeight="false" outlineLevel="0" collapsed="false">
      <c r="A174" s="7" t="s">
        <v>525</v>
      </c>
      <c r="B174" s="6" t="s">
        <v>5314</v>
      </c>
      <c r="C174" s="6" t="s">
        <v>526</v>
      </c>
      <c r="D174" s="6" t="s">
        <v>527</v>
      </c>
      <c r="E174" s="29" t="s">
        <v>143</v>
      </c>
      <c r="F174" s="34" t="s">
        <v>320</v>
      </c>
      <c r="G174" s="14" t="str">
        <f aca="false">IFERROR(INDEX(WBS!$B$5:$B$279,MATCH($A174,WBS!$A$5:$A$279,0)),"-")</f>
        <v>CON</v>
      </c>
      <c r="H174" s="41" t="str">
        <f aca="false">IFERROR(INDEX(WBS!$H$5:$H$279,MATCH($A174,WBS!$A$5:$A$279,0)),"-")</f>
        <v>P1</v>
      </c>
      <c r="I174" s="31" t="n">
        <f aca="false">IFERROR(INDEX(WBS!$U$5:$U$279,MATCH($A174,WBS!$A$5:$A$279,0)),0)</f>
        <v>19.2</v>
      </c>
      <c r="J174" s="7" t="str">
        <f aca="false">IF(ISNUMBER(MATCH($A174,WBS!$A$5:$A$279,0)),"✓","✗")</f>
        <v>✓</v>
      </c>
    </row>
    <row r="175" customFormat="false" ht="15" hidden="false" customHeight="false" outlineLevel="0" collapsed="false">
      <c r="A175" s="7" t="s">
        <v>531</v>
      </c>
      <c r="B175" s="6" t="s">
        <v>5314</v>
      </c>
      <c r="C175" s="6" t="s">
        <v>532</v>
      </c>
      <c r="D175" s="6" t="s">
        <v>533</v>
      </c>
      <c r="E175" s="32" t="s">
        <v>265</v>
      </c>
      <c r="F175" s="34" t="s">
        <v>320</v>
      </c>
      <c r="G175" s="14" t="str">
        <f aca="false">IFERROR(INDEX(WBS!$B$5:$B$279,MATCH($A175,WBS!$A$5:$A$279,0)),"-")</f>
        <v>CON</v>
      </c>
      <c r="H175" s="41" t="str">
        <f aca="false">IFERROR(INDEX(WBS!$H$5:$H$279,MATCH($A175,WBS!$A$5:$A$279,0)),"-")</f>
        <v>P1</v>
      </c>
      <c r="I175" s="31" t="n">
        <f aca="false">IFERROR(INDEX(WBS!$U$5:$U$279,MATCH($A175,WBS!$A$5:$A$279,0)),0)</f>
        <v>24.1</v>
      </c>
      <c r="J175" s="7" t="str">
        <f aca="false">IF(ISNUMBER(MATCH($A175,WBS!$A$5:$A$279,0)),"✓","✗")</f>
        <v>✓</v>
      </c>
    </row>
    <row r="176" customFormat="false" ht="15" hidden="false" customHeight="false" outlineLevel="0" collapsed="false">
      <c r="A176" s="7" t="s">
        <v>646</v>
      </c>
      <c r="B176" s="6" t="s">
        <v>5314</v>
      </c>
      <c r="C176" s="6" t="s">
        <v>647</v>
      </c>
      <c r="D176" s="6" t="s">
        <v>648</v>
      </c>
      <c r="E176" s="32" t="s">
        <v>265</v>
      </c>
      <c r="F176" s="34" t="s">
        <v>320</v>
      </c>
      <c r="G176" s="14" t="str">
        <f aca="false">IFERROR(INDEX(WBS!$B$5:$B$279,MATCH($A176,WBS!$A$5:$A$279,0)),"-")</f>
        <v>CON</v>
      </c>
      <c r="H176" s="41" t="str">
        <f aca="false">IFERROR(INDEX(WBS!$H$5:$H$279,MATCH($A176,WBS!$A$5:$A$279,0)),"-")</f>
        <v>P3</v>
      </c>
      <c r="I176" s="31" t="n">
        <f aca="false">IFERROR(INDEX(WBS!$U$5:$U$279,MATCH($A176,WBS!$A$5:$A$279,0)),0)</f>
        <v>8.8</v>
      </c>
      <c r="J176" s="7" t="str">
        <f aca="false">IF(ISNUMBER(MATCH($A176,WBS!$A$5:$A$279,0)),"✓","✗")</f>
        <v>✓</v>
      </c>
    </row>
    <row r="177" customFormat="false" ht="15" hidden="false" customHeight="false" outlineLevel="0" collapsed="false">
      <c r="A177" s="7" t="s">
        <v>539</v>
      </c>
      <c r="B177" s="6" t="s">
        <v>5314</v>
      </c>
      <c r="C177" s="6" t="s">
        <v>540</v>
      </c>
      <c r="D177" s="6" t="s">
        <v>541</v>
      </c>
      <c r="E177" s="32" t="s">
        <v>265</v>
      </c>
      <c r="F177" s="34" t="s">
        <v>320</v>
      </c>
      <c r="G177" s="14" t="str">
        <f aca="false">IFERROR(INDEX(WBS!$B$5:$B$279,MATCH($A177,WBS!$A$5:$A$279,0)),"-")</f>
        <v>CON</v>
      </c>
      <c r="H177" s="41" t="str">
        <f aca="false">IFERROR(INDEX(WBS!$H$5:$H$279,MATCH($A177,WBS!$A$5:$A$279,0)),"-")</f>
        <v>P1</v>
      </c>
      <c r="I177" s="31" t="n">
        <f aca="false">IFERROR(INDEX(WBS!$U$5:$U$279,MATCH($A177,WBS!$A$5:$A$279,0)),0)</f>
        <v>13.8</v>
      </c>
      <c r="J177" s="7" t="str">
        <f aca="false">IF(ISNUMBER(MATCH($A177,WBS!$A$5:$A$279,0)),"✓","✗")</f>
        <v>✓</v>
      </c>
    </row>
    <row r="178" customFormat="false" ht="15" hidden="false" customHeight="false" outlineLevel="0" collapsed="false">
      <c r="A178" s="7" t="s">
        <v>652</v>
      </c>
      <c r="B178" s="6" t="s">
        <v>5314</v>
      </c>
      <c r="C178" s="6" t="s">
        <v>653</v>
      </c>
      <c r="D178" s="6" t="s">
        <v>654</v>
      </c>
      <c r="E178" s="32" t="s">
        <v>265</v>
      </c>
      <c r="F178" s="35" t="s">
        <v>386</v>
      </c>
      <c r="G178" s="14" t="str">
        <f aca="false">IFERROR(INDEX(WBS!$B$5:$B$279,MATCH($A178,WBS!$A$5:$A$279,0)),"-")</f>
        <v>CON</v>
      </c>
      <c r="H178" s="41" t="str">
        <f aca="false">IFERROR(INDEX(WBS!$H$5:$H$279,MATCH($A178,WBS!$A$5:$A$279,0)),"-")</f>
        <v>P3</v>
      </c>
      <c r="I178" s="31" t="n">
        <f aca="false">IFERROR(INDEX(WBS!$U$5:$U$279,MATCH($A178,WBS!$A$5:$A$279,0)),0)</f>
        <v>22.1</v>
      </c>
      <c r="J178" s="7" t="str">
        <f aca="false">IF(ISNUMBER(MATCH($A178,WBS!$A$5:$A$279,0)),"✓","✗")</f>
        <v>✓</v>
      </c>
    </row>
    <row r="179" customFormat="false" ht="15" hidden="false" customHeight="false" outlineLevel="0" collapsed="false">
      <c r="A179" s="7" t="s">
        <v>679</v>
      </c>
      <c r="B179" s="6" t="s">
        <v>5314</v>
      </c>
      <c r="C179" s="6" t="s">
        <v>680</v>
      </c>
      <c r="D179" s="6" t="s">
        <v>681</v>
      </c>
      <c r="E179" s="33" t="s">
        <v>286</v>
      </c>
      <c r="F179" s="34" t="s">
        <v>320</v>
      </c>
      <c r="G179" s="14" t="str">
        <f aca="false">IFERROR(INDEX(WBS!$B$5:$B$279,MATCH($A179,WBS!$A$5:$A$279,0)),"-")</f>
        <v>CON</v>
      </c>
      <c r="H179" s="41" t="str">
        <f aca="false">IFERROR(INDEX(WBS!$H$5:$H$279,MATCH($A179,WBS!$A$5:$A$279,0)),"-")</f>
        <v>P4</v>
      </c>
      <c r="I179" s="31" t="n">
        <f aca="false">IFERROR(INDEX(WBS!$U$5:$U$279,MATCH($A179,WBS!$A$5:$A$279,0)),0)</f>
        <v>16.7</v>
      </c>
      <c r="J179" s="7" t="str">
        <f aca="false">IF(ISNUMBER(MATCH($A179,WBS!$A$5:$A$279,0)),"✓","✗")</f>
        <v>✓</v>
      </c>
    </row>
    <row r="180" customFormat="false" ht="15" hidden="false" customHeight="false" outlineLevel="0" collapsed="false">
      <c r="A180" s="7" t="s">
        <v>547</v>
      </c>
      <c r="B180" s="6" t="s">
        <v>5314</v>
      </c>
      <c r="C180" s="6" t="s">
        <v>548</v>
      </c>
      <c r="D180" s="6" t="s">
        <v>549</v>
      </c>
      <c r="E180" s="29" t="s">
        <v>143</v>
      </c>
      <c r="F180" s="34" t="s">
        <v>320</v>
      </c>
      <c r="G180" s="14" t="str">
        <f aca="false">IFERROR(INDEX(WBS!$B$5:$B$279,MATCH($A180,WBS!$A$5:$A$279,0)),"-")</f>
        <v>CON</v>
      </c>
      <c r="H180" s="41" t="str">
        <f aca="false">IFERROR(INDEX(WBS!$H$5:$H$279,MATCH($A180,WBS!$A$5:$A$279,0)),"-")</f>
        <v>P1</v>
      </c>
      <c r="I180" s="31" t="n">
        <f aca="false">IFERROR(INDEX(WBS!$U$5:$U$279,MATCH($A180,WBS!$A$5:$A$279,0)),0)</f>
        <v>16.7</v>
      </c>
      <c r="J180" s="7" t="str">
        <f aca="false">IF(ISNUMBER(MATCH($A180,WBS!$A$5:$A$279,0)),"✓","✗")</f>
        <v>✓</v>
      </c>
    </row>
    <row r="181" customFormat="false" ht="15" hidden="false" customHeight="false" outlineLevel="0" collapsed="false">
      <c r="A181" s="7" t="s">
        <v>556</v>
      </c>
      <c r="B181" s="6" t="s">
        <v>5314</v>
      </c>
      <c r="C181" s="6" t="s">
        <v>557</v>
      </c>
      <c r="D181" s="6" t="s">
        <v>558</v>
      </c>
      <c r="E181" s="29" t="s">
        <v>143</v>
      </c>
      <c r="F181" s="35" t="s">
        <v>386</v>
      </c>
      <c r="G181" s="14" t="str">
        <f aca="false">IFERROR(INDEX(WBS!$B$5:$B$279,MATCH($A181,WBS!$A$5:$A$279,0)),"-")</f>
        <v>CON</v>
      </c>
      <c r="H181" s="41" t="str">
        <f aca="false">IFERROR(INDEX(WBS!$H$5:$H$279,MATCH($A181,WBS!$A$5:$A$279,0)),"-")</f>
        <v>P1</v>
      </c>
      <c r="I181" s="31" t="n">
        <f aca="false">IFERROR(INDEX(WBS!$U$5:$U$279,MATCH($A181,WBS!$A$5:$A$279,0)),0)</f>
        <v>8.8</v>
      </c>
      <c r="J181" s="7" t="str">
        <f aca="false">IF(ISNUMBER(MATCH($A181,WBS!$A$5:$A$279,0)),"✓","✗")</f>
        <v>✓</v>
      </c>
    </row>
    <row r="182" customFormat="false" ht="15" hidden="false" customHeight="false" outlineLevel="0" collapsed="false">
      <c r="A182" s="7" t="s">
        <v>564</v>
      </c>
      <c r="B182" s="6" t="s">
        <v>5314</v>
      </c>
      <c r="C182" s="6" t="s">
        <v>565</v>
      </c>
      <c r="D182" s="6" t="s">
        <v>566</v>
      </c>
      <c r="E182" s="29" t="s">
        <v>143</v>
      </c>
      <c r="F182" s="34" t="s">
        <v>320</v>
      </c>
      <c r="G182" s="14" t="str">
        <f aca="false">IFERROR(INDEX(WBS!$B$5:$B$279,MATCH($A182,WBS!$A$5:$A$279,0)),"-")</f>
        <v>CON</v>
      </c>
      <c r="H182" s="41" t="str">
        <f aca="false">IFERROR(INDEX(WBS!$H$5:$H$279,MATCH($A182,WBS!$A$5:$A$279,0)),"-")</f>
        <v>P1</v>
      </c>
      <c r="I182" s="31" t="n">
        <f aca="false">IFERROR(INDEX(WBS!$U$5:$U$279,MATCH($A182,WBS!$A$5:$A$279,0)),0)</f>
        <v>16.7</v>
      </c>
      <c r="J182" s="7" t="str">
        <f aca="false">IF(ISNUMBER(MATCH($A182,WBS!$A$5:$A$279,0)),"✓","✗")</f>
        <v>✓</v>
      </c>
    </row>
    <row r="183" customFormat="false" ht="15" hidden="false" customHeight="false" outlineLevel="0" collapsed="false">
      <c r="A183" s="7" t="s">
        <v>572</v>
      </c>
      <c r="B183" s="6" t="s">
        <v>5314</v>
      </c>
      <c r="C183" s="6" t="s">
        <v>573</v>
      </c>
      <c r="D183" s="6" t="s">
        <v>574</v>
      </c>
      <c r="E183" s="29" t="s">
        <v>143</v>
      </c>
      <c r="F183" s="34" t="s">
        <v>320</v>
      </c>
      <c r="G183" s="14" t="str">
        <f aca="false">IFERROR(INDEX(WBS!$B$5:$B$279,MATCH($A183,WBS!$A$5:$A$279,0)),"-")</f>
        <v>CON</v>
      </c>
      <c r="H183" s="41" t="str">
        <f aca="false">IFERROR(INDEX(WBS!$H$5:$H$279,MATCH($A183,WBS!$A$5:$A$279,0)),"-")</f>
        <v>P1</v>
      </c>
      <c r="I183" s="31" t="n">
        <f aca="false">IFERROR(INDEX(WBS!$U$5:$U$279,MATCH($A183,WBS!$A$5:$A$279,0)),0)</f>
        <v>11.8</v>
      </c>
      <c r="J183" s="7" t="str">
        <f aca="false">IF(ISNUMBER(MATCH($A183,WBS!$A$5:$A$279,0)),"✓","✗")</f>
        <v>✓</v>
      </c>
    </row>
    <row r="184" customFormat="false" ht="15" hidden="false" customHeight="false" outlineLevel="0" collapsed="false">
      <c r="A184" s="7" t="s">
        <v>579</v>
      </c>
      <c r="B184" s="6" t="s">
        <v>5314</v>
      </c>
      <c r="C184" s="6" t="s">
        <v>580</v>
      </c>
      <c r="D184" s="6" t="s">
        <v>581</v>
      </c>
      <c r="E184" s="29" t="s">
        <v>143</v>
      </c>
      <c r="F184" s="34" t="s">
        <v>320</v>
      </c>
      <c r="G184" s="14" t="str">
        <f aca="false">IFERROR(INDEX(WBS!$B$5:$B$279,MATCH($A184,WBS!$A$5:$A$279,0)),"-")</f>
        <v>CON</v>
      </c>
      <c r="H184" s="41" t="str">
        <f aca="false">IFERROR(INDEX(WBS!$H$5:$H$279,MATCH($A184,WBS!$A$5:$A$279,0)),"-")</f>
        <v>P1</v>
      </c>
      <c r="I184" s="31" t="n">
        <f aca="false">IFERROR(INDEX(WBS!$U$5:$U$279,MATCH($A184,WBS!$A$5:$A$279,0)),0)</f>
        <v>11.8</v>
      </c>
      <c r="J184" s="7" t="str">
        <f aca="false">IF(ISNUMBER(MATCH($A184,WBS!$A$5:$A$279,0)),"✓","✗")</f>
        <v>✓</v>
      </c>
    </row>
    <row r="185" customFormat="false" ht="15" hidden="false" customHeight="false" outlineLevel="0" collapsed="false">
      <c r="A185" s="7" t="s">
        <v>587</v>
      </c>
      <c r="B185" s="6" t="s">
        <v>5314</v>
      </c>
      <c r="C185" s="6" t="s">
        <v>588</v>
      </c>
      <c r="D185" s="6" t="s">
        <v>589</v>
      </c>
      <c r="E185" s="29" t="s">
        <v>143</v>
      </c>
      <c r="F185" s="35" t="s">
        <v>386</v>
      </c>
      <c r="G185" s="14" t="str">
        <f aca="false">IFERROR(INDEX(WBS!$B$5:$B$279,MATCH($A185,WBS!$A$5:$A$279,0)),"-")</f>
        <v>CON</v>
      </c>
      <c r="H185" s="41" t="str">
        <f aca="false">IFERROR(INDEX(WBS!$H$5:$H$279,MATCH($A185,WBS!$A$5:$A$279,0)),"-")</f>
        <v>P1</v>
      </c>
      <c r="I185" s="31" t="n">
        <f aca="false">IFERROR(INDEX(WBS!$U$5:$U$279,MATCH($A185,WBS!$A$5:$A$279,0)),0)</f>
        <v>16.7</v>
      </c>
      <c r="J185" s="7" t="str">
        <f aca="false">IF(ISNUMBER(MATCH($A185,WBS!$A$5:$A$279,0)),"✓","✗")</f>
        <v>✓</v>
      </c>
    </row>
    <row r="186" customFormat="false" ht="15" hidden="false" customHeight="false" outlineLevel="0" collapsed="false">
      <c r="A186" s="7" t="s">
        <v>594</v>
      </c>
      <c r="B186" s="6" t="s">
        <v>5314</v>
      </c>
      <c r="C186" s="6" t="s">
        <v>595</v>
      </c>
      <c r="D186" s="6" t="s">
        <v>596</v>
      </c>
      <c r="E186" s="29" t="s">
        <v>143</v>
      </c>
      <c r="F186" s="34" t="s">
        <v>320</v>
      </c>
      <c r="G186" s="14" t="str">
        <f aca="false">IFERROR(INDEX(WBS!$B$5:$B$279,MATCH($A186,WBS!$A$5:$A$279,0)),"-")</f>
        <v>CON</v>
      </c>
      <c r="H186" s="41" t="str">
        <f aca="false">IFERROR(INDEX(WBS!$H$5:$H$279,MATCH($A186,WBS!$A$5:$A$279,0)),"-")</f>
        <v>P1</v>
      </c>
      <c r="I186" s="31" t="n">
        <f aca="false">IFERROR(INDEX(WBS!$U$5:$U$279,MATCH($A186,WBS!$A$5:$A$279,0)),0)</f>
        <v>19.2</v>
      </c>
      <c r="J186" s="7" t="str">
        <f aca="false">IF(ISNUMBER(MATCH($A186,WBS!$A$5:$A$279,0)),"✓","✗")</f>
        <v>✓</v>
      </c>
    </row>
    <row r="187" customFormat="false" ht="15" hidden="false" customHeight="false" outlineLevel="0" collapsed="false">
      <c r="A187" s="7" t="s">
        <v>602</v>
      </c>
      <c r="B187" s="6" t="s">
        <v>5314</v>
      </c>
      <c r="C187" s="6" t="s">
        <v>603</v>
      </c>
      <c r="D187" s="6" t="s">
        <v>604</v>
      </c>
      <c r="E187" s="29" t="s">
        <v>143</v>
      </c>
      <c r="F187" s="34" t="s">
        <v>320</v>
      </c>
      <c r="G187" s="14" t="str">
        <f aca="false">IFERROR(INDEX(WBS!$B$5:$B$279,MATCH($A187,WBS!$A$5:$A$279,0)),"-")</f>
        <v>CON</v>
      </c>
      <c r="H187" s="41" t="str">
        <f aca="false">IFERROR(INDEX(WBS!$H$5:$H$279,MATCH($A187,WBS!$A$5:$A$279,0)),"-")</f>
        <v>P1</v>
      </c>
      <c r="I187" s="31" t="n">
        <f aca="false">IFERROR(INDEX(WBS!$U$5:$U$279,MATCH($A187,WBS!$A$5:$A$279,0)),0)</f>
        <v>19.2</v>
      </c>
      <c r="J187" s="7" t="str">
        <f aca="false">IF(ISNUMBER(MATCH($A187,WBS!$A$5:$A$279,0)),"✓","✗")</f>
        <v>✓</v>
      </c>
    </row>
    <row r="188" customFormat="false" ht="15" hidden="false" customHeight="false" outlineLevel="0" collapsed="false">
      <c r="A188" s="7" t="s">
        <v>609</v>
      </c>
      <c r="B188" s="6" t="s">
        <v>5314</v>
      </c>
      <c r="C188" s="6" t="s">
        <v>610</v>
      </c>
      <c r="D188" s="6" t="s">
        <v>611</v>
      </c>
      <c r="E188" s="29" t="s">
        <v>143</v>
      </c>
      <c r="F188" s="35" t="s">
        <v>386</v>
      </c>
      <c r="G188" s="14" t="str">
        <f aca="false">IFERROR(INDEX(WBS!$B$5:$B$279,MATCH($A188,WBS!$A$5:$A$279,0)),"-")</f>
        <v>CON</v>
      </c>
      <c r="H188" s="41" t="str">
        <f aca="false">IFERROR(INDEX(WBS!$H$5:$H$279,MATCH($A188,WBS!$A$5:$A$279,0)),"-")</f>
        <v>P1</v>
      </c>
      <c r="I188" s="31" t="n">
        <f aca="false">IFERROR(INDEX(WBS!$U$5:$U$279,MATCH($A188,WBS!$A$5:$A$279,0)),0)</f>
        <v>5.9</v>
      </c>
      <c r="J188" s="7" t="str">
        <f aca="false">IF(ISNUMBER(MATCH($A188,WBS!$A$5:$A$279,0)),"✓","✗")</f>
        <v>✓</v>
      </c>
    </row>
    <row r="189" customFormat="false" ht="15" hidden="false" customHeight="false" outlineLevel="0" collapsed="false">
      <c r="A189" s="7" t="s">
        <v>616</v>
      </c>
      <c r="B189" s="6" t="s">
        <v>5314</v>
      </c>
      <c r="C189" s="6" t="s">
        <v>617</v>
      </c>
      <c r="D189" s="6" t="s">
        <v>618</v>
      </c>
      <c r="E189" s="32" t="s">
        <v>265</v>
      </c>
      <c r="F189" s="34" t="s">
        <v>320</v>
      </c>
      <c r="G189" s="14" t="str">
        <f aca="false">IFERROR(INDEX(WBS!$B$5:$B$279,MATCH($A189,WBS!$A$5:$A$279,0)),"-")</f>
        <v>CON</v>
      </c>
      <c r="H189" s="41" t="str">
        <f aca="false">IFERROR(INDEX(WBS!$H$5:$H$279,MATCH($A189,WBS!$A$5:$A$279,0)),"-")</f>
        <v>P1</v>
      </c>
      <c r="I189" s="31" t="n">
        <f aca="false">IFERROR(INDEX(WBS!$U$5:$U$279,MATCH($A189,WBS!$A$5:$A$279,0)),0)</f>
        <v>16.7</v>
      </c>
      <c r="J189" s="7" t="str">
        <f aca="false">IF(ISNUMBER(MATCH($A189,WBS!$A$5:$A$279,0)),"✓","✗")</f>
        <v>✓</v>
      </c>
    </row>
    <row r="190" customFormat="false" ht="15" hidden="false" customHeight="false" outlineLevel="0" collapsed="false">
      <c r="A190" s="7" t="s">
        <v>624</v>
      </c>
      <c r="B190" s="6" t="s">
        <v>5314</v>
      </c>
      <c r="C190" s="6" t="s">
        <v>625</v>
      </c>
      <c r="D190" s="6" t="s">
        <v>626</v>
      </c>
      <c r="E190" s="32" t="s">
        <v>265</v>
      </c>
      <c r="F190" s="35" t="s">
        <v>386</v>
      </c>
      <c r="G190" s="14" t="str">
        <f aca="false">IFERROR(INDEX(WBS!$B$5:$B$279,MATCH($A190,WBS!$A$5:$A$279,0)),"-")</f>
        <v>CON</v>
      </c>
      <c r="H190" s="41" t="str">
        <f aca="false">IFERROR(INDEX(WBS!$H$5:$H$279,MATCH($A190,WBS!$A$5:$A$279,0)),"-")</f>
        <v>P1</v>
      </c>
      <c r="I190" s="31" t="n">
        <f aca="false">IFERROR(INDEX(WBS!$U$5:$U$279,MATCH($A190,WBS!$A$5:$A$279,0)),0)</f>
        <v>8.8</v>
      </c>
      <c r="J190" s="7" t="str">
        <f aca="false">IF(ISNUMBER(MATCH($A190,WBS!$A$5:$A$279,0)),"✓","✗")</f>
        <v>✓</v>
      </c>
    </row>
    <row r="191" customFormat="false" ht="15" hidden="false" customHeight="false" outlineLevel="0" collapsed="false">
      <c r="A191" s="7" t="s">
        <v>660</v>
      </c>
      <c r="B191" s="6" t="s">
        <v>5314</v>
      </c>
      <c r="C191" s="6" t="s">
        <v>661</v>
      </c>
      <c r="D191" s="6" t="s">
        <v>662</v>
      </c>
      <c r="E191" s="32" t="s">
        <v>265</v>
      </c>
      <c r="F191" s="34" t="s">
        <v>320</v>
      </c>
      <c r="G191" s="14" t="str">
        <f aca="false">IFERROR(INDEX(WBS!$B$5:$B$279,MATCH($A191,WBS!$A$5:$A$279,0)),"-")</f>
        <v>CON</v>
      </c>
      <c r="H191" s="41" t="str">
        <f aca="false">IFERROR(INDEX(WBS!$H$5:$H$279,MATCH($A191,WBS!$A$5:$A$279,0)),"-")</f>
        <v>P3</v>
      </c>
      <c r="I191" s="31" t="n">
        <f aca="false">IFERROR(INDEX(WBS!$U$5:$U$279,MATCH($A191,WBS!$A$5:$A$279,0)),0)</f>
        <v>11.8</v>
      </c>
      <c r="J191" s="7" t="str">
        <f aca="false">IF(ISNUMBER(MATCH($A191,WBS!$A$5:$A$279,0)),"✓","✗")</f>
        <v>✓</v>
      </c>
    </row>
    <row r="192" customFormat="false" ht="15" hidden="false" customHeight="false" outlineLevel="0" collapsed="false">
      <c r="A192" s="7" t="s">
        <v>630</v>
      </c>
      <c r="B192" s="6" t="s">
        <v>5314</v>
      </c>
      <c r="C192" s="6" t="s">
        <v>631</v>
      </c>
      <c r="D192" s="6" t="s">
        <v>632</v>
      </c>
      <c r="E192" s="32" t="s">
        <v>265</v>
      </c>
      <c r="F192" s="34" t="s">
        <v>320</v>
      </c>
      <c r="G192" s="14" t="str">
        <f aca="false">IFERROR(INDEX(WBS!$B$5:$B$279,MATCH($A192,WBS!$A$5:$A$279,0)),"-")</f>
        <v>CON</v>
      </c>
      <c r="H192" s="41" t="str">
        <f aca="false">IFERROR(INDEX(WBS!$H$5:$H$279,MATCH($A192,WBS!$A$5:$A$279,0)),"-")</f>
        <v>P1</v>
      </c>
      <c r="I192" s="31" t="n">
        <f aca="false">IFERROR(INDEX(WBS!$U$5:$U$279,MATCH($A192,WBS!$A$5:$A$279,0)),0)</f>
        <v>16.7</v>
      </c>
      <c r="J192" s="7" t="str">
        <f aca="false">IF(ISNUMBER(MATCH($A192,WBS!$A$5:$A$279,0)),"✓","✗")</f>
        <v>✓</v>
      </c>
    </row>
    <row r="193" customFormat="false" ht="15" hidden="false" customHeight="false" outlineLevel="0" collapsed="false">
      <c r="A193" s="7" t="s">
        <v>638</v>
      </c>
      <c r="B193" s="6" t="s">
        <v>5314</v>
      </c>
      <c r="C193" s="6" t="s">
        <v>639</v>
      </c>
      <c r="D193" s="6" t="s">
        <v>640</v>
      </c>
      <c r="E193" s="32" t="s">
        <v>265</v>
      </c>
      <c r="F193" s="34" t="s">
        <v>320</v>
      </c>
      <c r="G193" s="14" t="str">
        <f aca="false">IFERROR(INDEX(WBS!$B$5:$B$279,MATCH($A193,WBS!$A$5:$A$279,0)),"-")</f>
        <v>CON</v>
      </c>
      <c r="H193" s="41" t="str">
        <f aca="false">IFERROR(INDEX(WBS!$H$5:$H$279,MATCH($A193,WBS!$A$5:$A$279,0)),"-")</f>
        <v>P1</v>
      </c>
      <c r="I193" s="31" t="n">
        <f aca="false">IFERROR(INDEX(WBS!$U$5:$U$279,MATCH($A193,WBS!$A$5:$A$279,0)),0)</f>
        <v>11.8</v>
      </c>
      <c r="J193" s="7" t="str">
        <f aca="false">IF(ISNUMBER(MATCH($A193,WBS!$A$5:$A$279,0)),"✓","✗")</f>
        <v>✓</v>
      </c>
    </row>
    <row r="194" customFormat="false" ht="15" hidden="false" customHeight="false" outlineLevel="0" collapsed="false">
      <c r="A194" s="7" t="s">
        <v>666</v>
      </c>
      <c r="B194" s="6" t="s">
        <v>5314</v>
      </c>
      <c r="C194" s="6" t="s">
        <v>667</v>
      </c>
      <c r="D194" s="6" t="s">
        <v>668</v>
      </c>
      <c r="E194" s="32" t="s">
        <v>265</v>
      </c>
      <c r="F194" s="34" t="s">
        <v>320</v>
      </c>
      <c r="G194" s="14" t="str">
        <f aca="false">IFERROR(INDEX(WBS!$B$5:$B$279,MATCH($A194,WBS!$A$5:$A$279,0)),"-")</f>
        <v>CON</v>
      </c>
      <c r="H194" s="41" t="str">
        <f aca="false">IFERROR(INDEX(WBS!$H$5:$H$279,MATCH($A194,WBS!$A$5:$A$279,0)),"-")</f>
        <v>P3</v>
      </c>
      <c r="I194" s="31" t="n">
        <f aca="false">IFERROR(INDEX(WBS!$U$5:$U$279,MATCH($A194,WBS!$A$5:$A$279,0)),0)</f>
        <v>8.8</v>
      </c>
      <c r="J194" s="7" t="str">
        <f aca="false">IF(ISNUMBER(MATCH($A194,WBS!$A$5:$A$279,0)),"✓","✗")</f>
        <v>✓</v>
      </c>
    </row>
    <row r="195" customFormat="false" ht="15" hidden="false" customHeight="false" outlineLevel="0" collapsed="false">
      <c r="A195" s="7" t="s">
        <v>672</v>
      </c>
      <c r="B195" s="6" t="s">
        <v>5314</v>
      </c>
      <c r="C195" s="6" t="s">
        <v>673</v>
      </c>
      <c r="D195" s="6" t="s">
        <v>674</v>
      </c>
      <c r="E195" s="32" t="s">
        <v>265</v>
      </c>
      <c r="F195" s="35" t="s">
        <v>386</v>
      </c>
      <c r="G195" s="14" t="str">
        <f aca="false">IFERROR(INDEX(WBS!$B$5:$B$279,MATCH($A195,WBS!$A$5:$A$279,0)),"-")</f>
        <v>CON</v>
      </c>
      <c r="H195" s="41" t="str">
        <f aca="false">IFERROR(INDEX(WBS!$H$5:$H$279,MATCH($A195,WBS!$A$5:$A$279,0)),"-")</f>
        <v>P3</v>
      </c>
      <c r="I195" s="31" t="n">
        <f aca="false">IFERROR(INDEX(WBS!$U$5:$U$279,MATCH($A195,WBS!$A$5:$A$279,0)),0)</f>
        <v>16.7</v>
      </c>
      <c r="J195" s="7" t="str">
        <f aca="false">IF(ISNUMBER(MATCH($A195,WBS!$A$5:$A$279,0)),"✓","✗")</f>
        <v>✓</v>
      </c>
    </row>
    <row r="196" customFormat="false" ht="15" hidden="false" customHeight="false" outlineLevel="0" collapsed="false">
      <c r="A196" s="7" t="s">
        <v>1031</v>
      </c>
      <c r="B196" s="6" t="s">
        <v>5315</v>
      </c>
      <c r="C196" s="6" t="s">
        <v>1034</v>
      </c>
      <c r="D196" s="6" t="s">
        <v>1035</v>
      </c>
      <c r="E196" s="29" t="s">
        <v>143</v>
      </c>
      <c r="F196" s="34" t="s">
        <v>320</v>
      </c>
      <c r="G196" s="14" t="str">
        <f aca="false">IFERROR(INDEX(WBS!$B$5:$B$279,MATCH($A196,WBS!$A$5:$A$279,0)),"-")</f>
        <v>DFG</v>
      </c>
      <c r="H196" s="41" t="str">
        <f aca="false">IFERROR(INDEX(WBS!$H$5:$H$279,MATCH($A196,WBS!$A$5:$A$279,0)),"-")</f>
        <v>P2</v>
      </c>
      <c r="I196" s="31" t="n">
        <f aca="false">IFERROR(INDEX(WBS!$U$5:$U$279,MATCH($A196,WBS!$A$5:$A$279,0)),0)</f>
        <v>44.8</v>
      </c>
      <c r="J196" s="7" t="str">
        <f aca="false">IF(ISNUMBER(MATCH($A196,WBS!$A$5:$A$279,0)),"✓","✗")</f>
        <v>✓</v>
      </c>
    </row>
    <row r="197" customFormat="false" ht="15" hidden="false" customHeight="false" outlineLevel="0" collapsed="false">
      <c r="A197" s="7" t="s">
        <v>1040</v>
      </c>
      <c r="B197" s="6" t="s">
        <v>5315</v>
      </c>
      <c r="C197" s="6" t="s">
        <v>1041</v>
      </c>
      <c r="D197" s="6" t="s">
        <v>1042</v>
      </c>
      <c r="E197" s="29" t="s">
        <v>143</v>
      </c>
      <c r="F197" s="34" t="s">
        <v>320</v>
      </c>
      <c r="G197" s="14" t="str">
        <f aca="false">IFERROR(INDEX(WBS!$B$5:$B$279,MATCH($A197,WBS!$A$5:$A$279,0)),"-")</f>
        <v>DFG</v>
      </c>
      <c r="H197" s="41" t="str">
        <f aca="false">IFERROR(INDEX(WBS!$H$5:$H$279,MATCH($A197,WBS!$A$5:$A$279,0)),"-")</f>
        <v>P2</v>
      </c>
      <c r="I197" s="31" t="n">
        <f aca="false">IFERROR(INDEX(WBS!$U$5:$U$279,MATCH($A197,WBS!$A$5:$A$279,0)),0)</f>
        <v>8.8</v>
      </c>
      <c r="J197" s="7" t="str">
        <f aca="false">IF(ISNUMBER(MATCH($A197,WBS!$A$5:$A$279,0)),"✓","✗")</f>
        <v>✓</v>
      </c>
    </row>
    <row r="198" customFormat="false" ht="15" hidden="false" customHeight="false" outlineLevel="0" collapsed="false">
      <c r="A198" s="7" t="s">
        <v>1047</v>
      </c>
      <c r="B198" s="6" t="s">
        <v>5315</v>
      </c>
      <c r="C198" s="6" t="s">
        <v>1048</v>
      </c>
      <c r="D198" s="6" t="s">
        <v>1049</v>
      </c>
      <c r="E198" s="29" t="s">
        <v>143</v>
      </c>
      <c r="F198" s="34" t="s">
        <v>320</v>
      </c>
      <c r="G198" s="14" t="str">
        <f aca="false">IFERROR(INDEX(WBS!$B$5:$B$279,MATCH($A198,WBS!$A$5:$A$279,0)),"-")</f>
        <v>DFG</v>
      </c>
      <c r="H198" s="41" t="str">
        <f aca="false">IFERROR(INDEX(WBS!$H$5:$H$279,MATCH($A198,WBS!$A$5:$A$279,0)),"-")</f>
        <v>P2</v>
      </c>
      <c r="I198" s="31" t="n">
        <f aca="false">IFERROR(INDEX(WBS!$U$5:$U$279,MATCH($A198,WBS!$A$5:$A$279,0)),0)</f>
        <v>11.8</v>
      </c>
      <c r="J198" s="7" t="str">
        <f aca="false">IF(ISNUMBER(MATCH($A198,WBS!$A$5:$A$279,0)),"✓","✗")</f>
        <v>✓</v>
      </c>
    </row>
    <row r="199" customFormat="false" ht="15" hidden="false" customHeight="false" outlineLevel="0" collapsed="false">
      <c r="A199" s="7" t="s">
        <v>1054</v>
      </c>
      <c r="B199" s="6" t="s">
        <v>5315</v>
      </c>
      <c r="C199" s="6" t="s">
        <v>1055</v>
      </c>
      <c r="D199" s="6" t="s">
        <v>1056</v>
      </c>
      <c r="E199" s="29" t="s">
        <v>143</v>
      </c>
      <c r="F199" s="34" t="s">
        <v>320</v>
      </c>
      <c r="G199" s="14" t="str">
        <f aca="false">IFERROR(INDEX(WBS!$B$5:$B$279,MATCH($A199,WBS!$A$5:$A$279,0)),"-")</f>
        <v>DFG</v>
      </c>
      <c r="H199" s="41" t="str">
        <f aca="false">IFERROR(INDEX(WBS!$H$5:$H$279,MATCH($A199,WBS!$A$5:$A$279,0)),"-")</f>
        <v>P2</v>
      </c>
      <c r="I199" s="31" t="n">
        <f aca="false">IFERROR(INDEX(WBS!$U$5:$U$279,MATCH($A199,WBS!$A$5:$A$279,0)),0)</f>
        <v>8.8</v>
      </c>
      <c r="J199" s="7" t="str">
        <f aca="false">IF(ISNUMBER(MATCH($A199,WBS!$A$5:$A$279,0)),"✓","✗")</f>
        <v>✓</v>
      </c>
    </row>
    <row r="200" customFormat="false" ht="15" hidden="false" customHeight="false" outlineLevel="0" collapsed="false">
      <c r="A200" s="7" t="s">
        <v>1068</v>
      </c>
      <c r="B200" s="6" t="s">
        <v>5315</v>
      </c>
      <c r="C200" s="6" t="s">
        <v>1069</v>
      </c>
      <c r="D200" s="6" t="s">
        <v>1070</v>
      </c>
      <c r="E200" s="32" t="s">
        <v>265</v>
      </c>
      <c r="F200" s="35" t="s">
        <v>386</v>
      </c>
      <c r="G200" s="14" t="str">
        <f aca="false">IFERROR(INDEX(WBS!$B$5:$B$279,MATCH($A200,WBS!$A$5:$A$279,0)),"-")</f>
        <v>DFG</v>
      </c>
      <c r="H200" s="41" t="str">
        <f aca="false">IFERROR(INDEX(WBS!$H$5:$H$279,MATCH($A200,WBS!$A$5:$A$279,0)),"-")</f>
        <v>P3</v>
      </c>
      <c r="I200" s="31" t="n">
        <f aca="false">IFERROR(INDEX(WBS!$U$5:$U$279,MATCH($A200,WBS!$A$5:$A$279,0)),0)</f>
        <v>23.2</v>
      </c>
      <c r="J200" s="7" t="str">
        <f aca="false">IF(ISNUMBER(MATCH($A200,WBS!$A$5:$A$279,0)),"✓","✗")</f>
        <v>✓</v>
      </c>
    </row>
    <row r="201" customFormat="false" ht="15" hidden="false" customHeight="false" outlineLevel="0" collapsed="false">
      <c r="A201" s="7" t="s">
        <v>1075</v>
      </c>
      <c r="B201" s="6" t="s">
        <v>5315</v>
      </c>
      <c r="C201" s="6" t="s">
        <v>1076</v>
      </c>
      <c r="D201" s="6" t="s">
        <v>1077</v>
      </c>
      <c r="E201" s="32" t="s">
        <v>265</v>
      </c>
      <c r="F201" s="34" t="s">
        <v>320</v>
      </c>
      <c r="G201" s="14" t="str">
        <f aca="false">IFERROR(INDEX(WBS!$B$5:$B$279,MATCH($A201,WBS!$A$5:$A$279,0)),"-")</f>
        <v>DFG</v>
      </c>
      <c r="H201" s="41" t="str">
        <f aca="false">IFERROR(INDEX(WBS!$H$5:$H$279,MATCH($A201,WBS!$A$5:$A$279,0)),"-")</f>
        <v>P3</v>
      </c>
      <c r="I201" s="31" t="n">
        <f aca="false">IFERROR(INDEX(WBS!$U$5:$U$279,MATCH($A201,WBS!$A$5:$A$279,0)),0)</f>
        <v>14.7</v>
      </c>
      <c r="J201" s="7" t="str">
        <f aca="false">IF(ISNUMBER(MATCH($A201,WBS!$A$5:$A$279,0)),"✓","✗")</f>
        <v>✓</v>
      </c>
    </row>
    <row r="202" customFormat="false" ht="15" hidden="false" customHeight="false" outlineLevel="0" collapsed="false">
      <c r="A202" s="7" t="s">
        <v>1081</v>
      </c>
      <c r="B202" s="6" t="s">
        <v>5315</v>
      </c>
      <c r="C202" s="6" t="s">
        <v>1082</v>
      </c>
      <c r="D202" s="6" t="s">
        <v>1083</v>
      </c>
      <c r="E202" s="32" t="s">
        <v>265</v>
      </c>
      <c r="F202" s="35" t="s">
        <v>386</v>
      </c>
      <c r="G202" s="14" t="str">
        <f aca="false">IFERROR(INDEX(WBS!$B$5:$B$279,MATCH($A202,WBS!$A$5:$A$279,0)),"-")</f>
        <v>DFG</v>
      </c>
      <c r="H202" s="41" t="str">
        <f aca="false">IFERROR(INDEX(WBS!$H$5:$H$279,MATCH($A202,WBS!$A$5:$A$279,0)),"-")</f>
        <v>P3</v>
      </c>
      <c r="I202" s="31" t="n">
        <f aca="false">IFERROR(INDEX(WBS!$U$5:$U$279,MATCH($A202,WBS!$A$5:$A$279,0)),0)</f>
        <v>8.8</v>
      </c>
      <c r="J202" s="7" t="str">
        <f aca="false">IF(ISNUMBER(MATCH($A202,WBS!$A$5:$A$279,0)),"✓","✗")</f>
        <v>✓</v>
      </c>
    </row>
    <row r="203" customFormat="false" ht="15" hidden="false" customHeight="false" outlineLevel="0" collapsed="false">
      <c r="A203" s="7" t="s">
        <v>1062</v>
      </c>
      <c r="B203" s="6" t="s">
        <v>5315</v>
      </c>
      <c r="C203" s="6" t="s">
        <v>1063</v>
      </c>
      <c r="D203" s="6" t="s">
        <v>1064</v>
      </c>
      <c r="E203" s="29" t="s">
        <v>143</v>
      </c>
      <c r="F203" s="34" t="s">
        <v>320</v>
      </c>
      <c r="G203" s="14" t="str">
        <f aca="false">IFERROR(INDEX(WBS!$B$5:$B$279,MATCH($A203,WBS!$A$5:$A$279,0)),"-")</f>
        <v>DFG</v>
      </c>
      <c r="H203" s="41" t="str">
        <f aca="false">IFERROR(INDEX(WBS!$H$5:$H$279,MATCH($A203,WBS!$A$5:$A$279,0)),"-")</f>
        <v>P2</v>
      </c>
      <c r="I203" s="31" t="n">
        <f aca="false">IFERROR(INDEX(WBS!$U$5:$U$279,MATCH($A203,WBS!$A$5:$A$279,0)),0)</f>
        <v>14.7</v>
      </c>
      <c r="J203" s="7" t="str">
        <f aca="false">IF(ISNUMBER(MATCH($A203,WBS!$A$5:$A$279,0)),"✓","✗")</f>
        <v>✓</v>
      </c>
    </row>
    <row r="204" customFormat="false" ht="15" hidden="false" customHeight="false" outlineLevel="0" collapsed="false">
      <c r="A204" s="7" t="s">
        <v>1087</v>
      </c>
      <c r="B204" s="6" t="s">
        <v>5315</v>
      </c>
      <c r="C204" s="6" t="s">
        <v>1088</v>
      </c>
      <c r="D204" s="6" t="s">
        <v>1089</v>
      </c>
      <c r="E204" s="32" t="s">
        <v>265</v>
      </c>
      <c r="F204" s="35" t="s">
        <v>386</v>
      </c>
      <c r="G204" s="14" t="str">
        <f aca="false">IFERROR(INDEX(WBS!$B$5:$B$279,MATCH($A204,WBS!$A$5:$A$279,0)),"-")</f>
        <v>DFG</v>
      </c>
      <c r="H204" s="41" t="str">
        <f aca="false">IFERROR(INDEX(WBS!$H$5:$H$279,MATCH($A204,WBS!$A$5:$A$279,0)),"-")</f>
        <v>P3</v>
      </c>
      <c r="I204" s="31" t="n">
        <f aca="false">IFERROR(INDEX(WBS!$U$5:$U$279,MATCH($A204,WBS!$A$5:$A$279,0)),0)</f>
        <v>38.8</v>
      </c>
      <c r="J204" s="7" t="str">
        <f aca="false">IF(ISNUMBER(MATCH($A204,WBS!$A$5:$A$279,0)),"✓","✗")</f>
        <v>✓</v>
      </c>
    </row>
    <row r="205" customFormat="false" ht="15" hidden="false" customHeight="false" outlineLevel="0" collapsed="false">
      <c r="A205" s="7" t="s">
        <v>1095</v>
      </c>
      <c r="B205" s="6" t="s">
        <v>5315</v>
      </c>
      <c r="C205" s="6" t="s">
        <v>1096</v>
      </c>
      <c r="D205" s="6" t="s">
        <v>1097</v>
      </c>
      <c r="E205" s="33" t="s">
        <v>286</v>
      </c>
      <c r="F205" s="34" t="s">
        <v>320</v>
      </c>
      <c r="G205" s="14" t="str">
        <f aca="false">IFERROR(INDEX(WBS!$B$5:$B$279,MATCH($A205,WBS!$A$5:$A$279,0)),"-")</f>
        <v>DFG</v>
      </c>
      <c r="H205" s="41" t="str">
        <f aca="false">IFERROR(INDEX(WBS!$H$5:$H$279,MATCH($A205,WBS!$A$5:$A$279,0)),"-")</f>
        <v>P4</v>
      </c>
      <c r="I205" s="31" t="n">
        <f aca="false">IFERROR(INDEX(WBS!$U$5:$U$279,MATCH($A205,WBS!$A$5:$A$279,0)),0)</f>
        <v>14.7</v>
      </c>
      <c r="J205" s="7" t="str">
        <f aca="false">IF(ISNUMBER(MATCH($A205,WBS!$A$5:$A$279,0)),"✓","✗")</f>
        <v>✓</v>
      </c>
    </row>
    <row r="206" customFormat="false" ht="15" hidden="false" customHeight="false" outlineLevel="0" collapsed="false">
      <c r="A206" s="7" t="s">
        <v>1102</v>
      </c>
      <c r="B206" s="6" t="s">
        <v>5315</v>
      </c>
      <c r="C206" s="6" t="s">
        <v>1103</v>
      </c>
      <c r="D206" s="6" t="s">
        <v>1104</v>
      </c>
      <c r="E206" s="33" t="s">
        <v>286</v>
      </c>
      <c r="F206" s="34" t="s">
        <v>320</v>
      </c>
      <c r="G206" s="14" t="str">
        <f aca="false">IFERROR(INDEX(WBS!$B$5:$B$279,MATCH($A206,WBS!$A$5:$A$279,0)),"-")</f>
        <v>DFG</v>
      </c>
      <c r="H206" s="41" t="str">
        <f aca="false">IFERROR(INDEX(WBS!$H$5:$H$279,MATCH($A206,WBS!$A$5:$A$279,0)),"-")</f>
        <v>P4</v>
      </c>
      <c r="I206" s="31" t="n">
        <f aca="false">IFERROR(INDEX(WBS!$U$5:$U$279,MATCH($A206,WBS!$A$5:$A$279,0)),0)</f>
        <v>11.8</v>
      </c>
      <c r="J206" s="7" t="str">
        <f aca="false">IF(ISNUMBER(MATCH($A206,WBS!$A$5:$A$279,0)),"✓","✗")</f>
        <v>✓</v>
      </c>
    </row>
    <row r="207" customFormat="false" ht="15" hidden="false" customHeight="false" outlineLevel="0" collapsed="false">
      <c r="A207" s="7" t="s">
        <v>687</v>
      </c>
      <c r="B207" s="6" t="s">
        <v>5316</v>
      </c>
      <c r="C207" s="6" t="s">
        <v>690</v>
      </c>
      <c r="D207" s="6" t="s">
        <v>691</v>
      </c>
      <c r="E207" s="29" t="s">
        <v>143</v>
      </c>
      <c r="F207" s="35" t="s">
        <v>386</v>
      </c>
      <c r="G207" s="14" t="str">
        <f aca="false">IFERROR(INDEX(WBS!$B$5:$B$279,MATCH($A207,WBS!$A$5:$A$279,0)),"-")</f>
        <v>PNG</v>
      </c>
      <c r="H207" s="41" t="str">
        <f aca="false">IFERROR(INDEX(WBS!$H$5:$H$279,MATCH($A207,WBS!$A$5:$A$279,0)),"-")</f>
        <v>P1</v>
      </c>
      <c r="I207" s="31" t="n">
        <f aca="false">IFERROR(INDEX(WBS!$U$5:$U$279,MATCH($A207,WBS!$A$5:$A$279,0)),0)</f>
        <v>26.1</v>
      </c>
      <c r="J207" s="7" t="str">
        <f aca="false">IF(ISNUMBER(MATCH($A207,WBS!$A$5:$A$279,0)),"✓","✗")</f>
        <v>✓</v>
      </c>
    </row>
    <row r="208" customFormat="false" ht="15" hidden="false" customHeight="false" outlineLevel="0" collapsed="false">
      <c r="A208" s="7" t="s">
        <v>698</v>
      </c>
      <c r="B208" s="6" t="s">
        <v>5316</v>
      </c>
      <c r="C208" s="6" t="s">
        <v>699</v>
      </c>
      <c r="D208" s="6" t="s">
        <v>700</v>
      </c>
      <c r="E208" s="29" t="s">
        <v>143</v>
      </c>
      <c r="F208" s="36" t="s">
        <v>396</v>
      </c>
      <c r="G208" s="14" t="str">
        <f aca="false">IFERROR(INDEX(WBS!$B$5:$B$279,MATCH($A208,WBS!$A$5:$A$279,0)),"-")</f>
        <v>PNG</v>
      </c>
      <c r="H208" s="41" t="str">
        <f aca="false">IFERROR(INDEX(WBS!$H$5:$H$279,MATCH($A208,WBS!$A$5:$A$279,0)),"-")</f>
        <v>P1</v>
      </c>
      <c r="I208" s="31" t="n">
        <f aca="false">IFERROR(INDEX(WBS!$U$5:$U$279,MATCH($A208,WBS!$A$5:$A$279,0)),0)</f>
        <v>8.8</v>
      </c>
      <c r="J208" s="7" t="str">
        <f aca="false">IF(ISNUMBER(MATCH($A208,WBS!$A$5:$A$279,0)),"✓","✗")</f>
        <v>✓</v>
      </c>
    </row>
    <row r="209" customFormat="false" ht="15" hidden="false" customHeight="false" outlineLevel="0" collapsed="false">
      <c r="A209" s="7" t="s">
        <v>706</v>
      </c>
      <c r="B209" s="6" t="s">
        <v>5316</v>
      </c>
      <c r="C209" s="6" t="s">
        <v>707</v>
      </c>
      <c r="D209" s="6" t="s">
        <v>708</v>
      </c>
      <c r="E209" s="29" t="s">
        <v>143</v>
      </c>
      <c r="F209" s="35" t="s">
        <v>386</v>
      </c>
      <c r="G209" s="14" t="str">
        <f aca="false">IFERROR(INDEX(WBS!$B$5:$B$279,MATCH($A209,WBS!$A$5:$A$279,0)),"-")</f>
        <v>PNG</v>
      </c>
      <c r="H209" s="41" t="str">
        <f aca="false">IFERROR(INDEX(WBS!$H$5:$H$279,MATCH($A209,WBS!$A$5:$A$279,0)),"-")</f>
        <v>P1</v>
      </c>
      <c r="I209" s="31" t="n">
        <f aca="false">IFERROR(INDEX(WBS!$U$5:$U$279,MATCH($A209,WBS!$A$5:$A$279,0)),0)</f>
        <v>8.8</v>
      </c>
      <c r="J209" s="7" t="str">
        <f aca="false">IF(ISNUMBER(MATCH($A209,WBS!$A$5:$A$279,0)),"✓","✗")</f>
        <v>✓</v>
      </c>
    </row>
    <row r="210" customFormat="false" ht="15" hidden="false" customHeight="false" outlineLevel="0" collapsed="false">
      <c r="A210" s="7" t="s">
        <v>714</v>
      </c>
      <c r="B210" s="6" t="s">
        <v>5316</v>
      </c>
      <c r="C210" s="6" t="s">
        <v>715</v>
      </c>
      <c r="D210" s="6" t="s">
        <v>716</v>
      </c>
      <c r="E210" s="29" t="s">
        <v>143</v>
      </c>
      <c r="F210" s="36" t="s">
        <v>396</v>
      </c>
      <c r="G210" s="14" t="str">
        <f aca="false">IFERROR(INDEX(WBS!$B$5:$B$279,MATCH($A210,WBS!$A$5:$A$279,0)),"-")</f>
        <v>PNG</v>
      </c>
      <c r="H210" s="41" t="str">
        <f aca="false">IFERROR(INDEX(WBS!$H$5:$H$279,MATCH($A210,WBS!$A$5:$A$279,0)),"-")</f>
        <v>P1</v>
      </c>
      <c r="I210" s="31" t="n">
        <f aca="false">IFERROR(INDEX(WBS!$U$5:$U$279,MATCH($A210,WBS!$A$5:$A$279,0)),0)</f>
        <v>11.8</v>
      </c>
      <c r="J210" s="7" t="str">
        <f aca="false">IF(ISNUMBER(MATCH($A210,WBS!$A$5:$A$279,0)),"✓","✗")</f>
        <v>✓</v>
      </c>
    </row>
    <row r="211" customFormat="false" ht="15" hidden="false" customHeight="false" outlineLevel="0" collapsed="false">
      <c r="A211" s="7" t="s">
        <v>722</v>
      </c>
      <c r="B211" s="6" t="s">
        <v>5316</v>
      </c>
      <c r="C211" s="6" t="s">
        <v>723</v>
      </c>
      <c r="D211" s="6" t="s">
        <v>724</v>
      </c>
      <c r="E211" s="29" t="s">
        <v>143</v>
      </c>
      <c r="F211" s="35" t="s">
        <v>386</v>
      </c>
      <c r="G211" s="14" t="str">
        <f aca="false">IFERROR(INDEX(WBS!$B$5:$B$279,MATCH($A211,WBS!$A$5:$A$279,0)),"-")</f>
        <v>PNG</v>
      </c>
      <c r="H211" s="41" t="str">
        <f aca="false">IFERROR(INDEX(WBS!$H$5:$H$279,MATCH($A211,WBS!$A$5:$A$279,0)),"-")</f>
        <v>P1</v>
      </c>
      <c r="I211" s="31" t="n">
        <f aca="false">IFERROR(INDEX(WBS!$U$5:$U$279,MATCH($A211,WBS!$A$5:$A$279,0)),0)</f>
        <v>8.8</v>
      </c>
      <c r="J211" s="7" t="str">
        <f aca="false">IF(ISNUMBER(MATCH($A211,WBS!$A$5:$A$279,0)),"✓","✗")</f>
        <v>✓</v>
      </c>
    </row>
    <row r="212" customFormat="false" ht="15" hidden="false" customHeight="false" outlineLevel="0" collapsed="false">
      <c r="A212" s="7" t="s">
        <v>728</v>
      </c>
      <c r="B212" s="6" t="s">
        <v>5316</v>
      </c>
      <c r="C212" s="6" t="s">
        <v>729</v>
      </c>
      <c r="D212" s="6" t="s">
        <v>730</v>
      </c>
      <c r="E212" s="29" t="s">
        <v>143</v>
      </c>
      <c r="F212" s="34" t="s">
        <v>320</v>
      </c>
      <c r="G212" s="14" t="str">
        <f aca="false">IFERROR(INDEX(WBS!$B$5:$B$279,MATCH($A212,WBS!$A$5:$A$279,0)),"-")</f>
        <v>PNG</v>
      </c>
      <c r="H212" s="41" t="str">
        <f aca="false">IFERROR(INDEX(WBS!$H$5:$H$279,MATCH($A212,WBS!$A$5:$A$279,0)),"-")</f>
        <v>P1</v>
      </c>
      <c r="I212" s="31" t="n">
        <f aca="false">IFERROR(INDEX(WBS!$U$5:$U$279,MATCH($A212,WBS!$A$5:$A$279,0)),0)</f>
        <v>8.8</v>
      </c>
      <c r="J212" s="7" t="str">
        <f aca="false">IF(ISNUMBER(MATCH($A212,WBS!$A$5:$A$279,0)),"✓","✗")</f>
        <v>✓</v>
      </c>
    </row>
    <row r="213" customFormat="false" ht="15" hidden="false" customHeight="false" outlineLevel="0" collapsed="false">
      <c r="A213" s="7" t="s">
        <v>734</v>
      </c>
      <c r="B213" s="6" t="s">
        <v>5316</v>
      </c>
      <c r="C213" s="6" t="s">
        <v>735</v>
      </c>
      <c r="D213" s="6" t="s">
        <v>736</v>
      </c>
      <c r="E213" s="29" t="s">
        <v>143</v>
      </c>
      <c r="F213" s="35" t="s">
        <v>386</v>
      </c>
      <c r="G213" s="14" t="str">
        <f aca="false">IFERROR(INDEX(WBS!$B$5:$B$279,MATCH($A213,WBS!$A$5:$A$279,0)),"-")</f>
        <v>PNG</v>
      </c>
      <c r="H213" s="41" t="str">
        <f aca="false">IFERROR(INDEX(WBS!$H$5:$H$279,MATCH($A213,WBS!$A$5:$A$279,0)),"-")</f>
        <v>P1</v>
      </c>
      <c r="I213" s="31" t="n">
        <f aca="false">IFERROR(INDEX(WBS!$U$5:$U$279,MATCH($A213,WBS!$A$5:$A$279,0)),0)</f>
        <v>11.8</v>
      </c>
      <c r="J213" s="7" t="str">
        <f aca="false">IF(ISNUMBER(MATCH($A213,WBS!$A$5:$A$279,0)),"✓","✗")</f>
        <v>✓</v>
      </c>
    </row>
    <row r="214" customFormat="false" ht="15" hidden="false" customHeight="false" outlineLevel="0" collapsed="false">
      <c r="A214" s="7" t="s">
        <v>742</v>
      </c>
      <c r="B214" s="6" t="s">
        <v>5316</v>
      </c>
      <c r="C214" s="6" t="s">
        <v>743</v>
      </c>
      <c r="D214" s="6" t="s">
        <v>744</v>
      </c>
      <c r="E214" s="32" t="s">
        <v>265</v>
      </c>
      <c r="F214" s="34" t="s">
        <v>320</v>
      </c>
      <c r="G214" s="14" t="str">
        <f aca="false">IFERROR(INDEX(WBS!$B$5:$B$279,MATCH($A214,WBS!$A$5:$A$279,0)),"-")</f>
        <v>PNG</v>
      </c>
      <c r="H214" s="41" t="str">
        <f aca="false">IFERROR(INDEX(WBS!$H$5:$H$279,MATCH($A214,WBS!$A$5:$A$279,0)),"-")</f>
        <v>P1</v>
      </c>
      <c r="I214" s="31" t="n">
        <f aca="false">IFERROR(INDEX(WBS!$U$5:$U$279,MATCH($A214,WBS!$A$5:$A$279,0)),0)</f>
        <v>13.8</v>
      </c>
      <c r="J214" s="7" t="str">
        <f aca="false">IF(ISNUMBER(MATCH($A214,WBS!$A$5:$A$279,0)),"✓","✗")</f>
        <v>✓</v>
      </c>
    </row>
    <row r="215" customFormat="false" ht="15" hidden="false" customHeight="false" outlineLevel="0" collapsed="false">
      <c r="A215" s="7" t="s">
        <v>757</v>
      </c>
      <c r="B215" s="6" t="s">
        <v>5316</v>
      </c>
      <c r="C215" s="6" t="s">
        <v>758</v>
      </c>
      <c r="D215" s="6" t="s">
        <v>759</v>
      </c>
      <c r="E215" s="32" t="s">
        <v>265</v>
      </c>
      <c r="F215" s="34" t="s">
        <v>320</v>
      </c>
      <c r="G215" s="14" t="str">
        <f aca="false">IFERROR(INDEX(WBS!$B$5:$B$279,MATCH($A215,WBS!$A$5:$A$279,0)),"-")</f>
        <v>PNG</v>
      </c>
      <c r="H215" s="41" t="str">
        <f aca="false">IFERROR(INDEX(WBS!$H$5:$H$279,MATCH($A215,WBS!$A$5:$A$279,0)),"-")</f>
        <v>P3</v>
      </c>
      <c r="I215" s="31" t="n">
        <f aca="false">IFERROR(INDEX(WBS!$U$5:$U$279,MATCH($A215,WBS!$A$5:$A$279,0)),0)</f>
        <v>8.8</v>
      </c>
      <c r="J215" s="7" t="str">
        <f aca="false">IF(ISNUMBER(MATCH($A215,WBS!$A$5:$A$279,0)),"✓","✗")</f>
        <v>✓</v>
      </c>
    </row>
    <row r="216" customFormat="false" ht="15" hidden="false" customHeight="false" outlineLevel="0" collapsed="false">
      <c r="A216" s="7" t="s">
        <v>763</v>
      </c>
      <c r="B216" s="6" t="s">
        <v>5316</v>
      </c>
      <c r="C216" s="6" t="s">
        <v>764</v>
      </c>
      <c r="D216" s="6" t="s">
        <v>765</v>
      </c>
      <c r="E216" s="32" t="s">
        <v>265</v>
      </c>
      <c r="F216" s="35" t="s">
        <v>386</v>
      </c>
      <c r="G216" s="14" t="str">
        <f aca="false">IFERROR(INDEX(WBS!$B$5:$B$279,MATCH($A216,WBS!$A$5:$A$279,0)),"-")</f>
        <v>PNG</v>
      </c>
      <c r="H216" s="41" t="str">
        <f aca="false">IFERROR(INDEX(WBS!$H$5:$H$279,MATCH($A216,WBS!$A$5:$A$279,0)),"-")</f>
        <v>P3</v>
      </c>
      <c r="I216" s="31" t="n">
        <f aca="false">IFERROR(INDEX(WBS!$U$5:$U$279,MATCH($A216,WBS!$A$5:$A$279,0)),0)</f>
        <v>11.8</v>
      </c>
      <c r="J216" s="7" t="str">
        <f aca="false">IF(ISNUMBER(MATCH($A216,WBS!$A$5:$A$279,0)),"✓","✗")</f>
        <v>✓</v>
      </c>
    </row>
    <row r="217" customFormat="false" ht="15" hidden="false" customHeight="false" outlineLevel="0" collapsed="false">
      <c r="A217" s="7" t="s">
        <v>771</v>
      </c>
      <c r="B217" s="6" t="s">
        <v>5316</v>
      </c>
      <c r="C217" s="6" t="s">
        <v>772</v>
      </c>
      <c r="D217" s="6" t="s">
        <v>773</v>
      </c>
      <c r="E217" s="32" t="s">
        <v>265</v>
      </c>
      <c r="F217" s="36" t="s">
        <v>396</v>
      </c>
      <c r="G217" s="14" t="str">
        <f aca="false">IFERROR(INDEX(WBS!$B$5:$B$279,MATCH($A217,WBS!$A$5:$A$279,0)),"-")</f>
        <v>PNG</v>
      </c>
      <c r="H217" s="41" t="str">
        <f aca="false">IFERROR(INDEX(WBS!$H$5:$H$279,MATCH($A217,WBS!$A$5:$A$279,0)),"-")</f>
        <v>P3</v>
      </c>
      <c r="I217" s="31" t="n">
        <f aca="false">IFERROR(INDEX(WBS!$U$5:$U$279,MATCH($A217,WBS!$A$5:$A$279,0)),0)</f>
        <v>5.9</v>
      </c>
      <c r="J217" s="7" t="str">
        <f aca="false">IF(ISNUMBER(MATCH($A217,WBS!$A$5:$A$279,0)),"✓","✗")</f>
        <v>✓</v>
      </c>
    </row>
    <row r="218" customFormat="false" ht="15" hidden="false" customHeight="false" outlineLevel="0" collapsed="false">
      <c r="A218" s="7" t="s">
        <v>778</v>
      </c>
      <c r="B218" s="6" t="s">
        <v>5316</v>
      </c>
      <c r="C218" s="6" t="s">
        <v>779</v>
      </c>
      <c r="D218" s="6" t="s">
        <v>780</v>
      </c>
      <c r="E218" s="32" t="s">
        <v>265</v>
      </c>
      <c r="F218" s="35" t="s">
        <v>386</v>
      </c>
      <c r="G218" s="14" t="str">
        <f aca="false">IFERROR(INDEX(WBS!$B$5:$B$279,MATCH($A218,WBS!$A$5:$A$279,0)),"-")</f>
        <v>PNG</v>
      </c>
      <c r="H218" s="41" t="str">
        <f aca="false">IFERROR(INDEX(WBS!$H$5:$H$279,MATCH($A218,WBS!$A$5:$A$279,0)),"-")</f>
        <v>P3</v>
      </c>
      <c r="I218" s="31" t="n">
        <f aca="false">IFERROR(INDEX(WBS!$U$5:$U$279,MATCH($A218,WBS!$A$5:$A$279,0)),0)</f>
        <v>13.8</v>
      </c>
      <c r="J218" s="7" t="str">
        <f aca="false">IF(ISNUMBER(MATCH($A218,WBS!$A$5:$A$279,0)),"✓","✗")</f>
        <v>✓</v>
      </c>
    </row>
    <row r="219" customFormat="false" ht="15" hidden="false" customHeight="false" outlineLevel="0" collapsed="false">
      <c r="A219" s="7" t="s">
        <v>797</v>
      </c>
      <c r="B219" s="6" t="s">
        <v>5316</v>
      </c>
      <c r="C219" s="6" t="s">
        <v>798</v>
      </c>
      <c r="D219" s="6" t="s">
        <v>799</v>
      </c>
      <c r="E219" s="33" t="s">
        <v>286</v>
      </c>
      <c r="F219" s="35" t="s">
        <v>386</v>
      </c>
      <c r="G219" s="14" t="str">
        <f aca="false">IFERROR(INDEX(WBS!$B$5:$B$279,MATCH($A219,WBS!$A$5:$A$279,0)),"-")</f>
        <v>PNG</v>
      </c>
      <c r="H219" s="41" t="str">
        <f aca="false">IFERROR(INDEX(WBS!$H$5:$H$279,MATCH($A219,WBS!$A$5:$A$279,0)),"-")</f>
        <v>P4</v>
      </c>
      <c r="I219" s="31" t="n">
        <f aca="false">IFERROR(INDEX(WBS!$U$5:$U$279,MATCH($A219,WBS!$A$5:$A$279,0)),0)</f>
        <v>5.9</v>
      </c>
      <c r="J219" s="7" t="str">
        <f aca="false">IF(ISNUMBER(MATCH($A219,WBS!$A$5:$A$279,0)),"✓","✗")</f>
        <v>✓</v>
      </c>
    </row>
    <row r="220" customFormat="false" ht="15" hidden="false" customHeight="false" outlineLevel="0" collapsed="false">
      <c r="A220" s="7" t="s">
        <v>750</v>
      </c>
      <c r="B220" s="6" t="s">
        <v>5316</v>
      </c>
      <c r="C220" s="6" t="s">
        <v>751</v>
      </c>
      <c r="D220" s="6" t="s">
        <v>752</v>
      </c>
      <c r="E220" s="32" t="s">
        <v>265</v>
      </c>
      <c r="F220" s="34" t="s">
        <v>320</v>
      </c>
      <c r="G220" s="14" t="str">
        <f aca="false">IFERROR(INDEX(WBS!$B$5:$B$279,MATCH($A220,WBS!$A$5:$A$279,0)),"-")</f>
        <v>PNG</v>
      </c>
      <c r="H220" s="41" t="str">
        <f aca="false">IFERROR(INDEX(WBS!$H$5:$H$279,MATCH($A220,WBS!$A$5:$A$279,0)),"-")</f>
        <v>P1</v>
      </c>
      <c r="I220" s="31" t="n">
        <f aca="false">IFERROR(INDEX(WBS!$U$5:$U$279,MATCH($A220,WBS!$A$5:$A$279,0)),0)</f>
        <v>5.9</v>
      </c>
      <c r="J220" s="7" t="str">
        <f aca="false">IF(ISNUMBER(MATCH($A220,WBS!$A$5:$A$279,0)),"✓","✗")</f>
        <v>✓</v>
      </c>
    </row>
    <row r="221" customFormat="false" ht="15" hidden="false" customHeight="false" outlineLevel="0" collapsed="false">
      <c r="A221" s="7" t="s">
        <v>784</v>
      </c>
      <c r="B221" s="6" t="s">
        <v>5316</v>
      </c>
      <c r="C221" s="6" t="s">
        <v>785</v>
      </c>
      <c r="D221" s="6" t="s">
        <v>786</v>
      </c>
      <c r="E221" s="32" t="s">
        <v>265</v>
      </c>
      <c r="F221" s="35" t="s">
        <v>386</v>
      </c>
      <c r="G221" s="14" t="str">
        <f aca="false">IFERROR(INDEX(WBS!$B$5:$B$279,MATCH($A221,WBS!$A$5:$A$279,0)),"-")</f>
        <v>PNG</v>
      </c>
      <c r="H221" s="41" t="str">
        <f aca="false">IFERROR(INDEX(WBS!$H$5:$H$279,MATCH($A221,WBS!$A$5:$A$279,0)),"-")</f>
        <v>P3</v>
      </c>
      <c r="I221" s="31" t="n">
        <f aca="false">IFERROR(INDEX(WBS!$U$5:$U$279,MATCH($A221,WBS!$A$5:$A$279,0)),0)</f>
        <v>5.9</v>
      </c>
      <c r="J221" s="7" t="str">
        <f aca="false">IF(ISNUMBER(MATCH($A221,WBS!$A$5:$A$279,0)),"✓","✗")</f>
        <v>✓</v>
      </c>
    </row>
    <row r="222" customFormat="false" ht="15" hidden="false" customHeight="false" outlineLevel="0" collapsed="false">
      <c r="A222" s="7" t="s">
        <v>790</v>
      </c>
      <c r="B222" s="6" t="s">
        <v>5316</v>
      </c>
      <c r="C222" s="6" t="s">
        <v>791</v>
      </c>
      <c r="D222" s="6" t="s">
        <v>792</v>
      </c>
      <c r="E222" s="32" t="s">
        <v>265</v>
      </c>
      <c r="F222" s="35" t="s">
        <v>386</v>
      </c>
      <c r="G222" s="14" t="str">
        <f aca="false">IFERROR(INDEX(WBS!$B$5:$B$279,MATCH($A222,WBS!$A$5:$A$279,0)),"-")</f>
        <v>PNG</v>
      </c>
      <c r="H222" s="41" t="str">
        <f aca="false">IFERROR(INDEX(WBS!$H$5:$H$279,MATCH($A222,WBS!$A$5:$A$279,0)),"-")</f>
        <v>P3</v>
      </c>
      <c r="I222" s="31" t="n">
        <f aca="false">IFERROR(INDEX(WBS!$U$5:$U$279,MATCH($A222,WBS!$A$5:$A$279,0)),0)</f>
        <v>11.8</v>
      </c>
      <c r="J222" s="7" t="str">
        <f aca="false">IF(ISNUMBER(MATCH($A222,WBS!$A$5:$A$279,0)),"✓","✗")</f>
        <v>✓</v>
      </c>
    </row>
    <row r="223" customFormat="false" ht="15" hidden="false" customHeight="false" outlineLevel="0" collapsed="false">
      <c r="A223" s="7" t="s">
        <v>1373</v>
      </c>
      <c r="B223" s="6" t="s">
        <v>5317</v>
      </c>
      <c r="C223" s="6" t="s">
        <v>1376</v>
      </c>
      <c r="D223" s="6" t="s">
        <v>1377</v>
      </c>
      <c r="E223" s="29" t="s">
        <v>143</v>
      </c>
      <c r="F223" s="35" t="s">
        <v>386</v>
      </c>
      <c r="G223" s="14" t="str">
        <f aca="false">IFERROR(INDEX(WBS!$B$5:$B$279,MATCH($A223,WBS!$A$5:$A$279,0)),"-")</f>
        <v>DPO</v>
      </c>
      <c r="H223" s="41" t="str">
        <f aca="false">IFERROR(INDEX(WBS!$H$5:$H$279,MATCH($A223,WBS!$A$5:$A$279,0)),"-")</f>
        <v>P1</v>
      </c>
      <c r="I223" s="31" t="n">
        <f aca="false">IFERROR(INDEX(WBS!$U$5:$U$279,MATCH($A223,WBS!$A$5:$A$279,0)),0)</f>
        <v>8.8</v>
      </c>
      <c r="J223" s="7" t="str">
        <f aca="false">IF(ISNUMBER(MATCH($A223,WBS!$A$5:$A$279,0)),"✓","✗")</f>
        <v>✓</v>
      </c>
    </row>
    <row r="224" customFormat="false" ht="15" hidden="false" customHeight="false" outlineLevel="0" collapsed="false">
      <c r="A224" s="7" t="s">
        <v>1404</v>
      </c>
      <c r="B224" s="6" t="s">
        <v>5317</v>
      </c>
      <c r="C224" s="6" t="s">
        <v>1405</v>
      </c>
      <c r="D224" s="6" t="s">
        <v>1406</v>
      </c>
      <c r="E224" s="32" t="s">
        <v>265</v>
      </c>
      <c r="F224" s="36" t="s">
        <v>396</v>
      </c>
      <c r="G224" s="14" t="str">
        <f aca="false">IFERROR(INDEX(WBS!$B$5:$B$279,MATCH($A224,WBS!$A$5:$A$279,0)),"-")</f>
        <v>DPO</v>
      </c>
      <c r="H224" s="41" t="str">
        <f aca="false">IFERROR(INDEX(WBS!$H$5:$H$279,MATCH($A224,WBS!$A$5:$A$279,0)),"-")</f>
        <v>P3</v>
      </c>
      <c r="I224" s="31" t="n">
        <f aca="false">IFERROR(INDEX(WBS!$U$5:$U$279,MATCH($A224,WBS!$A$5:$A$279,0)),0)</f>
        <v>8.8</v>
      </c>
      <c r="J224" s="7" t="str">
        <f aca="false">IF(ISNUMBER(MATCH($A224,WBS!$A$5:$A$279,0)),"✓","✗")</f>
        <v>✓</v>
      </c>
    </row>
    <row r="225" customFormat="false" ht="15" hidden="false" customHeight="false" outlineLevel="0" collapsed="false">
      <c r="A225" s="7" t="s">
        <v>1450</v>
      </c>
      <c r="B225" s="6" t="s">
        <v>5317</v>
      </c>
      <c r="C225" s="6" t="s">
        <v>1451</v>
      </c>
      <c r="D225" s="6" t="s">
        <v>1452</v>
      </c>
      <c r="E225" s="33" t="s">
        <v>286</v>
      </c>
      <c r="F225" s="36" t="s">
        <v>396</v>
      </c>
      <c r="G225" s="14" t="str">
        <f aca="false">IFERROR(INDEX(WBS!$B$5:$B$279,MATCH($A225,WBS!$A$5:$A$279,0)),"-")</f>
        <v>DPO</v>
      </c>
      <c r="H225" s="41" t="str">
        <f aca="false">IFERROR(INDEX(WBS!$H$5:$H$279,MATCH($A225,WBS!$A$5:$A$279,0)),"-")</f>
        <v>P4</v>
      </c>
      <c r="I225" s="31" t="n">
        <f aca="false">IFERROR(INDEX(WBS!$U$5:$U$279,MATCH($A225,WBS!$A$5:$A$279,0)),0)</f>
        <v>5.9</v>
      </c>
      <c r="J225" s="7" t="str">
        <f aca="false">IF(ISNUMBER(MATCH($A225,WBS!$A$5:$A$279,0)),"✓","✗")</f>
        <v>✓</v>
      </c>
    </row>
    <row r="226" customFormat="false" ht="15" hidden="false" customHeight="false" outlineLevel="0" collapsed="false">
      <c r="A226" s="7" t="s">
        <v>1382</v>
      </c>
      <c r="B226" s="6" t="s">
        <v>5317</v>
      </c>
      <c r="C226" s="6" t="s">
        <v>1383</v>
      </c>
      <c r="D226" s="6" t="s">
        <v>1384</v>
      </c>
      <c r="E226" s="32" t="s">
        <v>265</v>
      </c>
      <c r="F226" s="34" t="s">
        <v>320</v>
      </c>
      <c r="G226" s="14" t="str">
        <f aca="false">IFERROR(INDEX(WBS!$B$5:$B$279,MATCH($A226,WBS!$A$5:$A$279,0)),"-")</f>
        <v>DPO</v>
      </c>
      <c r="H226" s="41" t="str">
        <f aca="false">IFERROR(INDEX(WBS!$H$5:$H$279,MATCH($A226,WBS!$A$5:$A$279,0)),"-")</f>
        <v>P1</v>
      </c>
      <c r="I226" s="31" t="n">
        <f aca="false">IFERROR(INDEX(WBS!$U$5:$U$279,MATCH($A226,WBS!$A$5:$A$279,0)),0)</f>
        <v>16.7</v>
      </c>
      <c r="J226" s="7" t="str">
        <f aca="false">IF(ISNUMBER(MATCH($A226,WBS!$A$5:$A$279,0)),"✓","✗")</f>
        <v>✓</v>
      </c>
    </row>
    <row r="227" customFormat="false" ht="15" hidden="false" customHeight="false" outlineLevel="0" collapsed="false">
      <c r="A227" s="7" t="s">
        <v>1390</v>
      </c>
      <c r="B227" s="6" t="s">
        <v>5317</v>
      </c>
      <c r="C227" s="6" t="s">
        <v>1391</v>
      </c>
      <c r="D227" s="6" t="s">
        <v>1392</v>
      </c>
      <c r="E227" s="29" t="s">
        <v>143</v>
      </c>
      <c r="F227" s="35" t="s">
        <v>386</v>
      </c>
      <c r="G227" s="14" t="str">
        <f aca="false">IFERROR(INDEX(WBS!$B$5:$B$279,MATCH($A227,WBS!$A$5:$A$279,0)),"-")</f>
        <v>DPO</v>
      </c>
      <c r="H227" s="41" t="str">
        <f aca="false">IFERROR(INDEX(WBS!$H$5:$H$279,MATCH($A227,WBS!$A$5:$A$279,0)),"-")</f>
        <v>P1</v>
      </c>
      <c r="I227" s="31" t="n">
        <f aca="false">IFERROR(INDEX(WBS!$U$5:$U$279,MATCH($A227,WBS!$A$5:$A$279,0)),0)</f>
        <v>16.7</v>
      </c>
      <c r="J227" s="7" t="str">
        <f aca="false">IF(ISNUMBER(MATCH($A227,WBS!$A$5:$A$279,0)),"✓","✗")</f>
        <v>✓</v>
      </c>
    </row>
    <row r="228" customFormat="false" ht="15" hidden="false" customHeight="false" outlineLevel="0" collapsed="false">
      <c r="A228" s="7" t="s">
        <v>1411</v>
      </c>
      <c r="B228" s="6" t="s">
        <v>5317</v>
      </c>
      <c r="C228" s="6" t="s">
        <v>1412</v>
      </c>
      <c r="D228" s="6" t="s">
        <v>1413</v>
      </c>
      <c r="E228" s="32" t="s">
        <v>265</v>
      </c>
      <c r="F228" s="34" t="s">
        <v>320</v>
      </c>
      <c r="G228" s="14" t="str">
        <f aca="false">IFERROR(INDEX(WBS!$B$5:$B$279,MATCH($A228,WBS!$A$5:$A$279,0)),"-")</f>
        <v>DPO</v>
      </c>
      <c r="H228" s="41" t="str">
        <f aca="false">IFERROR(INDEX(WBS!$H$5:$H$279,MATCH($A228,WBS!$A$5:$A$279,0)),"-")</f>
        <v>P3</v>
      </c>
      <c r="I228" s="31" t="n">
        <f aca="false">IFERROR(INDEX(WBS!$U$5:$U$279,MATCH($A228,WBS!$A$5:$A$279,0)),0)</f>
        <v>16.7</v>
      </c>
      <c r="J228" s="7" t="str">
        <f aca="false">IF(ISNUMBER(MATCH($A228,WBS!$A$5:$A$279,0)),"✓","✗")</f>
        <v>✓</v>
      </c>
    </row>
    <row r="229" customFormat="false" ht="15" hidden="false" customHeight="false" outlineLevel="0" collapsed="false">
      <c r="A229" s="7" t="s">
        <v>1418</v>
      </c>
      <c r="B229" s="6" t="s">
        <v>5317</v>
      </c>
      <c r="C229" s="6" t="s">
        <v>1419</v>
      </c>
      <c r="D229" s="6" t="s">
        <v>1420</v>
      </c>
      <c r="E229" s="32" t="s">
        <v>265</v>
      </c>
      <c r="F229" s="35" t="s">
        <v>386</v>
      </c>
      <c r="G229" s="14" t="str">
        <f aca="false">IFERROR(INDEX(WBS!$B$5:$B$279,MATCH($A229,WBS!$A$5:$A$279,0)),"-")</f>
        <v>DPO</v>
      </c>
      <c r="H229" s="41" t="str">
        <f aca="false">IFERROR(INDEX(WBS!$H$5:$H$279,MATCH($A229,WBS!$A$5:$A$279,0)),"-")</f>
        <v>P3</v>
      </c>
      <c r="I229" s="31" t="n">
        <f aca="false">IFERROR(INDEX(WBS!$U$5:$U$279,MATCH($A229,WBS!$A$5:$A$279,0)),0)</f>
        <v>8.8</v>
      </c>
      <c r="J229" s="7" t="str">
        <f aca="false">IF(ISNUMBER(MATCH($A229,WBS!$A$5:$A$279,0)),"✓","✗")</f>
        <v>✓</v>
      </c>
    </row>
    <row r="230" customFormat="false" ht="15" hidden="false" customHeight="false" outlineLevel="0" collapsed="false">
      <c r="A230" s="7" t="s">
        <v>1425</v>
      </c>
      <c r="B230" s="6" t="s">
        <v>5317</v>
      </c>
      <c r="C230" s="6" t="s">
        <v>1426</v>
      </c>
      <c r="D230" s="6" t="s">
        <v>1427</v>
      </c>
      <c r="E230" s="32" t="s">
        <v>265</v>
      </c>
      <c r="F230" s="35" t="s">
        <v>386</v>
      </c>
      <c r="G230" s="14" t="str">
        <f aca="false">IFERROR(INDEX(WBS!$B$5:$B$279,MATCH($A230,WBS!$A$5:$A$279,0)),"-")</f>
        <v>DPO</v>
      </c>
      <c r="H230" s="41" t="str">
        <f aca="false">IFERROR(INDEX(WBS!$H$5:$H$279,MATCH($A230,WBS!$A$5:$A$279,0)),"-")</f>
        <v>P3</v>
      </c>
      <c r="I230" s="31" t="n">
        <f aca="false">IFERROR(INDEX(WBS!$U$5:$U$279,MATCH($A230,WBS!$A$5:$A$279,0)),0)</f>
        <v>11.8</v>
      </c>
      <c r="J230" s="7" t="str">
        <f aca="false">IF(ISNUMBER(MATCH($A230,WBS!$A$5:$A$279,0)),"✓","✗")</f>
        <v>✓</v>
      </c>
    </row>
    <row r="231" customFormat="false" ht="15" hidden="false" customHeight="false" outlineLevel="0" collapsed="false">
      <c r="A231" s="7" t="s">
        <v>870</v>
      </c>
      <c r="B231" s="6" t="s">
        <v>5317</v>
      </c>
      <c r="C231" s="6" t="s">
        <v>1397</v>
      </c>
      <c r="D231" s="6" t="s">
        <v>1398</v>
      </c>
      <c r="E231" s="29" t="s">
        <v>143</v>
      </c>
      <c r="F231" s="35" t="s">
        <v>386</v>
      </c>
      <c r="G231" s="14" t="str">
        <f aca="false">IFERROR(INDEX(WBS!$B$5:$B$279,MATCH($A231,WBS!$A$5:$A$279,0)),"-")</f>
        <v>DPO</v>
      </c>
      <c r="H231" s="41" t="str">
        <f aca="false">IFERROR(INDEX(WBS!$H$5:$H$279,MATCH($A231,WBS!$A$5:$A$279,0)),"-")</f>
        <v>P1</v>
      </c>
      <c r="I231" s="31" t="n">
        <f aca="false">IFERROR(INDEX(WBS!$U$5:$U$279,MATCH($A231,WBS!$A$5:$A$279,0)),0)</f>
        <v>11.8</v>
      </c>
      <c r="J231" s="7" t="str">
        <f aca="false">IF(ISNUMBER(MATCH($A231,WBS!$A$5:$A$279,0)),"✓","✗")</f>
        <v>✓</v>
      </c>
    </row>
    <row r="232" customFormat="false" ht="15" hidden="false" customHeight="false" outlineLevel="0" collapsed="false">
      <c r="A232" s="7" t="s">
        <v>1431</v>
      </c>
      <c r="B232" s="6" t="s">
        <v>5317</v>
      </c>
      <c r="C232" s="6" t="s">
        <v>1432</v>
      </c>
      <c r="D232" s="6" t="s">
        <v>1433</v>
      </c>
      <c r="E232" s="32" t="s">
        <v>265</v>
      </c>
      <c r="F232" s="35" t="s">
        <v>386</v>
      </c>
      <c r="G232" s="14" t="str">
        <f aca="false">IFERROR(INDEX(WBS!$B$5:$B$279,MATCH($A232,WBS!$A$5:$A$279,0)),"-")</f>
        <v>DPO</v>
      </c>
      <c r="H232" s="41" t="str">
        <f aca="false">IFERROR(INDEX(WBS!$H$5:$H$279,MATCH($A232,WBS!$A$5:$A$279,0)),"-")</f>
        <v>P3</v>
      </c>
      <c r="I232" s="31" t="n">
        <f aca="false">IFERROR(INDEX(WBS!$U$5:$U$279,MATCH($A232,WBS!$A$5:$A$279,0)),0)</f>
        <v>16.7</v>
      </c>
      <c r="J232" s="7" t="str">
        <f aca="false">IF(ISNUMBER(MATCH($A232,WBS!$A$5:$A$279,0)),"✓","✗")</f>
        <v>✓</v>
      </c>
    </row>
    <row r="233" customFormat="false" ht="15" hidden="false" customHeight="false" outlineLevel="0" collapsed="false">
      <c r="A233" s="7" t="s">
        <v>1438</v>
      </c>
      <c r="B233" s="6" t="s">
        <v>5317</v>
      </c>
      <c r="C233" s="6" t="s">
        <v>1439</v>
      </c>
      <c r="D233" s="6" t="s">
        <v>1440</v>
      </c>
      <c r="E233" s="32" t="s">
        <v>265</v>
      </c>
      <c r="F233" s="34" t="s">
        <v>320</v>
      </c>
      <c r="G233" s="14" t="str">
        <f aca="false">IFERROR(INDEX(WBS!$B$5:$B$279,MATCH($A233,WBS!$A$5:$A$279,0)),"-")</f>
        <v>DPO</v>
      </c>
      <c r="H233" s="41" t="str">
        <f aca="false">IFERROR(INDEX(WBS!$H$5:$H$279,MATCH($A233,WBS!$A$5:$A$279,0)),"-")</f>
        <v>P3</v>
      </c>
      <c r="I233" s="31" t="n">
        <f aca="false">IFERROR(INDEX(WBS!$U$5:$U$279,MATCH($A233,WBS!$A$5:$A$279,0)),0)</f>
        <v>8.8</v>
      </c>
      <c r="J233" s="7" t="str">
        <f aca="false">IF(ISNUMBER(MATCH($A233,WBS!$A$5:$A$279,0)),"✓","✗")</f>
        <v>✓</v>
      </c>
    </row>
    <row r="234" customFormat="false" ht="15" hidden="false" customHeight="false" outlineLevel="0" collapsed="false">
      <c r="A234" s="7" t="s">
        <v>1444</v>
      </c>
      <c r="B234" s="6" t="s">
        <v>5317</v>
      </c>
      <c r="C234" s="6" t="s">
        <v>1445</v>
      </c>
      <c r="D234" s="6" t="s">
        <v>1446</v>
      </c>
      <c r="E234" s="32" t="s">
        <v>265</v>
      </c>
      <c r="F234" s="35" t="s">
        <v>386</v>
      </c>
      <c r="G234" s="14" t="str">
        <f aca="false">IFERROR(INDEX(WBS!$B$5:$B$279,MATCH($A234,WBS!$A$5:$A$279,0)),"-")</f>
        <v>DPO</v>
      </c>
      <c r="H234" s="41" t="str">
        <f aca="false">IFERROR(INDEX(WBS!$H$5:$H$279,MATCH($A234,WBS!$A$5:$A$279,0)),"-")</f>
        <v>P3</v>
      </c>
      <c r="I234" s="31" t="n">
        <f aca="false">IFERROR(INDEX(WBS!$U$5:$U$279,MATCH($A234,WBS!$A$5:$A$279,0)),0)</f>
        <v>11.8</v>
      </c>
      <c r="J234" s="7" t="str">
        <f aca="false">IF(ISNUMBER(MATCH($A234,WBS!$A$5:$A$279,0)),"✓","✗")</f>
        <v>✓</v>
      </c>
    </row>
    <row r="235" customFormat="false" ht="15" hidden="false" customHeight="false" outlineLevel="0" collapsed="false">
      <c r="A235" s="7" t="s">
        <v>1980</v>
      </c>
      <c r="B235" s="6" t="s">
        <v>5318</v>
      </c>
      <c r="C235" s="6" t="s">
        <v>1981</v>
      </c>
      <c r="D235" s="6" t="s">
        <v>1982</v>
      </c>
      <c r="E235" s="32" t="s">
        <v>265</v>
      </c>
      <c r="F235" s="36" t="s">
        <v>396</v>
      </c>
      <c r="G235" s="14" t="str">
        <f aca="false">IFERROR(INDEX(WBS!$B$5:$B$279,MATCH($A235,WBS!$A$5:$A$279,0)),"-")</f>
        <v>DPX</v>
      </c>
      <c r="H235" s="41" t="str">
        <f aca="false">IFERROR(INDEX(WBS!$H$5:$H$279,MATCH($A235,WBS!$A$5:$A$279,0)),"-")</f>
        <v>P3</v>
      </c>
      <c r="I235" s="31" t="n">
        <f aca="false">IFERROR(INDEX(WBS!$U$5:$U$279,MATCH($A235,WBS!$A$5:$A$279,0)),0)</f>
        <v>33.4</v>
      </c>
      <c r="J235" s="7" t="str">
        <f aca="false">IF(ISNUMBER(MATCH($A235,WBS!$A$5:$A$279,0)),"✓","✗")</f>
        <v>✓</v>
      </c>
    </row>
    <row r="236" customFormat="false" ht="15" hidden="false" customHeight="false" outlineLevel="0" collapsed="false">
      <c r="A236" s="7" t="s">
        <v>1988</v>
      </c>
      <c r="B236" s="6" t="s">
        <v>5318</v>
      </c>
      <c r="C236" s="6" t="s">
        <v>1989</v>
      </c>
      <c r="D236" s="6" t="s">
        <v>1990</v>
      </c>
      <c r="E236" s="32" t="s">
        <v>265</v>
      </c>
      <c r="F236" s="35" t="s">
        <v>386</v>
      </c>
      <c r="G236" s="14" t="str">
        <f aca="false">IFERROR(INDEX(WBS!$B$5:$B$279,MATCH($A236,WBS!$A$5:$A$279,0)),"-")</f>
        <v>DPX</v>
      </c>
      <c r="H236" s="41" t="str">
        <f aca="false">IFERROR(INDEX(WBS!$H$5:$H$279,MATCH($A236,WBS!$A$5:$A$279,0)),"-")</f>
        <v>P3</v>
      </c>
      <c r="I236" s="31" t="n">
        <f aca="false">IFERROR(INDEX(WBS!$U$5:$U$279,MATCH($A236,WBS!$A$5:$A$279,0)),0)</f>
        <v>8.8</v>
      </c>
      <c r="J236" s="7" t="str">
        <f aca="false">IF(ISNUMBER(MATCH($A236,WBS!$A$5:$A$279,0)),"✓","✗")</f>
        <v>✓</v>
      </c>
    </row>
    <row r="237" customFormat="false" ht="15" hidden="false" customHeight="false" outlineLevel="0" collapsed="false">
      <c r="A237" s="7" t="s">
        <v>1995</v>
      </c>
      <c r="B237" s="6" t="s">
        <v>5318</v>
      </c>
      <c r="C237" s="6" t="s">
        <v>1996</v>
      </c>
      <c r="D237" s="6" t="s">
        <v>1997</v>
      </c>
      <c r="E237" s="32" t="s">
        <v>265</v>
      </c>
      <c r="F237" s="34" t="s">
        <v>320</v>
      </c>
      <c r="G237" s="14" t="str">
        <f aca="false">IFERROR(INDEX(WBS!$B$5:$B$279,MATCH($A237,WBS!$A$5:$A$279,0)),"-")</f>
        <v>DPX</v>
      </c>
      <c r="H237" s="41" t="str">
        <f aca="false">IFERROR(INDEX(WBS!$H$5:$H$279,MATCH($A237,WBS!$A$5:$A$279,0)),"-")</f>
        <v>P3</v>
      </c>
      <c r="I237" s="31" t="n">
        <f aca="false">IFERROR(INDEX(WBS!$U$5:$U$279,MATCH($A237,WBS!$A$5:$A$279,0)),0)</f>
        <v>16.7</v>
      </c>
      <c r="J237" s="7" t="str">
        <f aca="false">IF(ISNUMBER(MATCH($A237,WBS!$A$5:$A$279,0)),"✓","✗")</f>
        <v>✓</v>
      </c>
    </row>
    <row r="238" customFormat="false" ht="15" hidden="false" customHeight="false" outlineLevel="0" collapsed="false">
      <c r="A238" s="7" t="s">
        <v>2002</v>
      </c>
      <c r="B238" s="6" t="s">
        <v>5318</v>
      </c>
      <c r="C238" s="6" t="s">
        <v>2003</v>
      </c>
      <c r="D238" s="6" t="s">
        <v>2004</v>
      </c>
      <c r="E238" s="32" t="s">
        <v>265</v>
      </c>
      <c r="F238" s="34" t="s">
        <v>320</v>
      </c>
      <c r="G238" s="14" t="str">
        <f aca="false">IFERROR(INDEX(WBS!$B$5:$B$279,MATCH($A238,WBS!$A$5:$A$279,0)),"-")</f>
        <v>DPX</v>
      </c>
      <c r="H238" s="41" t="str">
        <f aca="false">IFERROR(INDEX(WBS!$H$5:$H$279,MATCH($A238,WBS!$A$5:$A$279,0)),"-")</f>
        <v>P3</v>
      </c>
      <c r="I238" s="31" t="n">
        <f aca="false">IFERROR(INDEX(WBS!$U$5:$U$279,MATCH($A238,WBS!$A$5:$A$279,0)),0)</f>
        <v>8.8</v>
      </c>
      <c r="J238" s="7" t="str">
        <f aca="false">IF(ISNUMBER(MATCH($A238,WBS!$A$5:$A$279,0)),"✓","✗")</f>
        <v>✓</v>
      </c>
    </row>
    <row r="239" customFormat="false" ht="15" hidden="false" customHeight="false" outlineLevel="0" collapsed="false">
      <c r="A239" s="7" t="s">
        <v>1219</v>
      </c>
      <c r="B239" s="6" t="s">
        <v>5318</v>
      </c>
      <c r="C239" s="6" t="s">
        <v>1966</v>
      </c>
      <c r="D239" s="6" t="s">
        <v>1967</v>
      </c>
      <c r="E239" s="29" t="s">
        <v>143</v>
      </c>
      <c r="F239" s="35" t="s">
        <v>386</v>
      </c>
      <c r="G239" s="14" t="str">
        <f aca="false">IFERROR(INDEX(WBS!$B$5:$B$279,MATCH($A239,WBS!$A$5:$A$279,0)),"-")</f>
        <v>DPX</v>
      </c>
      <c r="H239" s="41" t="str">
        <f aca="false">IFERROR(INDEX(WBS!$H$5:$H$279,MATCH($A239,WBS!$A$5:$A$279,0)),"-")</f>
        <v>P2</v>
      </c>
      <c r="I239" s="31" t="n">
        <f aca="false">IFERROR(INDEX(WBS!$U$5:$U$279,MATCH($A239,WBS!$A$5:$A$279,0)),0)</f>
        <v>24.1</v>
      </c>
      <c r="J239" s="7" t="str">
        <f aca="false">IF(ISNUMBER(MATCH($A239,WBS!$A$5:$A$279,0)),"✓","✗")</f>
        <v>✓</v>
      </c>
    </row>
    <row r="240" customFormat="false" ht="15" hidden="false" customHeight="false" outlineLevel="0" collapsed="false">
      <c r="A240" s="7" t="s">
        <v>1827</v>
      </c>
      <c r="B240" s="6" t="s">
        <v>5318</v>
      </c>
      <c r="C240" s="6" t="s">
        <v>1973</v>
      </c>
      <c r="D240" s="6" t="s">
        <v>1974</v>
      </c>
      <c r="E240" s="29" t="s">
        <v>143</v>
      </c>
      <c r="F240" s="34" t="s">
        <v>320</v>
      </c>
      <c r="G240" s="14" t="str">
        <f aca="false">IFERROR(INDEX(WBS!$B$5:$B$279,MATCH($A240,WBS!$A$5:$A$279,0)),"-")</f>
        <v>DPX</v>
      </c>
      <c r="H240" s="41" t="str">
        <f aca="false">IFERROR(INDEX(WBS!$H$5:$H$279,MATCH($A240,WBS!$A$5:$A$279,0)),"-")</f>
        <v>P2</v>
      </c>
      <c r="I240" s="31" t="n">
        <f aca="false">IFERROR(INDEX(WBS!$U$5:$U$279,MATCH($A240,WBS!$A$5:$A$279,0)),0)</f>
        <v>11.8</v>
      </c>
      <c r="J240" s="7" t="str">
        <f aca="false">IF(ISNUMBER(MATCH($A240,WBS!$A$5:$A$279,0)),"✓","✗")</f>
        <v>✓</v>
      </c>
    </row>
    <row r="241" customFormat="false" ht="15" hidden="false" customHeight="false" outlineLevel="0" collapsed="false">
      <c r="A241" s="7" t="s">
        <v>2021</v>
      </c>
      <c r="B241" s="6" t="s">
        <v>5318</v>
      </c>
      <c r="C241" s="6" t="s">
        <v>2022</v>
      </c>
      <c r="D241" s="6" t="s">
        <v>2023</v>
      </c>
      <c r="E241" s="33" t="s">
        <v>286</v>
      </c>
      <c r="F241" s="35" t="s">
        <v>386</v>
      </c>
      <c r="G241" s="14" t="str">
        <f aca="false">IFERROR(INDEX(WBS!$B$5:$B$279,MATCH($A241,WBS!$A$5:$A$279,0)),"-")</f>
        <v>DPX</v>
      </c>
      <c r="H241" s="41" t="str">
        <f aca="false">IFERROR(INDEX(WBS!$H$5:$H$279,MATCH($A241,WBS!$A$5:$A$279,0)),"-")</f>
        <v>P4</v>
      </c>
      <c r="I241" s="31" t="n">
        <f aca="false">IFERROR(INDEX(WBS!$U$5:$U$279,MATCH($A241,WBS!$A$5:$A$279,0)),0)</f>
        <v>19.2</v>
      </c>
      <c r="J241" s="7" t="str">
        <f aca="false">IF(ISNUMBER(MATCH($A241,WBS!$A$5:$A$279,0)),"✓","✗")</f>
        <v>✓</v>
      </c>
    </row>
    <row r="242" customFormat="false" ht="15" hidden="false" customHeight="false" outlineLevel="0" collapsed="false">
      <c r="A242" s="7" t="s">
        <v>2008</v>
      </c>
      <c r="B242" s="6" t="s">
        <v>5318</v>
      </c>
      <c r="C242" s="6" t="s">
        <v>2009</v>
      </c>
      <c r="D242" s="6" t="s">
        <v>2010</v>
      </c>
      <c r="E242" s="32" t="s">
        <v>265</v>
      </c>
      <c r="F242" s="35" t="s">
        <v>386</v>
      </c>
      <c r="G242" s="14" t="str">
        <f aca="false">IFERROR(INDEX(WBS!$B$5:$B$279,MATCH($A242,WBS!$A$5:$A$279,0)),"-")</f>
        <v>DPX</v>
      </c>
      <c r="H242" s="41" t="str">
        <f aca="false">IFERROR(INDEX(WBS!$H$5:$H$279,MATCH($A242,WBS!$A$5:$A$279,0)),"-")</f>
        <v>P3</v>
      </c>
      <c r="I242" s="31" t="n">
        <f aca="false">IFERROR(INDEX(WBS!$U$5:$U$279,MATCH($A242,WBS!$A$5:$A$279,0)),0)</f>
        <v>8.8</v>
      </c>
      <c r="J242" s="7" t="str">
        <f aca="false">IF(ISNUMBER(MATCH($A242,WBS!$A$5:$A$279,0)),"✓","✗")</f>
        <v>✓</v>
      </c>
    </row>
    <row r="243" customFormat="false" ht="15" hidden="false" customHeight="false" outlineLevel="0" collapsed="false">
      <c r="A243" s="7" t="s">
        <v>2028</v>
      </c>
      <c r="B243" s="6" t="s">
        <v>5318</v>
      </c>
      <c r="C243" s="6" t="s">
        <v>2029</v>
      </c>
      <c r="D243" s="6" t="s">
        <v>2030</v>
      </c>
      <c r="E243" s="33" t="s">
        <v>286</v>
      </c>
      <c r="F243" s="34" t="s">
        <v>320</v>
      </c>
      <c r="G243" s="14" t="str">
        <f aca="false">IFERROR(INDEX(WBS!$B$5:$B$279,MATCH($A243,WBS!$A$5:$A$279,0)),"-")</f>
        <v>DPX</v>
      </c>
      <c r="H243" s="41" t="str">
        <f aca="false">IFERROR(INDEX(WBS!$H$5:$H$279,MATCH($A243,WBS!$A$5:$A$279,0)),"-")</f>
        <v>P4</v>
      </c>
      <c r="I243" s="31" t="n">
        <f aca="false">IFERROR(INDEX(WBS!$U$5:$U$279,MATCH($A243,WBS!$A$5:$A$279,0)),0)</f>
        <v>11.8</v>
      </c>
      <c r="J243" s="7" t="str">
        <f aca="false">IF(ISNUMBER(MATCH($A243,WBS!$A$5:$A$279,0)),"✓","✗")</f>
        <v>✓</v>
      </c>
    </row>
    <row r="244" customFormat="false" ht="15" hidden="false" customHeight="false" outlineLevel="0" collapsed="false">
      <c r="A244" s="7" t="s">
        <v>2034</v>
      </c>
      <c r="B244" s="6" t="s">
        <v>5318</v>
      </c>
      <c r="C244" s="6" t="s">
        <v>2035</v>
      </c>
      <c r="D244" s="6" t="s">
        <v>2036</v>
      </c>
      <c r="E244" s="33" t="s">
        <v>286</v>
      </c>
      <c r="F244" s="35" t="s">
        <v>386</v>
      </c>
      <c r="G244" s="14" t="str">
        <f aca="false">IFERROR(INDEX(WBS!$B$5:$B$279,MATCH($A244,WBS!$A$5:$A$279,0)),"-")</f>
        <v>DPX</v>
      </c>
      <c r="H244" s="41" t="str">
        <f aca="false">IFERROR(INDEX(WBS!$H$5:$H$279,MATCH($A244,WBS!$A$5:$A$279,0)),"-")</f>
        <v>P4</v>
      </c>
      <c r="I244" s="31" t="n">
        <f aca="false">IFERROR(INDEX(WBS!$U$5:$U$279,MATCH($A244,WBS!$A$5:$A$279,0)),0)</f>
        <v>8.8</v>
      </c>
      <c r="J244" s="7" t="str">
        <f aca="false">IF(ISNUMBER(MATCH($A244,WBS!$A$5:$A$279,0)),"✓","✗")</f>
        <v>✓</v>
      </c>
    </row>
    <row r="245" customFormat="false" ht="15" hidden="false" customHeight="false" outlineLevel="0" collapsed="false">
      <c r="A245" s="7" t="s">
        <v>2041</v>
      </c>
      <c r="B245" s="6" t="s">
        <v>5318</v>
      </c>
      <c r="C245" s="6" t="s">
        <v>2042</v>
      </c>
      <c r="D245" s="6" t="s">
        <v>2043</v>
      </c>
      <c r="E245" s="33" t="s">
        <v>286</v>
      </c>
      <c r="F245" s="34" t="s">
        <v>320</v>
      </c>
      <c r="G245" s="14" t="str">
        <f aca="false">IFERROR(INDEX(WBS!$B$5:$B$279,MATCH($A245,WBS!$A$5:$A$279,0)),"-")</f>
        <v>DPX</v>
      </c>
      <c r="H245" s="41" t="str">
        <f aca="false">IFERROR(INDEX(WBS!$H$5:$H$279,MATCH($A245,WBS!$A$5:$A$279,0)),"-")</f>
        <v>P4</v>
      </c>
      <c r="I245" s="31" t="n">
        <f aca="false">IFERROR(INDEX(WBS!$U$5:$U$279,MATCH($A245,WBS!$A$5:$A$279,0)),0)</f>
        <v>24.1</v>
      </c>
      <c r="J245" s="7" t="str">
        <f aca="false">IF(ISNUMBER(MATCH($A245,WBS!$A$5:$A$279,0)),"✓","✗")</f>
        <v>✓</v>
      </c>
    </row>
    <row r="246" customFormat="false" ht="15" hidden="false" customHeight="false" outlineLevel="0" collapsed="false">
      <c r="A246" s="7" t="s">
        <v>1576</v>
      </c>
      <c r="B246" s="6" t="s">
        <v>5318</v>
      </c>
      <c r="C246" s="6" t="s">
        <v>2048</v>
      </c>
      <c r="D246" s="6" t="s">
        <v>2049</v>
      </c>
      <c r="E246" s="33" t="s">
        <v>286</v>
      </c>
      <c r="F246" s="34" t="s">
        <v>320</v>
      </c>
      <c r="G246" s="14" t="str">
        <f aca="false">IFERROR(INDEX(WBS!$B$5:$B$279,MATCH($A246,WBS!$A$5:$A$279,0)),"-")</f>
        <v>DPX</v>
      </c>
      <c r="H246" s="41" t="str">
        <f aca="false">IFERROR(INDEX(WBS!$H$5:$H$279,MATCH($A246,WBS!$A$5:$A$279,0)),"-")</f>
        <v>P4</v>
      </c>
      <c r="I246" s="31" t="n">
        <f aca="false">IFERROR(INDEX(WBS!$U$5:$U$279,MATCH($A246,WBS!$A$5:$A$279,0)),0)</f>
        <v>8.8</v>
      </c>
      <c r="J246" s="7" t="str">
        <f aca="false">IF(ISNUMBER(MATCH($A246,WBS!$A$5:$A$279,0)),"✓","✗")</f>
        <v>✓</v>
      </c>
    </row>
    <row r="247" customFormat="false" ht="15" hidden="false" customHeight="false" outlineLevel="0" collapsed="false">
      <c r="A247" s="7" t="s">
        <v>2015</v>
      </c>
      <c r="B247" s="6" t="s">
        <v>5318</v>
      </c>
      <c r="C247" s="6" t="s">
        <v>2016</v>
      </c>
      <c r="D247" s="6" t="s">
        <v>2017</v>
      </c>
      <c r="E247" s="32" t="s">
        <v>265</v>
      </c>
      <c r="F247" s="34" t="s">
        <v>320</v>
      </c>
      <c r="G247" s="14" t="str">
        <f aca="false">IFERROR(INDEX(WBS!$B$5:$B$279,MATCH($A247,WBS!$A$5:$A$279,0)),"-")</f>
        <v>DPX</v>
      </c>
      <c r="H247" s="41" t="str">
        <f aca="false">IFERROR(INDEX(WBS!$H$5:$H$279,MATCH($A247,WBS!$A$5:$A$279,0)),"-")</f>
        <v>P3</v>
      </c>
      <c r="I247" s="31" t="n">
        <f aca="false">IFERROR(INDEX(WBS!$U$5:$U$279,MATCH($A247,WBS!$A$5:$A$279,0)),0)</f>
        <v>19.2</v>
      </c>
      <c r="J247" s="7" t="str">
        <f aca="false">IF(ISNUMBER(MATCH($A247,WBS!$A$5:$A$279,0)),"✓","✗")</f>
        <v>✓</v>
      </c>
    </row>
  </sheetData>
  <autoFilter ref="A4:J247"/>
  <conditionalFormatting sqref="J5:J247">
    <cfRule type="cellIs" priority="2" operator="equal" aboveAverage="0" equalAverage="0" bottom="0" percent="0" rank="0" text="" dxfId="28">
      <formula>"✓"</formula>
    </cfRule>
    <cfRule type="cellIs" priority="3" operator="equal" aboveAverage="0" equalAverage="0" bottom="0" percent="0" rank="0" text="" dxfId="29">
      <formula>"✗"</formula>
    </cfRule>
  </conditionalFormatting>
  <conditionalFormatting sqref="H5:H247">
    <cfRule type="cellIs" priority="4" operator="equal" aboveAverage="0" equalAverage="0" bottom="0" percent="0" rank="0" text="" dxfId="12">
      <formula>"P0"</formula>
    </cfRule>
    <cfRule type="cellIs" priority="5" operator="equal" aboveAverage="0" equalAverage="0" bottom="0" percent="0" rank="0" text="" dxfId="13">
      <formula>"P1"</formula>
    </cfRule>
    <cfRule type="cellIs" priority="6" operator="equal" aboveAverage="0" equalAverage="0" bottom="0" percent="0" rank="0" text="" dxfId="14">
      <formula>"P2"</formula>
    </cfRule>
    <cfRule type="cellIs" priority="7" operator="equal" aboveAverage="0" equalAverage="0" bottom="0" percent="0" rank="0" text="" dxfId="15">
      <formula>"P3"</formula>
    </cfRule>
    <cfRule type="cellIs" priority="8" operator="equal" aboveAverage="0" equalAverage="0" bottom="0" percent="0" rank="0" text="" dxfId="16">
      <formula>"P4"</formula>
    </cfRule>
  </conditionalFormatting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50"/>
    <col collapsed="false" customWidth="true" hidden="false" outlineLevel="0" max="4" min="4" style="0" width="58"/>
    <col collapsed="false" customWidth="true" hidden="false" outlineLevel="0" max="5" min="5" style="0" width="48"/>
    <col collapsed="false" customWidth="true" hidden="false" outlineLevel="0" max="6" min="6" style="0" width="30"/>
  </cols>
  <sheetData>
    <row r="1" customFormat="false" ht="17.9" hidden="false" customHeight="false" outlineLevel="0" collapsed="false">
      <c r="A1" s="27" t="s">
        <v>5319</v>
      </c>
    </row>
    <row r="2" customFormat="false" ht="15" hidden="false" customHeight="false" outlineLevel="0" collapsed="false">
      <c r="A2" s="2" t="s">
        <v>5320</v>
      </c>
    </row>
    <row r="4" customFormat="false" ht="15" hidden="false" customHeight="true" outlineLevel="0" collapsed="false"/>
    <row r="5" customFormat="false" ht="15" hidden="false" customHeight="true" outlineLevel="0" collapsed="false"/>
    <row r="6" customFormat="false" ht="15" hidden="false" customHeight="true" outlineLevel="0" collapsed="false"/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4" customFormat="false" ht="15" hidden="false" customHeight="false" outlineLevel="0" collapsed="false">
      <c r="A44" s="11" t="s">
        <v>5321</v>
      </c>
    </row>
    <row r="45" customFormat="false" ht="31.5" hidden="false" customHeight="true" outlineLevel="0" collapsed="false">
      <c r="A45" s="3" t="s">
        <v>5322</v>
      </c>
      <c r="B45" s="3" t="s">
        <v>5323</v>
      </c>
      <c r="C45" s="3" t="s">
        <v>5324</v>
      </c>
      <c r="D45" s="3" t="s">
        <v>5325</v>
      </c>
      <c r="E45" s="3"/>
      <c r="F45" s="3"/>
    </row>
    <row r="46" customFormat="false" ht="23.85" hidden="false" customHeight="false" outlineLevel="0" collapsed="false">
      <c r="A46" s="7" t="s">
        <v>5326</v>
      </c>
      <c r="B46" s="4" t="s">
        <v>5327</v>
      </c>
      <c r="C46" s="6" t="s">
        <v>5328</v>
      </c>
      <c r="D46" s="6" t="s">
        <v>5329</v>
      </c>
    </row>
    <row r="47" customFormat="false" ht="23.85" hidden="false" customHeight="false" outlineLevel="0" collapsed="false">
      <c r="A47" s="7" t="s">
        <v>5326</v>
      </c>
      <c r="B47" s="4" t="s">
        <v>5330</v>
      </c>
      <c r="C47" s="6" t="s">
        <v>5331</v>
      </c>
      <c r="D47" s="6" t="s">
        <v>5332</v>
      </c>
    </row>
    <row r="48" customFormat="false" ht="23.85" hidden="false" customHeight="false" outlineLevel="0" collapsed="false">
      <c r="A48" s="7" t="s">
        <v>5326</v>
      </c>
      <c r="B48" s="4" t="s">
        <v>5333</v>
      </c>
      <c r="C48" s="6" t="s">
        <v>5334</v>
      </c>
      <c r="D48" s="6" t="s">
        <v>5335</v>
      </c>
    </row>
    <row r="49" customFormat="false" ht="15" hidden="false" customHeight="false" outlineLevel="0" collapsed="false">
      <c r="A49" s="7" t="s">
        <v>5326</v>
      </c>
      <c r="B49" s="4" t="s">
        <v>5336</v>
      </c>
      <c r="C49" s="6" t="s">
        <v>5337</v>
      </c>
      <c r="D49" s="6" t="s">
        <v>5338</v>
      </c>
    </row>
    <row r="50" customFormat="false" ht="15" hidden="false" customHeight="false" outlineLevel="0" collapsed="false">
      <c r="A50" s="7" t="s">
        <v>5339</v>
      </c>
      <c r="B50" s="4" t="s">
        <v>5340</v>
      </c>
      <c r="C50" s="6" t="s">
        <v>5341</v>
      </c>
      <c r="D50" s="6" t="s">
        <v>5342</v>
      </c>
    </row>
    <row r="51" customFormat="false" ht="23.85" hidden="false" customHeight="false" outlineLevel="0" collapsed="false">
      <c r="A51" s="7" t="s">
        <v>5343</v>
      </c>
      <c r="B51" s="4" t="s">
        <v>5344</v>
      </c>
      <c r="C51" s="6" t="s">
        <v>5345</v>
      </c>
      <c r="D51" s="6" t="s">
        <v>5346</v>
      </c>
    </row>
    <row r="52" customFormat="false" ht="23.85" hidden="false" customHeight="false" outlineLevel="0" collapsed="false">
      <c r="A52" s="7" t="s">
        <v>5343</v>
      </c>
      <c r="B52" s="4" t="s">
        <v>5347</v>
      </c>
      <c r="C52" s="6" t="s">
        <v>5348</v>
      </c>
      <c r="D52" s="6" t="s">
        <v>5349</v>
      </c>
    </row>
    <row r="53" customFormat="false" ht="15" hidden="false" customHeight="false" outlineLevel="0" collapsed="false">
      <c r="A53" s="7" t="s">
        <v>5343</v>
      </c>
      <c r="B53" s="4" t="s">
        <v>533</v>
      </c>
      <c r="C53" s="6" t="s">
        <v>5350</v>
      </c>
      <c r="D53" s="6" t="s">
        <v>5351</v>
      </c>
    </row>
    <row r="54" customFormat="false" ht="23.85" hidden="false" customHeight="false" outlineLevel="0" collapsed="false">
      <c r="A54" s="7" t="s">
        <v>5343</v>
      </c>
      <c r="B54" s="4" t="s">
        <v>5352</v>
      </c>
      <c r="C54" s="6" t="s">
        <v>5353</v>
      </c>
      <c r="D54" s="6" t="s">
        <v>5354</v>
      </c>
    </row>
    <row r="55" customFormat="false" ht="23.85" hidden="false" customHeight="false" outlineLevel="0" collapsed="false">
      <c r="A55" s="7" t="s">
        <v>5355</v>
      </c>
      <c r="B55" s="4" t="s">
        <v>5356</v>
      </c>
      <c r="C55" s="6" t="s">
        <v>5357</v>
      </c>
      <c r="D55" s="6" t="s">
        <v>5358</v>
      </c>
    </row>
    <row r="56" customFormat="false" ht="23.85" hidden="false" customHeight="false" outlineLevel="0" collapsed="false">
      <c r="A56" s="7" t="s">
        <v>5355</v>
      </c>
      <c r="B56" s="4" t="s">
        <v>5278</v>
      </c>
      <c r="C56" s="6" t="s">
        <v>5359</v>
      </c>
      <c r="D56" s="6" t="s">
        <v>5360</v>
      </c>
    </row>
    <row r="57" customFormat="false" ht="23.85" hidden="false" customHeight="false" outlineLevel="0" collapsed="false">
      <c r="A57" s="7" t="s">
        <v>5361</v>
      </c>
      <c r="B57" s="4" t="s">
        <v>5362</v>
      </c>
      <c r="C57" s="6" t="s">
        <v>5363</v>
      </c>
      <c r="D57" s="6" t="s">
        <v>5364</v>
      </c>
    </row>
    <row r="58" customFormat="false" ht="15" hidden="false" customHeight="false" outlineLevel="0" collapsed="false">
      <c r="A58" s="7" t="s">
        <v>5361</v>
      </c>
      <c r="B58" s="4" t="s">
        <v>5365</v>
      </c>
      <c r="C58" s="6" t="s">
        <v>5366</v>
      </c>
      <c r="D58" s="6" t="s">
        <v>5367</v>
      </c>
    </row>
    <row r="59" customFormat="false" ht="23.85" hidden="false" customHeight="false" outlineLevel="0" collapsed="false">
      <c r="A59" s="7" t="s">
        <v>5361</v>
      </c>
      <c r="B59" s="4" t="s">
        <v>5368</v>
      </c>
      <c r="C59" s="6" t="s">
        <v>5369</v>
      </c>
      <c r="D59" s="6" t="s">
        <v>5370</v>
      </c>
    </row>
    <row r="60" customFormat="false" ht="15" hidden="false" customHeight="false" outlineLevel="0" collapsed="false">
      <c r="A60" s="7" t="s">
        <v>5361</v>
      </c>
      <c r="B60" s="4" t="s">
        <v>5371</v>
      </c>
      <c r="C60" s="6" t="s">
        <v>5372</v>
      </c>
      <c r="D60" s="6" t="s">
        <v>5373</v>
      </c>
    </row>
    <row r="61" customFormat="false" ht="23.85" hidden="false" customHeight="false" outlineLevel="0" collapsed="false">
      <c r="A61" s="7" t="s">
        <v>5361</v>
      </c>
      <c r="B61" s="4" t="s">
        <v>5374</v>
      </c>
      <c r="C61" s="6" t="s">
        <v>5375</v>
      </c>
      <c r="D61" s="6" t="s">
        <v>5376</v>
      </c>
    </row>
    <row r="62" customFormat="false" ht="23.85" hidden="false" customHeight="false" outlineLevel="0" collapsed="false">
      <c r="A62" s="7" t="s">
        <v>5377</v>
      </c>
      <c r="B62" s="4" t="s">
        <v>5378</v>
      </c>
      <c r="C62" s="6" t="s">
        <v>5379</v>
      </c>
      <c r="D62" s="6" t="s">
        <v>5380</v>
      </c>
    </row>
    <row r="63" customFormat="false" ht="15" hidden="false" customHeight="false" outlineLevel="0" collapsed="false">
      <c r="A63" s="7" t="s">
        <v>5377</v>
      </c>
      <c r="B63" s="4" t="s">
        <v>5381</v>
      </c>
      <c r="C63" s="6" t="s">
        <v>5382</v>
      </c>
      <c r="D63" s="6" t="s">
        <v>5383</v>
      </c>
    </row>
    <row r="64" customFormat="false" ht="15" hidden="false" customHeight="false" outlineLevel="0" collapsed="false">
      <c r="A64" s="7" t="s">
        <v>5377</v>
      </c>
      <c r="B64" s="4" t="s">
        <v>5384</v>
      </c>
      <c r="C64" s="6" t="s">
        <v>5385</v>
      </c>
      <c r="D64" s="6" t="s">
        <v>5386</v>
      </c>
    </row>
    <row r="65" customFormat="false" ht="15" hidden="false" customHeight="false" outlineLevel="0" collapsed="false">
      <c r="A65" s="7" t="s">
        <v>5387</v>
      </c>
      <c r="B65" s="4" t="s">
        <v>285</v>
      </c>
      <c r="C65" s="6" t="s">
        <v>5388</v>
      </c>
      <c r="D65" s="6" t="s">
        <v>5389</v>
      </c>
    </row>
    <row r="66" customFormat="false" ht="15" hidden="false" customHeight="false" outlineLevel="0" collapsed="false">
      <c r="A66" s="7" t="s">
        <v>5390</v>
      </c>
      <c r="B66" s="4" t="s">
        <v>264</v>
      </c>
      <c r="C66" s="6" t="s">
        <v>5391</v>
      </c>
      <c r="D66" s="6" t="s">
        <v>5392</v>
      </c>
    </row>
    <row r="67" customFormat="false" ht="23.85" hidden="false" customHeight="false" outlineLevel="0" collapsed="false">
      <c r="A67" s="7" t="s">
        <v>5390</v>
      </c>
      <c r="B67" s="4" t="s">
        <v>5393</v>
      </c>
      <c r="C67" s="6" t="s">
        <v>5394</v>
      </c>
      <c r="D67" s="6" t="s">
        <v>5395</v>
      </c>
    </row>
    <row r="68" customFormat="false" ht="23.85" hidden="false" customHeight="false" outlineLevel="0" collapsed="false">
      <c r="A68" s="7" t="s">
        <v>5390</v>
      </c>
      <c r="B68" s="4" t="s">
        <v>5396</v>
      </c>
      <c r="C68" s="6" t="s">
        <v>5397</v>
      </c>
      <c r="D68" s="6" t="s">
        <v>5398</v>
      </c>
    </row>
    <row r="69" customFormat="false" ht="23.85" hidden="false" customHeight="false" outlineLevel="0" collapsed="false">
      <c r="A69" s="7" t="s">
        <v>5390</v>
      </c>
      <c r="B69" s="4" t="s">
        <v>5399</v>
      </c>
      <c r="C69" s="6" t="s">
        <v>5400</v>
      </c>
      <c r="D69" s="6" t="s">
        <v>5401</v>
      </c>
    </row>
    <row r="71" customFormat="false" ht="15" hidden="false" customHeight="false" outlineLevel="0" collapsed="false">
      <c r="A71" s="11" t="s">
        <v>5402</v>
      </c>
    </row>
    <row r="72" customFormat="false" ht="31.5" hidden="false" customHeight="true" outlineLevel="0" collapsed="false">
      <c r="A72" s="3" t="s">
        <v>115</v>
      </c>
      <c r="B72" s="3" t="s">
        <v>5263</v>
      </c>
      <c r="C72" s="3" t="s">
        <v>5403</v>
      </c>
      <c r="D72" s="3" t="s">
        <v>5404</v>
      </c>
      <c r="E72" s="3" t="s">
        <v>5405</v>
      </c>
    </row>
    <row r="73" customFormat="false" ht="23.85" hidden="false" customHeight="false" outlineLevel="0" collapsed="false">
      <c r="A73" s="7" t="s">
        <v>5406</v>
      </c>
      <c r="B73" s="4" t="s">
        <v>5407</v>
      </c>
      <c r="C73" s="6" t="s">
        <v>5408</v>
      </c>
      <c r="D73" s="6" t="s">
        <v>5409</v>
      </c>
      <c r="E73" s="6" t="s">
        <v>5410</v>
      </c>
    </row>
    <row r="74" customFormat="false" ht="23.85" hidden="false" customHeight="false" outlineLevel="0" collapsed="false">
      <c r="A74" s="7" t="s">
        <v>5411</v>
      </c>
      <c r="B74" s="4" t="s">
        <v>5412</v>
      </c>
      <c r="C74" s="6" t="s">
        <v>5413</v>
      </c>
      <c r="D74" s="6" t="s">
        <v>5414</v>
      </c>
      <c r="E74" s="6" t="s">
        <v>5415</v>
      </c>
    </row>
    <row r="75" customFormat="false" ht="23.85" hidden="false" customHeight="false" outlineLevel="0" collapsed="false">
      <c r="A75" s="7" t="s">
        <v>5416</v>
      </c>
      <c r="B75" s="4" t="s">
        <v>5417</v>
      </c>
      <c r="C75" s="6" t="s">
        <v>5418</v>
      </c>
      <c r="D75" s="6" t="s">
        <v>5419</v>
      </c>
      <c r="E75" s="6" t="s">
        <v>5420</v>
      </c>
    </row>
    <row r="76" customFormat="false" ht="15" hidden="false" customHeight="false" outlineLevel="0" collapsed="false">
      <c r="A76" s="7" t="s">
        <v>5421</v>
      </c>
      <c r="B76" s="4" t="s">
        <v>5422</v>
      </c>
      <c r="C76" s="6" t="s">
        <v>5423</v>
      </c>
      <c r="D76" s="6" t="s">
        <v>5424</v>
      </c>
      <c r="E76" s="6" t="s">
        <v>5425</v>
      </c>
    </row>
    <row r="77" customFormat="false" ht="23.85" hidden="false" customHeight="false" outlineLevel="0" collapsed="false">
      <c r="A77" s="7" t="s">
        <v>5426</v>
      </c>
      <c r="B77" s="4" t="s">
        <v>5427</v>
      </c>
      <c r="C77" s="6" t="s">
        <v>5428</v>
      </c>
      <c r="D77" s="6" t="s">
        <v>5429</v>
      </c>
      <c r="E77" s="6" t="s">
        <v>5430</v>
      </c>
    </row>
    <row r="78" customFormat="false" ht="35.05" hidden="false" customHeight="false" outlineLevel="0" collapsed="false">
      <c r="A78" s="7" t="s">
        <v>5431</v>
      </c>
      <c r="B78" s="4" t="s">
        <v>5265</v>
      </c>
      <c r="C78" s="6" t="s">
        <v>5356</v>
      </c>
      <c r="D78" s="6" t="s">
        <v>5432</v>
      </c>
      <c r="E78" s="6" t="s">
        <v>5433</v>
      </c>
    </row>
    <row r="79" customFormat="false" ht="23.85" hidden="false" customHeight="false" outlineLevel="0" collapsed="false">
      <c r="A79" s="7" t="s">
        <v>5434</v>
      </c>
      <c r="B79" s="4" t="s">
        <v>5278</v>
      </c>
      <c r="C79" s="6" t="s">
        <v>5435</v>
      </c>
      <c r="D79" s="6" t="s">
        <v>5436</v>
      </c>
      <c r="E79" s="6" t="s">
        <v>5437</v>
      </c>
    </row>
    <row r="80" customFormat="false" ht="35.05" hidden="false" customHeight="false" outlineLevel="0" collapsed="false">
      <c r="A80" s="7" t="s">
        <v>5438</v>
      </c>
      <c r="B80" s="4" t="s">
        <v>5439</v>
      </c>
      <c r="C80" s="6" t="s">
        <v>5440</v>
      </c>
      <c r="D80" s="6" t="s">
        <v>5441</v>
      </c>
      <c r="E80" s="6" t="s">
        <v>5442</v>
      </c>
    </row>
    <row r="81" customFormat="false" ht="23.85" hidden="false" customHeight="false" outlineLevel="0" collapsed="false">
      <c r="A81" s="7" t="s">
        <v>5443</v>
      </c>
      <c r="B81" s="4" t="s">
        <v>5444</v>
      </c>
      <c r="C81" s="6" t="s">
        <v>5445</v>
      </c>
      <c r="D81" s="6" t="s">
        <v>5446</v>
      </c>
      <c r="E81" s="6" t="s">
        <v>5447</v>
      </c>
    </row>
    <row r="82" customFormat="false" ht="23.85" hidden="false" customHeight="false" outlineLevel="0" collapsed="false">
      <c r="A82" s="7" t="s">
        <v>5448</v>
      </c>
      <c r="B82" s="4" t="s">
        <v>5449</v>
      </c>
      <c r="C82" s="6" t="s">
        <v>5450</v>
      </c>
      <c r="D82" s="6" t="s">
        <v>5451</v>
      </c>
      <c r="E82" s="6" t="s">
        <v>5452</v>
      </c>
    </row>
    <row r="83" customFormat="false" ht="15" hidden="false" customHeight="false" outlineLevel="0" collapsed="false">
      <c r="A83" s="7" t="s">
        <v>5453</v>
      </c>
      <c r="B83" s="4" t="s">
        <v>5454</v>
      </c>
      <c r="C83" s="6" t="s">
        <v>5455</v>
      </c>
      <c r="D83" s="6" t="s">
        <v>5456</v>
      </c>
      <c r="E83" s="6" t="s">
        <v>5457</v>
      </c>
    </row>
    <row r="84" customFormat="false" ht="23.85" hidden="false" customHeight="false" outlineLevel="0" collapsed="false">
      <c r="A84" s="7" t="s">
        <v>5458</v>
      </c>
      <c r="B84" s="4" t="s">
        <v>5459</v>
      </c>
      <c r="C84" s="6" t="s">
        <v>5460</v>
      </c>
      <c r="D84" s="6" t="s">
        <v>5461</v>
      </c>
      <c r="E84" s="6" t="s">
        <v>5462</v>
      </c>
    </row>
    <row r="85" customFormat="false" ht="23.85" hidden="false" customHeight="false" outlineLevel="0" collapsed="false">
      <c r="A85" s="7" t="s">
        <v>5463</v>
      </c>
      <c r="B85" s="4" t="s">
        <v>5464</v>
      </c>
      <c r="C85" s="6" t="s">
        <v>5465</v>
      </c>
      <c r="D85" s="6" t="s">
        <v>5466</v>
      </c>
      <c r="E85" s="6" t="s">
        <v>5467</v>
      </c>
    </row>
    <row r="86" customFormat="false" ht="15" hidden="false" customHeight="false" outlineLevel="0" collapsed="false">
      <c r="A86" s="7" t="s">
        <v>5468</v>
      </c>
      <c r="B86" s="4" t="s">
        <v>5387</v>
      </c>
      <c r="C86" s="6" t="s">
        <v>5469</v>
      </c>
      <c r="D86" s="6" t="s">
        <v>5470</v>
      </c>
      <c r="E86" s="6" t="s">
        <v>5471</v>
      </c>
    </row>
    <row r="88" customFormat="false" ht="15" hidden="false" customHeight="false" outlineLevel="0" collapsed="false">
      <c r="A88" s="11" t="s">
        <v>5472</v>
      </c>
    </row>
    <row r="89" customFormat="false" ht="31.5" hidden="false" customHeight="true" outlineLevel="0" collapsed="false">
      <c r="A89" s="3" t="s">
        <v>116</v>
      </c>
      <c r="B89" s="3" t="s">
        <v>5473</v>
      </c>
      <c r="C89" s="3" t="s">
        <v>5474</v>
      </c>
      <c r="D89" s="3" t="s">
        <v>5475</v>
      </c>
      <c r="E89" s="3" t="s">
        <v>5476</v>
      </c>
      <c r="F89" s="3" t="s">
        <v>5477</v>
      </c>
    </row>
    <row r="90" customFormat="false" ht="43.25" hidden="false" customHeight="false" outlineLevel="0" collapsed="false">
      <c r="A90" s="7" t="s">
        <v>138</v>
      </c>
      <c r="B90" s="28" t="s">
        <v>5478</v>
      </c>
      <c r="C90" s="28" t="s">
        <v>5479</v>
      </c>
      <c r="D90" s="28" t="s">
        <v>5480</v>
      </c>
      <c r="E90" s="28" t="s">
        <v>5481</v>
      </c>
      <c r="F90" s="28" t="s">
        <v>79</v>
      </c>
    </row>
    <row r="91" customFormat="false" ht="22.35" hidden="false" customHeight="false" outlineLevel="0" collapsed="false">
      <c r="A91" s="7" t="s">
        <v>293</v>
      </c>
      <c r="B91" s="28" t="s">
        <v>5482</v>
      </c>
      <c r="C91" s="28" t="s">
        <v>5483</v>
      </c>
      <c r="D91" s="28" t="s">
        <v>5484</v>
      </c>
      <c r="E91" s="28" t="s">
        <v>5485</v>
      </c>
      <c r="F91" s="28" t="s">
        <v>5486</v>
      </c>
    </row>
    <row r="92" customFormat="false" ht="22.35" hidden="false" customHeight="false" outlineLevel="0" collapsed="false">
      <c r="A92" s="7" t="s">
        <v>436</v>
      </c>
      <c r="B92" s="28" t="s">
        <v>5487</v>
      </c>
      <c r="C92" s="28" t="s">
        <v>5488</v>
      </c>
      <c r="D92" s="28" t="s">
        <v>5489</v>
      </c>
      <c r="E92" s="28" t="s">
        <v>5490</v>
      </c>
      <c r="F92" s="28" t="s">
        <v>5491</v>
      </c>
    </row>
    <row r="93" customFormat="false" ht="32.8" hidden="false" customHeight="false" outlineLevel="0" collapsed="false">
      <c r="A93" s="7" t="s">
        <v>509</v>
      </c>
      <c r="B93" s="28" t="s">
        <v>5492</v>
      </c>
      <c r="C93" s="28" t="s">
        <v>5493</v>
      </c>
      <c r="D93" s="28" t="s">
        <v>5494</v>
      </c>
      <c r="E93" s="28" t="s">
        <v>5495</v>
      </c>
      <c r="F93" s="28" t="s">
        <v>5496</v>
      </c>
    </row>
    <row r="94" customFormat="false" ht="15" hidden="false" customHeight="false" outlineLevel="0" collapsed="false">
      <c r="A94" s="7" t="s">
        <v>688</v>
      </c>
      <c r="B94" s="28" t="s">
        <v>5497</v>
      </c>
      <c r="C94" s="28" t="s">
        <v>5498</v>
      </c>
      <c r="D94" s="28" t="s">
        <v>5499</v>
      </c>
      <c r="E94" s="28" t="s">
        <v>5500</v>
      </c>
      <c r="F94" s="28" t="s">
        <v>5501</v>
      </c>
    </row>
    <row r="95" customFormat="false" ht="22.35" hidden="false" customHeight="false" outlineLevel="0" collapsed="false">
      <c r="A95" s="7" t="s">
        <v>804</v>
      </c>
      <c r="B95" s="28" t="s">
        <v>5502</v>
      </c>
      <c r="C95" s="28" t="s">
        <v>5503</v>
      </c>
      <c r="D95" s="28" t="s">
        <v>5504</v>
      </c>
      <c r="E95" s="28" t="s">
        <v>5505</v>
      </c>
      <c r="F95" s="28" t="s">
        <v>5506</v>
      </c>
    </row>
    <row r="96" customFormat="false" ht="15" hidden="false" customHeight="false" outlineLevel="0" collapsed="false">
      <c r="A96" s="7" t="s">
        <v>942</v>
      </c>
      <c r="B96" s="28" t="s">
        <v>5507</v>
      </c>
      <c r="C96" s="28" t="s">
        <v>5508</v>
      </c>
      <c r="D96" s="28" t="s">
        <v>5509</v>
      </c>
      <c r="E96" s="28" t="s">
        <v>5510</v>
      </c>
      <c r="F96" s="28" t="s">
        <v>5511</v>
      </c>
    </row>
    <row r="97" customFormat="false" ht="22.35" hidden="false" customHeight="false" outlineLevel="0" collapsed="false">
      <c r="A97" s="7" t="s">
        <v>1032</v>
      </c>
      <c r="B97" s="28" t="s">
        <v>5512</v>
      </c>
      <c r="C97" s="28" t="s">
        <v>5513</v>
      </c>
      <c r="D97" s="28" t="s">
        <v>5514</v>
      </c>
      <c r="E97" s="28" t="s">
        <v>5515</v>
      </c>
      <c r="F97" s="28" t="s">
        <v>5516</v>
      </c>
    </row>
    <row r="98" customFormat="false" ht="15" hidden="false" customHeight="false" outlineLevel="0" collapsed="false">
      <c r="A98" s="7" t="s">
        <v>1109</v>
      </c>
      <c r="B98" s="28" t="s">
        <v>5517</v>
      </c>
      <c r="C98" s="28" t="s">
        <v>5518</v>
      </c>
      <c r="D98" s="28" t="s">
        <v>5519</v>
      </c>
      <c r="E98" s="28" t="s">
        <v>5520</v>
      </c>
      <c r="F98" s="28" t="s">
        <v>5521</v>
      </c>
    </row>
    <row r="99" customFormat="false" ht="22.35" hidden="false" customHeight="false" outlineLevel="0" collapsed="false">
      <c r="A99" s="7" t="s">
        <v>1257</v>
      </c>
      <c r="B99" s="28" t="s">
        <v>5522</v>
      </c>
      <c r="C99" s="28" t="s">
        <v>5523</v>
      </c>
      <c r="D99" s="28" t="s">
        <v>5524</v>
      </c>
      <c r="E99" s="28" t="s">
        <v>5525</v>
      </c>
      <c r="F99" s="28" t="s">
        <v>5526</v>
      </c>
    </row>
    <row r="100" customFormat="false" ht="15" hidden="false" customHeight="false" outlineLevel="0" collapsed="false">
      <c r="A100" s="7" t="s">
        <v>1374</v>
      </c>
      <c r="B100" s="28" t="s">
        <v>5527</v>
      </c>
      <c r="C100" s="28" t="s">
        <v>5528</v>
      </c>
      <c r="D100" s="28" t="s">
        <v>5529</v>
      </c>
      <c r="E100" s="28" t="s">
        <v>5530</v>
      </c>
      <c r="F100" s="28" t="s">
        <v>5531</v>
      </c>
    </row>
    <row r="101" customFormat="false" ht="15" hidden="false" customHeight="false" outlineLevel="0" collapsed="false">
      <c r="A101" s="7" t="s">
        <v>1457</v>
      </c>
      <c r="B101" s="28" t="s">
        <v>5532</v>
      </c>
      <c r="C101" s="28" t="s">
        <v>5533</v>
      </c>
      <c r="D101" s="28" t="s">
        <v>5534</v>
      </c>
      <c r="E101" s="28" t="s">
        <v>5535</v>
      </c>
      <c r="F101" s="28" t="s">
        <v>5536</v>
      </c>
    </row>
    <row r="102" customFormat="false" ht="22.35" hidden="false" customHeight="false" outlineLevel="0" collapsed="false">
      <c r="A102" s="7" t="s">
        <v>1584</v>
      </c>
      <c r="B102" s="28" t="s">
        <v>5537</v>
      </c>
      <c r="C102" s="28" t="s">
        <v>5538</v>
      </c>
      <c r="D102" s="28" t="s">
        <v>5539</v>
      </c>
      <c r="E102" s="28" t="s">
        <v>5540</v>
      </c>
      <c r="F102" s="28" t="s">
        <v>5541</v>
      </c>
    </row>
    <row r="103" customFormat="false" ht="22.35" hidden="false" customHeight="false" outlineLevel="0" collapsed="false">
      <c r="A103" s="7" t="s">
        <v>1674</v>
      </c>
      <c r="B103" s="28" t="s">
        <v>5542</v>
      </c>
      <c r="C103" s="28" t="s">
        <v>5543</v>
      </c>
      <c r="D103" s="28" t="s">
        <v>5544</v>
      </c>
      <c r="E103" s="28" t="s">
        <v>5545</v>
      </c>
      <c r="F103" s="28" t="s">
        <v>5546</v>
      </c>
    </row>
    <row r="104" customFormat="false" ht="22.35" hidden="false" customHeight="false" outlineLevel="0" collapsed="false">
      <c r="A104" s="7" t="s">
        <v>1777</v>
      </c>
      <c r="B104" s="28" t="s">
        <v>5547</v>
      </c>
      <c r="C104" s="28" t="s">
        <v>5548</v>
      </c>
      <c r="D104" s="28" t="s">
        <v>5549</v>
      </c>
      <c r="E104" s="28" t="s">
        <v>5550</v>
      </c>
      <c r="F104" s="28" t="s">
        <v>5551</v>
      </c>
    </row>
    <row r="105" customFormat="false" ht="15" hidden="false" customHeight="false" outlineLevel="0" collapsed="false">
      <c r="A105" s="7" t="s">
        <v>1875</v>
      </c>
      <c r="B105" s="28" t="s">
        <v>5547</v>
      </c>
      <c r="C105" s="28" t="s">
        <v>5552</v>
      </c>
      <c r="D105" s="28" t="s">
        <v>5549</v>
      </c>
      <c r="E105" s="28" t="s">
        <v>5553</v>
      </c>
      <c r="F105" s="28" t="s">
        <v>5554</v>
      </c>
    </row>
    <row r="106" customFormat="false" ht="22.35" hidden="false" customHeight="false" outlineLevel="0" collapsed="false">
      <c r="A106" s="7" t="s">
        <v>1964</v>
      </c>
      <c r="B106" s="28" t="s">
        <v>5555</v>
      </c>
      <c r="C106" s="28" t="s">
        <v>5556</v>
      </c>
      <c r="D106" s="28" t="s">
        <v>5557</v>
      </c>
      <c r="E106" s="28" t="s">
        <v>5558</v>
      </c>
      <c r="F106" s="28" t="s">
        <v>5559</v>
      </c>
    </row>
    <row r="108" customFormat="false" ht="15" hidden="false" customHeight="false" outlineLevel="0" collapsed="false">
      <c r="A108" s="11" t="s">
        <v>5560</v>
      </c>
    </row>
    <row r="109" customFormat="false" ht="31.5" hidden="false" customHeight="true" outlineLevel="0" collapsed="false">
      <c r="A109" s="3" t="s">
        <v>5561</v>
      </c>
      <c r="B109" s="3" t="s">
        <v>5562</v>
      </c>
      <c r="C109" s="3" t="s">
        <v>5563</v>
      </c>
    </row>
    <row r="110" customFormat="false" ht="15" hidden="false" customHeight="false" outlineLevel="0" collapsed="false">
      <c r="A110" s="14" t="n">
        <v>1</v>
      </c>
      <c r="B110" s="74" t="s">
        <v>5564</v>
      </c>
      <c r="C110" s="6" t="s">
        <v>5565</v>
      </c>
    </row>
    <row r="111" customFormat="false" ht="15" hidden="false" customHeight="false" outlineLevel="0" collapsed="false">
      <c r="A111" s="14" t="n">
        <v>2</v>
      </c>
      <c r="B111" s="74" t="s">
        <v>5566</v>
      </c>
      <c r="C111" s="6" t="s">
        <v>5567</v>
      </c>
    </row>
    <row r="112" customFormat="false" ht="15" hidden="false" customHeight="false" outlineLevel="0" collapsed="false">
      <c r="A112" s="14" t="n">
        <v>3</v>
      </c>
      <c r="B112" s="74" t="s">
        <v>5568</v>
      </c>
      <c r="C112" s="6" t="s">
        <v>5569</v>
      </c>
    </row>
    <row r="113" customFormat="false" ht="23.85" hidden="false" customHeight="false" outlineLevel="0" collapsed="false">
      <c r="A113" s="14" t="n">
        <v>4</v>
      </c>
      <c r="B113" s="74" t="s">
        <v>5570</v>
      </c>
      <c r="C113" s="6" t="s">
        <v>5571</v>
      </c>
    </row>
    <row r="114" customFormat="false" ht="15" hidden="false" customHeight="false" outlineLevel="0" collapsed="false">
      <c r="A114" s="14" t="n">
        <v>5</v>
      </c>
      <c r="B114" s="74" t="s">
        <v>5572</v>
      </c>
      <c r="C114" s="6" t="s">
        <v>5573</v>
      </c>
    </row>
    <row r="115" customFormat="false" ht="15" hidden="false" customHeight="false" outlineLevel="0" collapsed="false">
      <c r="A115" s="14" t="n">
        <v>6</v>
      </c>
      <c r="B115" s="74" t="s">
        <v>5574</v>
      </c>
      <c r="C115" s="6" t="s">
        <v>5575</v>
      </c>
    </row>
    <row r="116" customFormat="false" ht="15" hidden="false" customHeight="false" outlineLevel="0" collapsed="false">
      <c r="A116" s="14" t="n">
        <v>7</v>
      </c>
      <c r="B116" s="74" t="s">
        <v>5576</v>
      </c>
      <c r="C116" s="6" t="s">
        <v>5577</v>
      </c>
    </row>
    <row r="117" customFormat="false" ht="22.35" hidden="false" customHeight="false" outlineLevel="0" collapsed="false">
      <c r="A117" s="14" t="n">
        <v>8</v>
      </c>
      <c r="B117" s="74" t="s">
        <v>5578</v>
      </c>
      <c r="C117" s="6" t="s">
        <v>5579</v>
      </c>
    </row>
    <row r="118" customFormat="false" ht="15" hidden="false" customHeight="false" outlineLevel="0" collapsed="false">
      <c r="A118" s="14" t="n">
        <v>9</v>
      </c>
      <c r="B118" s="74" t="s">
        <v>5580</v>
      </c>
      <c r="C118" s="6" t="s">
        <v>5581</v>
      </c>
    </row>
    <row r="119" customFormat="false" ht="15" hidden="false" customHeight="false" outlineLevel="0" collapsed="false">
      <c r="A119" s="14" t="n">
        <v>10</v>
      </c>
      <c r="B119" s="74" t="s">
        <v>5582</v>
      </c>
      <c r="C119" s="6" t="s">
        <v>5583</v>
      </c>
    </row>
    <row r="120" customFormat="false" ht="15" hidden="false" customHeight="false" outlineLevel="0" collapsed="false">
      <c r="A120" s="14" t="n">
        <v>11</v>
      </c>
      <c r="B120" s="74" t="s">
        <v>5584</v>
      </c>
      <c r="C120" s="6" t="s">
        <v>5585</v>
      </c>
    </row>
    <row r="121" customFormat="false" ht="15" hidden="false" customHeight="false" outlineLevel="0" collapsed="false">
      <c r="A121" s="14" t="n">
        <v>12</v>
      </c>
      <c r="B121" s="74" t="s">
        <v>5586</v>
      </c>
      <c r="C121" s="6" t="s">
        <v>5587</v>
      </c>
    </row>
    <row r="122" customFormat="false" ht="15" hidden="false" customHeight="false" outlineLevel="0" collapsed="false">
      <c r="A122" s="14" t="n">
        <v>13</v>
      </c>
      <c r="B122" s="74" t="s">
        <v>5588</v>
      </c>
      <c r="C122" s="6" t="s">
        <v>5589</v>
      </c>
    </row>
    <row r="123" customFormat="false" ht="15" hidden="false" customHeight="false" outlineLevel="0" collapsed="false">
      <c r="A123" s="14" t="n">
        <v>14</v>
      </c>
      <c r="B123" s="74" t="s">
        <v>5590</v>
      </c>
      <c r="C123" s="6" t="s">
        <v>5591</v>
      </c>
    </row>
  </sheetData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62"/>
    <col collapsed="false" customWidth="true" hidden="false" outlineLevel="0" max="7" min="7" style="0" width="14"/>
  </cols>
  <sheetData>
    <row r="1" customFormat="false" ht="17.9" hidden="false" customHeight="false" outlineLevel="0" collapsed="false">
      <c r="A1" s="27" t="s">
        <v>5592</v>
      </c>
    </row>
    <row r="2" customFormat="false" ht="15" hidden="false" customHeight="false" outlineLevel="0" collapsed="false">
      <c r="A2" s="2" t="s">
        <v>5593</v>
      </c>
    </row>
    <row r="4" customFormat="false" ht="31.5" hidden="false" customHeight="true" outlineLevel="0" collapsed="false">
      <c r="A4" s="3" t="s">
        <v>115</v>
      </c>
      <c r="B4" s="3" t="s">
        <v>5594</v>
      </c>
      <c r="C4" s="3" t="s">
        <v>5595</v>
      </c>
      <c r="D4" s="3" t="s">
        <v>5596</v>
      </c>
      <c r="E4" s="3" t="s">
        <v>5597</v>
      </c>
      <c r="F4" s="3" t="s">
        <v>5598</v>
      </c>
      <c r="G4" s="3" t="s">
        <v>2061</v>
      </c>
    </row>
    <row r="5" customFormat="false" ht="23.85" hidden="false" customHeight="false" outlineLevel="0" collapsed="false">
      <c r="A5" s="7" t="s">
        <v>5599</v>
      </c>
      <c r="B5" s="6" t="s">
        <v>5600</v>
      </c>
      <c r="C5" s="22" t="n">
        <v>3</v>
      </c>
      <c r="D5" s="22" t="n">
        <v>3</v>
      </c>
      <c r="E5" s="7" t="n">
        <f aca="false">C5*D5</f>
        <v>9</v>
      </c>
      <c r="F5" s="6" t="s">
        <v>5601</v>
      </c>
      <c r="G5" s="14" t="s">
        <v>89</v>
      </c>
    </row>
    <row r="6" customFormat="false" ht="15" hidden="false" customHeight="false" outlineLevel="0" collapsed="false">
      <c r="A6" s="7" t="s">
        <v>5602</v>
      </c>
      <c r="B6" s="6" t="s">
        <v>5603</v>
      </c>
      <c r="C6" s="22" t="n">
        <v>2</v>
      </c>
      <c r="D6" s="22" t="n">
        <v>3</v>
      </c>
      <c r="E6" s="7" t="n">
        <f aca="false">C6*D6</f>
        <v>6</v>
      </c>
      <c r="F6" s="6" t="s">
        <v>5604</v>
      </c>
      <c r="G6" s="14" t="s">
        <v>5605</v>
      </c>
    </row>
    <row r="7" customFormat="false" ht="23.85" hidden="false" customHeight="false" outlineLevel="0" collapsed="false">
      <c r="A7" s="7" t="s">
        <v>5606</v>
      </c>
      <c r="B7" s="6" t="s">
        <v>5607</v>
      </c>
      <c r="C7" s="22" t="n">
        <v>3</v>
      </c>
      <c r="D7" s="22" t="n">
        <v>2</v>
      </c>
      <c r="E7" s="7" t="n">
        <f aca="false">C7*D7</f>
        <v>6</v>
      </c>
      <c r="F7" s="6" t="s">
        <v>5608</v>
      </c>
      <c r="G7" s="14" t="s">
        <v>89</v>
      </c>
    </row>
    <row r="8" customFormat="false" ht="23.85" hidden="false" customHeight="false" outlineLevel="0" collapsed="false">
      <c r="A8" s="7" t="s">
        <v>5609</v>
      </c>
      <c r="B8" s="6" t="s">
        <v>5610</v>
      </c>
      <c r="C8" s="22" t="n">
        <v>2</v>
      </c>
      <c r="D8" s="22" t="n">
        <v>3</v>
      </c>
      <c r="E8" s="7" t="n">
        <f aca="false">C8*D8</f>
        <v>6</v>
      </c>
      <c r="F8" s="6" t="s">
        <v>5611</v>
      </c>
      <c r="G8" s="14" t="s">
        <v>91</v>
      </c>
    </row>
    <row r="9" customFormat="false" ht="15" hidden="false" customHeight="false" outlineLevel="0" collapsed="false">
      <c r="A9" s="7" t="s">
        <v>5612</v>
      </c>
      <c r="B9" s="6" t="s">
        <v>5613</v>
      </c>
      <c r="C9" s="22" t="n">
        <v>3</v>
      </c>
      <c r="D9" s="22" t="n">
        <v>2</v>
      </c>
      <c r="E9" s="7" t="n">
        <f aca="false">C9*D9</f>
        <v>6</v>
      </c>
      <c r="F9" s="6" t="s">
        <v>5614</v>
      </c>
      <c r="G9" s="14" t="s">
        <v>91</v>
      </c>
    </row>
    <row r="10" customFormat="false" ht="23.85" hidden="false" customHeight="false" outlineLevel="0" collapsed="false">
      <c r="A10" s="7" t="s">
        <v>5615</v>
      </c>
      <c r="B10" s="6" t="s">
        <v>5616</v>
      </c>
      <c r="C10" s="22" t="n">
        <v>2</v>
      </c>
      <c r="D10" s="22" t="n">
        <v>3</v>
      </c>
      <c r="E10" s="7" t="n">
        <f aca="false">C10*D10</f>
        <v>6</v>
      </c>
      <c r="F10" s="6" t="s">
        <v>5617</v>
      </c>
      <c r="G10" s="14" t="s">
        <v>5618</v>
      </c>
    </row>
    <row r="11" customFormat="false" ht="23.85" hidden="false" customHeight="false" outlineLevel="0" collapsed="false">
      <c r="A11" s="7" t="s">
        <v>5619</v>
      </c>
      <c r="B11" s="6" t="s">
        <v>5620</v>
      </c>
      <c r="C11" s="22" t="n">
        <v>2</v>
      </c>
      <c r="D11" s="22" t="n">
        <v>3</v>
      </c>
      <c r="E11" s="7" t="n">
        <f aca="false">C11*D11</f>
        <v>6</v>
      </c>
      <c r="F11" s="6" t="s">
        <v>5621</v>
      </c>
      <c r="G11" s="14" t="s">
        <v>4940</v>
      </c>
    </row>
    <row r="12" customFormat="false" ht="15" hidden="false" customHeight="false" outlineLevel="0" collapsed="false">
      <c r="A12" s="7" t="s">
        <v>5622</v>
      </c>
      <c r="B12" s="6" t="s">
        <v>5623</v>
      </c>
      <c r="C12" s="22" t="n">
        <v>2</v>
      </c>
      <c r="D12" s="22" t="n">
        <v>2</v>
      </c>
      <c r="E12" s="7" t="n">
        <f aca="false">C12*D12</f>
        <v>4</v>
      </c>
      <c r="F12" s="6" t="s">
        <v>5624</v>
      </c>
      <c r="G12" s="14" t="s">
        <v>5618</v>
      </c>
    </row>
    <row r="13" customFormat="false" ht="15" hidden="false" customHeight="false" outlineLevel="0" collapsed="false">
      <c r="A13" s="7" t="s">
        <v>5625</v>
      </c>
      <c r="B13" s="6" t="s">
        <v>5626</v>
      </c>
      <c r="C13" s="22" t="n">
        <v>2</v>
      </c>
      <c r="D13" s="22" t="n">
        <v>2</v>
      </c>
      <c r="E13" s="7" t="n">
        <f aca="false">C13*D13</f>
        <v>4</v>
      </c>
      <c r="F13" s="6" t="s">
        <v>5627</v>
      </c>
      <c r="G13" s="14" t="s">
        <v>89</v>
      </c>
    </row>
    <row r="14" customFormat="false" ht="15" hidden="false" customHeight="false" outlineLevel="0" collapsed="false">
      <c r="A14" s="7" t="s">
        <v>5628</v>
      </c>
      <c r="B14" s="6" t="s">
        <v>5629</v>
      </c>
      <c r="C14" s="22" t="n">
        <v>2</v>
      </c>
      <c r="D14" s="22" t="n">
        <v>2</v>
      </c>
      <c r="E14" s="7" t="n">
        <f aca="false">C14*D14</f>
        <v>4</v>
      </c>
      <c r="F14" s="6" t="s">
        <v>5630</v>
      </c>
      <c r="G14" s="14" t="s">
        <v>91</v>
      </c>
    </row>
    <row r="15" customFormat="false" ht="23.85" hidden="false" customHeight="false" outlineLevel="0" collapsed="false">
      <c r="A15" s="7" t="s">
        <v>5631</v>
      </c>
      <c r="B15" s="6" t="s">
        <v>5632</v>
      </c>
      <c r="C15" s="22" t="n">
        <v>2</v>
      </c>
      <c r="D15" s="22" t="n">
        <v>2</v>
      </c>
      <c r="E15" s="7" t="n">
        <f aca="false">C15*D15</f>
        <v>4</v>
      </c>
      <c r="F15" s="6" t="s">
        <v>5633</v>
      </c>
      <c r="G15" s="14" t="s">
        <v>91</v>
      </c>
    </row>
    <row r="16" customFormat="false" ht="15" hidden="false" customHeight="false" outlineLevel="0" collapsed="false">
      <c r="A16" s="7" t="s">
        <v>5634</v>
      </c>
      <c r="B16" s="6" t="s">
        <v>5635</v>
      </c>
      <c r="C16" s="22" t="n">
        <v>2</v>
      </c>
      <c r="D16" s="22" t="n">
        <v>2</v>
      </c>
      <c r="E16" s="7" t="n">
        <f aca="false">C16*D16</f>
        <v>4</v>
      </c>
      <c r="F16" s="6" t="s">
        <v>5636</v>
      </c>
      <c r="G16" s="14" t="s">
        <v>91</v>
      </c>
    </row>
    <row r="17" customFormat="false" ht="15" hidden="false" customHeight="false" outlineLevel="0" collapsed="false">
      <c r="A17" s="7" t="s">
        <v>5637</v>
      </c>
      <c r="B17" s="6" t="s">
        <v>5638</v>
      </c>
      <c r="C17" s="22" t="n">
        <v>2</v>
      </c>
      <c r="D17" s="22" t="n">
        <v>2</v>
      </c>
      <c r="E17" s="7" t="n">
        <f aca="false">C17*D17</f>
        <v>4</v>
      </c>
      <c r="F17" s="6" t="s">
        <v>5639</v>
      </c>
      <c r="G17" s="14" t="s">
        <v>97</v>
      </c>
    </row>
    <row r="18" customFormat="false" ht="23.85" hidden="false" customHeight="false" outlineLevel="0" collapsed="false">
      <c r="A18" s="7" t="s">
        <v>5640</v>
      </c>
      <c r="B18" s="6" t="s">
        <v>5641</v>
      </c>
      <c r="C18" s="22" t="n">
        <v>2</v>
      </c>
      <c r="D18" s="22" t="n">
        <v>2</v>
      </c>
      <c r="E18" s="7" t="n">
        <f aca="false">C18*D18</f>
        <v>4</v>
      </c>
      <c r="F18" s="6" t="s">
        <v>5642</v>
      </c>
      <c r="G18" s="14" t="s">
        <v>5643</v>
      </c>
    </row>
    <row r="19" customFormat="false" ht="15" hidden="false" customHeight="false" outlineLevel="0" collapsed="false">
      <c r="A19" s="7" t="s">
        <v>5644</v>
      </c>
      <c r="B19" s="6" t="s">
        <v>5645</v>
      </c>
      <c r="C19" s="22" t="n">
        <v>3</v>
      </c>
      <c r="D19" s="22" t="n">
        <v>2</v>
      </c>
      <c r="E19" s="7" t="n">
        <f aca="false">C19*D19</f>
        <v>6</v>
      </c>
      <c r="F19" s="6" t="s">
        <v>5646</v>
      </c>
      <c r="G19" s="14" t="s">
        <v>89</v>
      </c>
    </row>
    <row r="20" customFormat="false" ht="15" hidden="false" customHeight="false" outlineLevel="0" collapsed="false">
      <c r="A20" s="7" t="s">
        <v>5647</v>
      </c>
      <c r="B20" s="6" t="s">
        <v>5648</v>
      </c>
      <c r="C20" s="22" t="n">
        <v>2</v>
      </c>
      <c r="D20" s="22" t="n">
        <v>2</v>
      </c>
      <c r="E20" s="7" t="n">
        <f aca="false">C20*D20</f>
        <v>4</v>
      </c>
      <c r="F20" s="6" t="s">
        <v>5649</v>
      </c>
      <c r="G20" s="14" t="s">
        <v>89</v>
      </c>
    </row>
  </sheetData>
  <conditionalFormatting sqref="E5:E20">
    <cfRule type="cellIs" priority="2" operator="greaterThanOrEqual" aboveAverage="0" equalAverage="0" bottom="0" percent="0" rank="0" text="" dxfId="30">
      <formula>6</formula>
    </cfRule>
    <cfRule type="cellIs" priority="3" operator="equal" aboveAverage="0" equalAverage="0" bottom="0" percent="0" rank="0" text="" dxfId="25">
      <formula>4</formula>
    </cfRule>
    <cfRule type="cellIs" priority="4" operator="lessThanOrEqual" aboveAverage="0" equalAverage="0" bottom="0" percent="0" rank="0" text="" dxfId="26">
      <formula>3</formula>
    </cfRule>
  </conditionalFormatting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2026-09-24T17:59:32Z</dcterms:created>
  <dc:creator>openpyxl</dc:creator>
  <dc:description/>
  <dc:language>en-US</dc:language>
  <cp:lastModifiedBy/>
  <dcterms:modified xsi:type="dcterms:W3CDTF">2026-09-25T00:59:37Z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